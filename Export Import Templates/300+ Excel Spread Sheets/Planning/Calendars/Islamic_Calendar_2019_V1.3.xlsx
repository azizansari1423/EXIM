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esktop\New folder (2)\"/>
    </mc:Choice>
  </mc:AlternateContent>
  <bookViews>
    <workbookView xWindow="-24" yWindow="6960" windowWidth="15480" windowHeight="2400" activeTab="2"/>
  </bookViews>
  <sheets>
    <sheet name="Calendar" sheetId="1" r:id="rId1"/>
    <sheet name="Holiday and Event" sheetId="2" r:id="rId2"/>
    <sheet name="Copyright" sheetId="3" r:id="rId3"/>
    <sheet name="Copyright-2" sheetId="4" state="hidden" r:id="rId4"/>
  </sheets>
  <definedNames>
    <definedName name="GregorianEvent">'Holiday and Event'!$D$5:$D$23</definedName>
    <definedName name="GregorianHoliday">'Holiday and Event'!$B$5:$B$23</definedName>
    <definedName name="HijriEve">'Holiday and Event'!$V$4:$V$23</definedName>
    <definedName name="HijriHol">'Holiday and Event'!$U$4:$U$23</definedName>
    <definedName name="HijriMonth">'Holiday and Event'!$N$4:$N$15</definedName>
    <definedName name="_xlnm.Print_Area" localSheetId="0">Calendar!$B$5:$AS$76</definedName>
    <definedName name="RamRef">Calendar!$F$3</definedName>
  </definedNames>
  <calcPr calcId="152511"/>
</workbook>
</file>

<file path=xl/calcChain.xml><?xml version="1.0" encoding="utf-8"?>
<calcChain xmlns="http://schemas.openxmlformats.org/spreadsheetml/2006/main">
  <c r="R365" i="2" l="1"/>
  <c r="R336" i="2"/>
  <c r="R306" i="2"/>
  <c r="R277" i="2"/>
  <c r="R247" i="2"/>
  <c r="R218" i="2"/>
  <c r="R188" i="2"/>
  <c r="R159" i="2"/>
  <c r="R129" i="2"/>
  <c r="R99" i="2"/>
  <c r="R69" i="2"/>
  <c r="R40" i="2"/>
  <c r="R10" i="2"/>
  <c r="R4" i="2"/>
  <c r="Q366" i="2"/>
  <c r="Q367" i="2" s="1"/>
  <c r="Q368" i="2" s="1"/>
  <c r="Q369" i="2" s="1"/>
  <c r="P366" i="2"/>
  <c r="P367" i="2" s="1"/>
  <c r="Q337" i="2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P337" i="2"/>
  <c r="P338" i="2" s="1"/>
  <c r="P339" i="2" s="1"/>
  <c r="Q307" i="2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P307" i="2"/>
  <c r="Q278" i="2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P278" i="2"/>
  <c r="P279" i="2" s="1"/>
  <c r="Q248" i="2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P248" i="2"/>
  <c r="Q219" i="2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P219" i="2"/>
  <c r="Q189" i="2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P189" i="2"/>
  <c r="Q160" i="2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P160" i="2"/>
  <c r="Q130" i="2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P130" i="2"/>
  <c r="P131" i="2" s="1"/>
  <c r="Q101" i="2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00" i="2"/>
  <c r="P100" i="2"/>
  <c r="Q70" i="2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P70" i="2"/>
  <c r="P71" i="2" s="1"/>
  <c r="Q41" i="2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P41" i="2"/>
  <c r="P42" i="2" s="1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Q5" i="2"/>
  <c r="Q6" i="2" s="1"/>
  <c r="Q7" i="2" s="1"/>
  <c r="Q8" i="2" s="1"/>
  <c r="P5" i="2"/>
  <c r="P6" i="2" s="1"/>
  <c r="P7" i="2" s="1"/>
  <c r="P8" i="2" s="1"/>
  <c r="P9" i="2" s="1"/>
  <c r="S5" i="2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l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Q9" i="2"/>
  <c r="R9" i="2" s="1"/>
  <c r="R8" i="2"/>
  <c r="R16" i="2"/>
  <c r="R24" i="2"/>
  <c r="R5" i="2"/>
  <c r="R13" i="2"/>
  <c r="R17" i="2"/>
  <c r="R21" i="2"/>
  <c r="R25" i="2"/>
  <c r="R32" i="2"/>
  <c r="R39" i="2"/>
  <c r="R6" i="2"/>
  <c r="R14" i="2"/>
  <c r="R18" i="2"/>
  <c r="R22" i="2"/>
  <c r="R26" i="2"/>
  <c r="R36" i="2"/>
  <c r="R12" i="2"/>
  <c r="R20" i="2"/>
  <c r="R28" i="2"/>
  <c r="R7" i="2"/>
  <c r="R11" i="2"/>
  <c r="R15" i="2"/>
  <c r="R19" i="2"/>
  <c r="R23" i="2"/>
  <c r="R27" i="2"/>
  <c r="P43" i="2"/>
  <c r="R42" i="2"/>
  <c r="P308" i="2"/>
  <c r="R307" i="2"/>
  <c r="R130" i="2"/>
  <c r="R29" i="2"/>
  <c r="R33" i="2"/>
  <c r="R37" i="2"/>
  <c r="R41" i="2"/>
  <c r="R70" i="2"/>
  <c r="R278" i="2"/>
  <c r="R338" i="2"/>
  <c r="R366" i="2"/>
  <c r="P132" i="2"/>
  <c r="R131" i="2"/>
  <c r="P190" i="2"/>
  <c r="R189" i="2"/>
  <c r="P249" i="2"/>
  <c r="R248" i="2"/>
  <c r="P340" i="2"/>
  <c r="R339" i="2"/>
  <c r="P101" i="2"/>
  <c r="R100" i="2"/>
  <c r="P161" i="2"/>
  <c r="R160" i="2"/>
  <c r="P220" i="2"/>
  <c r="R219" i="2"/>
  <c r="P280" i="2"/>
  <c r="R279" i="2"/>
  <c r="R337" i="2"/>
  <c r="P368" i="2"/>
  <c r="R367" i="2"/>
  <c r="R30" i="2"/>
  <c r="R34" i="2"/>
  <c r="R38" i="2"/>
  <c r="P72" i="2"/>
  <c r="R71" i="2"/>
  <c r="R31" i="2"/>
  <c r="R35" i="2"/>
  <c r="D6" i="2"/>
  <c r="D7" i="2" s="1"/>
  <c r="D8" i="2" s="1"/>
  <c r="D9" i="2" s="1"/>
  <c r="D10" i="2" s="1"/>
  <c r="B6" i="2"/>
  <c r="B7" i="2" s="1"/>
  <c r="B8" i="2" s="1"/>
  <c r="B9" i="2" s="1"/>
  <c r="B10" i="2" s="1"/>
  <c r="B11" i="2" s="1"/>
  <c r="B12" i="2" s="1"/>
  <c r="B13" i="2" s="1"/>
  <c r="B14" i="2" s="1"/>
  <c r="S161" i="2" l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S368" i="2" s="1"/>
  <c r="S369" i="2" s="1"/>
  <c r="P221" i="2"/>
  <c r="R220" i="2"/>
  <c r="P341" i="2"/>
  <c r="R340" i="2"/>
  <c r="P191" i="2"/>
  <c r="R190" i="2"/>
  <c r="P281" i="2"/>
  <c r="R280" i="2"/>
  <c r="P162" i="2"/>
  <c r="R161" i="2"/>
  <c r="P102" i="2"/>
  <c r="R101" i="2"/>
  <c r="P44" i="2"/>
  <c r="R43" i="2"/>
  <c r="P73" i="2"/>
  <c r="R72" i="2"/>
  <c r="P369" i="2"/>
  <c r="R369" i="2" s="1"/>
  <c r="R368" i="2"/>
  <c r="P250" i="2"/>
  <c r="R249" i="2"/>
  <c r="P133" i="2"/>
  <c r="R132" i="2"/>
  <c r="P309" i="2"/>
  <c r="R308" i="2"/>
  <c r="AI48" i="1"/>
  <c r="AK48" i="1" s="1"/>
  <c r="AM48" i="1" s="1"/>
  <c r="AO48" i="1" s="1"/>
  <c r="AQ48" i="1" s="1"/>
  <c r="AS48" i="1" s="1"/>
  <c r="AG50" i="1" s="1"/>
  <c r="AI50" i="1" s="1"/>
  <c r="AK50" i="1" s="1"/>
  <c r="AM50" i="1" s="1"/>
  <c r="AO50" i="1" s="1"/>
  <c r="AQ50" i="1" s="1"/>
  <c r="AS50" i="1" s="1"/>
  <c r="AG52" i="1" s="1"/>
  <c r="AI52" i="1" s="1"/>
  <c r="AK52" i="1" s="1"/>
  <c r="AM52" i="1" s="1"/>
  <c r="AO52" i="1" s="1"/>
  <c r="AQ52" i="1" s="1"/>
  <c r="AS52" i="1" s="1"/>
  <c r="AG54" i="1" s="1"/>
  <c r="AI54" i="1" s="1"/>
  <c r="AK54" i="1" s="1"/>
  <c r="AM54" i="1" s="1"/>
  <c r="AO54" i="1" s="1"/>
  <c r="AQ54" i="1" s="1"/>
  <c r="AS54" i="1" s="1"/>
  <c r="AG56" i="1" s="1"/>
  <c r="AI66" i="1"/>
  <c r="AK66" i="1" s="1"/>
  <c r="AM66" i="1" s="1"/>
  <c r="AO66" i="1" s="1"/>
  <c r="AQ66" i="1" s="1"/>
  <c r="AS66" i="1" s="1"/>
  <c r="AG68" i="1" s="1"/>
  <c r="AI68" i="1" s="1"/>
  <c r="AK68" i="1" s="1"/>
  <c r="AM68" i="1" s="1"/>
  <c r="AO68" i="1" s="1"/>
  <c r="AQ68" i="1" s="1"/>
  <c r="AS68" i="1" s="1"/>
  <c r="AG70" i="1" s="1"/>
  <c r="AI70" i="1" s="1"/>
  <c r="AK70" i="1" s="1"/>
  <c r="AM70" i="1" s="1"/>
  <c r="AO70" i="1" s="1"/>
  <c r="AQ70" i="1" s="1"/>
  <c r="AS70" i="1" s="1"/>
  <c r="AG72" i="1" s="1"/>
  <c r="AI72" i="1" s="1"/>
  <c r="AK72" i="1" s="1"/>
  <c r="AM72" i="1" s="1"/>
  <c r="AO72" i="1" s="1"/>
  <c r="AS72" i="1" s="1"/>
  <c r="AG74" i="1" s="1"/>
  <c r="AI74" i="1" s="1"/>
  <c r="AK74" i="1" s="1"/>
  <c r="AF66" i="1"/>
  <c r="AH65" i="1"/>
  <c r="AH66" i="1" s="1"/>
  <c r="AB74" i="1"/>
  <c r="AD74" i="1" s="1"/>
  <c r="AD66" i="1"/>
  <c r="R68" i="1" s="1"/>
  <c r="T68" i="1" s="1"/>
  <c r="V68" i="1" s="1"/>
  <c r="X68" i="1" s="1"/>
  <c r="Z68" i="1" s="1"/>
  <c r="AB68" i="1" s="1"/>
  <c r="AD68" i="1" s="1"/>
  <c r="R70" i="1" s="1"/>
  <c r="T70" i="1" s="1"/>
  <c r="V70" i="1" s="1"/>
  <c r="X70" i="1" s="1"/>
  <c r="Z70" i="1" s="1"/>
  <c r="AB70" i="1" s="1"/>
  <c r="AD70" i="1" s="1"/>
  <c r="R72" i="1" s="1"/>
  <c r="T72" i="1" s="1"/>
  <c r="V72" i="1" s="1"/>
  <c r="X72" i="1" s="1"/>
  <c r="Z72" i="1" s="1"/>
  <c r="AB72" i="1" s="1"/>
  <c r="AD72" i="1" s="1"/>
  <c r="R74" i="1" s="1"/>
  <c r="T74" i="1" s="1"/>
  <c r="V74" i="1" s="1"/>
  <c r="X74" i="1" s="1"/>
  <c r="I66" i="1"/>
  <c r="K66" i="1" s="1"/>
  <c r="M66" i="1" s="1"/>
  <c r="O66" i="1" s="1"/>
  <c r="C68" i="1" s="1"/>
  <c r="E68" i="1" s="1"/>
  <c r="G68" i="1" s="1"/>
  <c r="I68" i="1" s="1"/>
  <c r="K68" i="1" s="1"/>
  <c r="M68" i="1" s="1"/>
  <c r="O68" i="1" s="1"/>
  <c r="C70" i="1" s="1"/>
  <c r="E70" i="1" s="1"/>
  <c r="G70" i="1" s="1"/>
  <c r="I70" i="1" s="1"/>
  <c r="K70" i="1" s="1"/>
  <c r="M70" i="1" s="1"/>
  <c r="O70" i="1" s="1"/>
  <c r="C72" i="1" s="1"/>
  <c r="E72" i="1" s="1"/>
  <c r="G72" i="1" s="1"/>
  <c r="I72" i="1" s="1"/>
  <c r="K72" i="1" s="1"/>
  <c r="M72" i="1" s="1"/>
  <c r="O72" i="1" s="1"/>
  <c r="C74" i="1" s="1"/>
  <c r="E74" i="1" s="1"/>
  <c r="I74" i="1" s="1"/>
  <c r="K74" i="1" s="1"/>
  <c r="F66" i="1"/>
  <c r="AH47" i="1"/>
  <c r="AJ47" i="1" s="1"/>
  <c r="AL47" i="1" s="1"/>
  <c r="AF48" i="1"/>
  <c r="AD48" i="1"/>
  <c r="R50" i="1" s="1"/>
  <c r="T50" i="1" s="1"/>
  <c r="V50" i="1" s="1"/>
  <c r="X50" i="1" s="1"/>
  <c r="Z50" i="1" s="1"/>
  <c r="AB50" i="1" s="1"/>
  <c r="AD50" i="1" s="1"/>
  <c r="R52" i="1" s="1"/>
  <c r="T52" i="1" s="1"/>
  <c r="V52" i="1" s="1"/>
  <c r="X52" i="1" s="1"/>
  <c r="Z52" i="1" s="1"/>
  <c r="AB52" i="1" s="1"/>
  <c r="AD52" i="1" s="1"/>
  <c r="R54" i="1" s="1"/>
  <c r="T54" i="1" s="1"/>
  <c r="V54" i="1" s="1"/>
  <c r="X54" i="1" s="1"/>
  <c r="Z54" i="1" s="1"/>
  <c r="AB54" i="1" s="1"/>
  <c r="AD54" i="1" s="1"/>
  <c r="R56" i="1" s="1"/>
  <c r="T56" i="1" s="1"/>
  <c r="V56" i="1" s="1"/>
  <c r="X56" i="1" s="1"/>
  <c r="Z56" i="1" s="1"/>
  <c r="AB56" i="1" s="1"/>
  <c r="G48" i="1"/>
  <c r="K48" i="1" s="1"/>
  <c r="M48" i="1" s="1"/>
  <c r="O48" i="1" s="1"/>
  <c r="C50" i="1" s="1"/>
  <c r="E50" i="1" s="1"/>
  <c r="G50" i="1" s="1"/>
  <c r="I50" i="1" s="1"/>
  <c r="K50" i="1" s="1"/>
  <c r="M50" i="1" s="1"/>
  <c r="O50" i="1" s="1"/>
  <c r="C52" i="1" s="1"/>
  <c r="E52" i="1" s="1"/>
  <c r="G52" i="1" s="1"/>
  <c r="I52" i="1" s="1"/>
  <c r="K52" i="1" s="1"/>
  <c r="M52" i="1" s="1"/>
  <c r="O52" i="1" s="1"/>
  <c r="C54" i="1" s="1"/>
  <c r="E54" i="1" s="1"/>
  <c r="G54" i="1" s="1"/>
  <c r="I54" i="1" s="1"/>
  <c r="K54" i="1" s="1"/>
  <c r="M54" i="1" s="1"/>
  <c r="O54" i="1" s="1"/>
  <c r="C56" i="1" s="1"/>
  <c r="E56" i="1" s="1"/>
  <c r="G56" i="1" s="1"/>
  <c r="I56" i="1" s="1"/>
  <c r="D48" i="1"/>
  <c r="F47" i="1"/>
  <c r="F48" i="1" s="1"/>
  <c r="AG32" i="1"/>
  <c r="AI32" i="1" s="1"/>
  <c r="AM32" i="1" s="1"/>
  <c r="AO32" i="1" s="1"/>
  <c r="AQ32" i="1" s="1"/>
  <c r="AS32" i="1" s="1"/>
  <c r="AG34" i="1" s="1"/>
  <c r="AI34" i="1" s="1"/>
  <c r="AK34" i="1" s="1"/>
  <c r="AM34" i="1" s="1"/>
  <c r="AO34" i="1" s="1"/>
  <c r="AQ34" i="1" s="1"/>
  <c r="AS34" i="1" s="1"/>
  <c r="AG36" i="1" s="1"/>
  <c r="AI36" i="1" s="1"/>
  <c r="AK36" i="1" s="1"/>
  <c r="AM36" i="1" s="1"/>
  <c r="AO36" i="1" s="1"/>
  <c r="AQ36" i="1" s="1"/>
  <c r="AS36" i="1" s="1"/>
  <c r="AG38" i="1" s="1"/>
  <c r="AI38" i="1" s="1"/>
  <c r="AK38" i="1" s="1"/>
  <c r="AM38" i="1" s="1"/>
  <c r="AO38" i="1" s="1"/>
  <c r="AQ38" i="1" s="1"/>
  <c r="AS38" i="1" s="1"/>
  <c r="AG40" i="1" s="1"/>
  <c r="R32" i="1"/>
  <c r="Z30" i="1"/>
  <c r="AB30" i="1" s="1"/>
  <c r="W30" i="1"/>
  <c r="G30" i="1"/>
  <c r="I30" i="1" s="1"/>
  <c r="K30" i="1" s="1"/>
  <c r="M30" i="1" s="1"/>
  <c r="C32" i="1" s="1"/>
  <c r="E32" i="1" s="1"/>
  <c r="G32" i="1" s="1"/>
  <c r="I32" i="1" s="1"/>
  <c r="K32" i="1" s="1"/>
  <c r="M32" i="1" s="1"/>
  <c r="O32" i="1" s="1"/>
  <c r="C34" i="1" s="1"/>
  <c r="E34" i="1" s="1"/>
  <c r="G34" i="1" s="1"/>
  <c r="I34" i="1" s="1"/>
  <c r="K34" i="1" s="1"/>
  <c r="M34" i="1" s="1"/>
  <c r="O34" i="1" s="1"/>
  <c r="C36" i="1" s="1"/>
  <c r="E36" i="1" s="1"/>
  <c r="G36" i="1" s="1"/>
  <c r="I36" i="1" s="1"/>
  <c r="K36" i="1" s="1"/>
  <c r="M36" i="1" s="1"/>
  <c r="O36" i="1" s="1"/>
  <c r="C38" i="1" s="1"/>
  <c r="E38" i="1" s="1"/>
  <c r="G38" i="1" s="1"/>
  <c r="F29" i="1"/>
  <c r="F30" i="1" s="1"/>
  <c r="AR11" i="1"/>
  <c r="AR12" i="1" s="1"/>
  <c r="AC11" i="1"/>
  <c r="Q13" i="1" s="1"/>
  <c r="H11" i="1"/>
  <c r="J11" i="1" s="1"/>
  <c r="L11" i="1" s="1"/>
  <c r="N11" i="1" s="1"/>
  <c r="D30" i="1"/>
  <c r="AQ14" i="1"/>
  <c r="AS14" i="1" s="1"/>
  <c r="AG16" i="1" s="1"/>
  <c r="AI16" i="1" s="1"/>
  <c r="AK16" i="1" s="1"/>
  <c r="AM16" i="1" s="1"/>
  <c r="AO16" i="1" s="1"/>
  <c r="AQ16" i="1" s="1"/>
  <c r="AS16" i="1" s="1"/>
  <c r="AG18" i="1" s="1"/>
  <c r="AI18" i="1" s="1"/>
  <c r="AK18" i="1" s="1"/>
  <c r="AM18" i="1" s="1"/>
  <c r="AO18" i="1" s="1"/>
  <c r="AQ18" i="1" s="1"/>
  <c r="AS18" i="1" s="1"/>
  <c r="AG20" i="1" s="1"/>
  <c r="AI20" i="1" s="1"/>
  <c r="AK20" i="1" s="1"/>
  <c r="AM20" i="1" s="1"/>
  <c r="AO20" i="1" s="1"/>
  <c r="AQ20" i="1" s="1"/>
  <c r="AS20" i="1" s="1"/>
  <c r="AG22" i="1" s="1"/>
  <c r="AS12" i="1"/>
  <c r="AG14" i="1" s="1"/>
  <c r="AI14" i="1" s="1"/>
  <c r="AK14" i="1" s="1"/>
  <c r="AP12" i="1"/>
  <c r="Z14" i="1"/>
  <c r="AB14" i="1" s="1"/>
  <c r="AD14" i="1" s="1"/>
  <c r="R16" i="1" s="1"/>
  <c r="T16" i="1" s="1"/>
  <c r="V16" i="1" s="1"/>
  <c r="X16" i="1" s="1"/>
  <c r="Z16" i="1" s="1"/>
  <c r="AB16" i="1" s="1"/>
  <c r="AD16" i="1" s="1"/>
  <c r="R18" i="1" s="1"/>
  <c r="T18" i="1" s="1"/>
  <c r="V18" i="1" s="1"/>
  <c r="X18" i="1" s="1"/>
  <c r="Z18" i="1" s="1"/>
  <c r="AB18" i="1" s="1"/>
  <c r="AD18" i="1" s="1"/>
  <c r="R20" i="1" s="1"/>
  <c r="T20" i="1" s="1"/>
  <c r="V20" i="1" s="1"/>
  <c r="X20" i="1" s="1"/>
  <c r="Z20" i="1" s="1"/>
  <c r="V14" i="1"/>
  <c r="AD12" i="1"/>
  <c r="R14" i="1" s="1"/>
  <c r="G14" i="1"/>
  <c r="I14" i="1" s="1"/>
  <c r="K14" i="1" s="1"/>
  <c r="M14" i="1" s="1"/>
  <c r="O14" i="1" s="1"/>
  <c r="C16" i="1" s="1"/>
  <c r="E16" i="1" s="1"/>
  <c r="G16" i="1" s="1"/>
  <c r="I16" i="1" s="1"/>
  <c r="K16" i="1" s="1"/>
  <c r="M16" i="1" s="1"/>
  <c r="O16" i="1" s="1"/>
  <c r="C18" i="1" s="1"/>
  <c r="E18" i="1" s="1"/>
  <c r="G18" i="1" s="1"/>
  <c r="I18" i="1" s="1"/>
  <c r="K18" i="1" s="1"/>
  <c r="M18" i="1" s="1"/>
  <c r="O18" i="1" s="1"/>
  <c r="C20" i="1" s="1"/>
  <c r="E20" i="1" s="1"/>
  <c r="G20" i="1" s="1"/>
  <c r="I20" i="1" s="1"/>
  <c r="K20" i="1" s="1"/>
  <c r="I12" i="1"/>
  <c r="K12" i="1" s="1"/>
  <c r="M12" i="1" s="1"/>
  <c r="O12" i="1" s="1"/>
  <c r="C14" i="1" s="1"/>
  <c r="F12" i="1"/>
  <c r="P192" i="2" l="1"/>
  <c r="R191" i="2"/>
  <c r="P222" i="2"/>
  <c r="R221" i="2"/>
  <c r="P134" i="2"/>
  <c r="R133" i="2"/>
  <c r="P163" i="2"/>
  <c r="R162" i="2"/>
  <c r="P45" i="2"/>
  <c r="R44" i="2"/>
  <c r="P310" i="2"/>
  <c r="R309" i="2"/>
  <c r="P251" i="2"/>
  <c r="R250" i="2"/>
  <c r="P282" i="2"/>
  <c r="R281" i="2"/>
  <c r="P74" i="2"/>
  <c r="R73" i="2"/>
  <c r="P103" i="2"/>
  <c r="R102" i="2"/>
  <c r="P342" i="2"/>
  <c r="R341" i="2"/>
  <c r="AJ65" i="1"/>
  <c r="AL65" i="1" s="1"/>
  <c r="AN65" i="1" s="1"/>
  <c r="AP65" i="1" s="1"/>
  <c r="AR65" i="1" s="1"/>
  <c r="AF67" i="1" s="1"/>
  <c r="AH67" i="1" s="1"/>
  <c r="H29" i="1"/>
  <c r="H65" i="1"/>
  <c r="AH48" i="1"/>
  <c r="AN47" i="1"/>
  <c r="AL48" i="1"/>
  <c r="AJ48" i="1"/>
  <c r="H47" i="1"/>
  <c r="H48" i="1" s="1"/>
  <c r="V32" i="1"/>
  <c r="X32" i="1" s="1"/>
  <c r="Z32" i="1" s="1"/>
  <c r="AB32" i="1" s="1"/>
  <c r="AD32" i="1" s="1"/>
  <c r="R34" i="1" s="1"/>
  <c r="T34" i="1" s="1"/>
  <c r="V34" i="1" s="1"/>
  <c r="X34" i="1" s="1"/>
  <c r="Z34" i="1" s="1"/>
  <c r="AB34" i="1" s="1"/>
  <c r="AD34" i="1" s="1"/>
  <c r="R36" i="1" s="1"/>
  <c r="T36" i="1" s="1"/>
  <c r="V36" i="1" s="1"/>
  <c r="X36" i="1" s="1"/>
  <c r="Z36" i="1" s="1"/>
  <c r="AB36" i="1" s="1"/>
  <c r="AD36" i="1" s="1"/>
  <c r="R38" i="1" s="1"/>
  <c r="T38" i="1" s="1"/>
  <c r="V38" i="1" s="1"/>
  <c r="X38" i="1" s="1"/>
  <c r="Z38" i="1" s="1"/>
  <c r="AB38" i="1" s="1"/>
  <c r="Y29" i="1"/>
  <c r="Q14" i="1"/>
  <c r="S13" i="1"/>
  <c r="U13" i="1" s="1"/>
  <c r="W13" i="1" s="1"/>
  <c r="AF13" i="1"/>
  <c r="AJ66" i="1" l="1"/>
  <c r="AN66" i="1"/>
  <c r="P104" i="2"/>
  <c r="R103" i="2"/>
  <c r="P75" i="2"/>
  <c r="R74" i="2"/>
  <c r="P223" i="2"/>
  <c r="R222" i="2"/>
  <c r="P283" i="2"/>
  <c r="R282" i="2"/>
  <c r="P252" i="2"/>
  <c r="R251" i="2"/>
  <c r="P46" i="2"/>
  <c r="R45" i="2"/>
  <c r="P343" i="2"/>
  <c r="R342" i="2"/>
  <c r="P164" i="2"/>
  <c r="R163" i="2"/>
  <c r="P135" i="2"/>
  <c r="R134" i="2"/>
  <c r="P193" i="2"/>
  <c r="R192" i="2"/>
  <c r="P311" i="2"/>
  <c r="R310" i="2"/>
  <c r="AL66" i="1"/>
  <c r="AP66" i="1"/>
  <c r="J47" i="1"/>
  <c r="L47" i="1" s="1"/>
  <c r="J29" i="1"/>
  <c r="L29" i="1" s="1"/>
  <c r="N29" i="1" s="1"/>
  <c r="H30" i="1"/>
  <c r="AF68" i="1"/>
  <c r="AR66" i="1"/>
  <c r="S14" i="1"/>
  <c r="U14" i="1"/>
  <c r="AH68" i="1"/>
  <c r="AJ67" i="1"/>
  <c r="H66" i="1"/>
  <c r="J65" i="1"/>
  <c r="AN48" i="1"/>
  <c r="AP47" i="1"/>
  <c r="J48" i="1"/>
  <c r="Y30" i="1"/>
  <c r="AA29" i="1"/>
  <c r="AF14" i="1"/>
  <c r="AH13" i="1"/>
  <c r="W14" i="1"/>
  <c r="Y13" i="1"/>
  <c r="P47" i="2" l="1"/>
  <c r="R46" i="2"/>
  <c r="P224" i="2"/>
  <c r="R223" i="2"/>
  <c r="P76" i="2"/>
  <c r="R75" i="2"/>
  <c r="P136" i="2"/>
  <c r="R135" i="2"/>
  <c r="P284" i="2"/>
  <c r="R283" i="2"/>
  <c r="P344" i="2"/>
  <c r="R343" i="2"/>
  <c r="P312" i="2"/>
  <c r="R311" i="2"/>
  <c r="P194" i="2"/>
  <c r="R193" i="2"/>
  <c r="P165" i="2"/>
  <c r="R164" i="2"/>
  <c r="P253" i="2"/>
  <c r="R252" i="2"/>
  <c r="P105" i="2"/>
  <c r="R104" i="2"/>
  <c r="J30" i="1"/>
  <c r="AJ68" i="1"/>
  <c r="AL67" i="1"/>
  <c r="AA66" i="1"/>
  <c r="AC65" i="1"/>
  <c r="J66" i="1"/>
  <c r="L65" i="1"/>
  <c r="AR47" i="1"/>
  <c r="AP48" i="1"/>
  <c r="Y48" i="1"/>
  <c r="AA47" i="1"/>
  <c r="N47" i="1"/>
  <c r="L48" i="1"/>
  <c r="AF31" i="1"/>
  <c r="AC29" i="1"/>
  <c r="AA30" i="1"/>
  <c r="L30" i="1"/>
  <c r="AJ13" i="1"/>
  <c r="AH14" i="1"/>
  <c r="Y14" i="1"/>
  <c r="AA13" i="1"/>
  <c r="AA12" i="1"/>
  <c r="P137" i="2" l="1"/>
  <c r="R136" i="2"/>
  <c r="P48" i="2"/>
  <c r="R47" i="2"/>
  <c r="P166" i="2"/>
  <c r="R165" i="2"/>
  <c r="P313" i="2"/>
  <c r="R312" i="2"/>
  <c r="P225" i="2"/>
  <c r="R224" i="2"/>
  <c r="P254" i="2"/>
  <c r="R253" i="2"/>
  <c r="P106" i="2"/>
  <c r="R105" i="2"/>
  <c r="P345" i="2"/>
  <c r="R344" i="2"/>
  <c r="P285" i="2"/>
  <c r="R284" i="2"/>
  <c r="P77" i="2"/>
  <c r="R76" i="2"/>
  <c r="P195" i="2"/>
  <c r="R194" i="2"/>
  <c r="AL68" i="1"/>
  <c r="AN67" i="1"/>
  <c r="Q67" i="1"/>
  <c r="AC66" i="1"/>
  <c r="N65" i="1"/>
  <c r="L66" i="1"/>
  <c r="AR48" i="1"/>
  <c r="AF49" i="1"/>
  <c r="AC47" i="1"/>
  <c r="AA48" i="1"/>
  <c r="N48" i="1"/>
  <c r="B49" i="1"/>
  <c r="AH31" i="1"/>
  <c r="AC30" i="1"/>
  <c r="Q31" i="1"/>
  <c r="Q32" i="1" s="1"/>
  <c r="B31" i="1"/>
  <c r="N30" i="1"/>
  <c r="AL13" i="1"/>
  <c r="AJ14" i="1"/>
  <c r="AA14" i="1"/>
  <c r="AC13" i="1"/>
  <c r="AC12" i="1"/>
  <c r="H12" i="1"/>
  <c r="P78" i="2" l="1"/>
  <c r="R77" i="2"/>
  <c r="P346" i="2"/>
  <c r="R345" i="2"/>
  <c r="P255" i="2"/>
  <c r="R254" i="2"/>
  <c r="P314" i="2"/>
  <c r="R313" i="2"/>
  <c r="P49" i="2"/>
  <c r="R48" i="2"/>
  <c r="P196" i="2"/>
  <c r="R195" i="2"/>
  <c r="P286" i="2"/>
  <c r="R285" i="2"/>
  <c r="P107" i="2"/>
  <c r="R106" i="2"/>
  <c r="P226" i="2"/>
  <c r="R225" i="2"/>
  <c r="P167" i="2"/>
  <c r="R166" i="2"/>
  <c r="P138" i="2"/>
  <c r="R137" i="2"/>
  <c r="AP67" i="1"/>
  <c r="AN68" i="1"/>
  <c r="Q68" i="1"/>
  <c r="S67" i="1"/>
  <c r="N66" i="1"/>
  <c r="B67" i="1"/>
  <c r="AF50" i="1"/>
  <c r="AH49" i="1"/>
  <c r="AC48" i="1"/>
  <c r="Q49" i="1"/>
  <c r="B50" i="1"/>
  <c r="D49" i="1"/>
  <c r="AJ31" i="1"/>
  <c r="S31" i="1"/>
  <c r="S32" i="1" s="1"/>
  <c r="U32" i="1" s="1"/>
  <c r="W32" i="1" s="1"/>
  <c r="Y32" i="1" s="1"/>
  <c r="AA32" i="1" s="1"/>
  <c r="AC32" i="1" s="1"/>
  <c r="Q34" i="1" s="1"/>
  <c r="S34" i="1" s="1"/>
  <c r="U34" i="1" s="1"/>
  <c r="W34" i="1" s="1"/>
  <c r="Y34" i="1" s="1"/>
  <c r="AA34" i="1" s="1"/>
  <c r="AC34" i="1" s="1"/>
  <c r="Q36" i="1" s="1"/>
  <c r="S36" i="1" s="1"/>
  <c r="U36" i="1" s="1"/>
  <c r="W36" i="1" s="1"/>
  <c r="Y36" i="1" s="1"/>
  <c r="AA36" i="1" s="1"/>
  <c r="AC36" i="1" s="1"/>
  <c r="Q38" i="1" s="1"/>
  <c r="S38" i="1" s="1"/>
  <c r="U38" i="1" s="1"/>
  <c r="W38" i="1" s="1"/>
  <c r="Y38" i="1" s="1"/>
  <c r="AA38" i="1" s="1"/>
  <c r="AR30" i="1" s="1"/>
  <c r="AF32" i="1" s="1"/>
  <c r="AH32" i="1" s="1"/>
  <c r="B32" i="1"/>
  <c r="D31" i="1"/>
  <c r="AL14" i="1"/>
  <c r="AN13" i="1"/>
  <c r="Q15" i="1"/>
  <c r="AC14" i="1"/>
  <c r="J12" i="1"/>
  <c r="P315" i="2" l="1"/>
  <c r="R314" i="2"/>
  <c r="P347" i="2"/>
  <c r="R346" i="2"/>
  <c r="P168" i="2"/>
  <c r="R167" i="2"/>
  <c r="P108" i="2"/>
  <c r="R107" i="2"/>
  <c r="P197" i="2"/>
  <c r="R196" i="2"/>
  <c r="P139" i="2"/>
  <c r="R138" i="2"/>
  <c r="P227" i="2"/>
  <c r="R226" i="2"/>
  <c r="P287" i="2"/>
  <c r="R286" i="2"/>
  <c r="P50" i="2"/>
  <c r="R49" i="2"/>
  <c r="P256" i="2"/>
  <c r="R255" i="2"/>
  <c r="P79" i="2"/>
  <c r="R78" i="2"/>
  <c r="AP68" i="1"/>
  <c r="AR67" i="1"/>
  <c r="U67" i="1"/>
  <c r="S68" i="1"/>
  <c r="D67" i="1"/>
  <c r="B68" i="1"/>
  <c r="AJ49" i="1"/>
  <c r="AH50" i="1"/>
  <c r="S49" i="1"/>
  <c r="Q50" i="1"/>
  <c r="F49" i="1"/>
  <c r="D50" i="1"/>
  <c r="AJ32" i="1"/>
  <c r="AL31" i="1"/>
  <c r="U31" i="1"/>
  <c r="F31" i="1"/>
  <c r="D32" i="1"/>
  <c r="AN14" i="1"/>
  <c r="AP13" i="1"/>
  <c r="Q16" i="1"/>
  <c r="S15" i="1"/>
  <c r="L12" i="1"/>
  <c r="P257" i="2" l="1"/>
  <c r="R256" i="2"/>
  <c r="P288" i="2"/>
  <c r="R287" i="2"/>
  <c r="P140" i="2"/>
  <c r="R139" i="2"/>
  <c r="P109" i="2"/>
  <c r="R108" i="2"/>
  <c r="P348" i="2"/>
  <c r="R347" i="2"/>
  <c r="P80" i="2"/>
  <c r="R79" i="2"/>
  <c r="P51" i="2"/>
  <c r="R50" i="2"/>
  <c r="P228" i="2"/>
  <c r="R227" i="2"/>
  <c r="P198" i="2"/>
  <c r="R197" i="2"/>
  <c r="P169" i="2"/>
  <c r="R168" i="2"/>
  <c r="P316" i="2"/>
  <c r="R315" i="2"/>
  <c r="AF69" i="1"/>
  <c r="AR68" i="1"/>
  <c r="U68" i="1"/>
  <c r="W67" i="1"/>
  <c r="F67" i="1"/>
  <c r="D68" i="1"/>
  <c r="AJ50" i="1"/>
  <c r="AL49" i="1"/>
  <c r="U49" i="1"/>
  <c r="S50" i="1"/>
  <c r="F50" i="1"/>
  <c r="H49" i="1"/>
  <c r="AL32" i="1"/>
  <c r="AN31" i="1"/>
  <c r="W31" i="1"/>
  <c r="H31" i="1"/>
  <c r="F32" i="1"/>
  <c r="AP14" i="1"/>
  <c r="AR13" i="1"/>
  <c r="U15" i="1"/>
  <c r="S16" i="1"/>
  <c r="N12" i="1"/>
  <c r="P170" i="2" l="1"/>
  <c r="R169" i="2"/>
  <c r="P229" i="2"/>
  <c r="R228" i="2"/>
  <c r="P81" i="2"/>
  <c r="R80" i="2"/>
  <c r="P110" i="2"/>
  <c r="R109" i="2"/>
  <c r="P289" i="2"/>
  <c r="R288" i="2"/>
  <c r="P317" i="2"/>
  <c r="R316" i="2"/>
  <c r="P199" i="2"/>
  <c r="R198" i="2"/>
  <c r="P52" i="2"/>
  <c r="R51" i="2"/>
  <c r="P349" i="2"/>
  <c r="R348" i="2"/>
  <c r="P141" i="2"/>
  <c r="R140" i="2"/>
  <c r="P258" i="2"/>
  <c r="R257" i="2"/>
  <c r="AF70" i="1"/>
  <c r="AH69" i="1"/>
  <c r="Y67" i="1"/>
  <c r="W68" i="1"/>
  <c r="F68" i="1"/>
  <c r="H67" i="1"/>
  <c r="AL50" i="1"/>
  <c r="AN49" i="1"/>
  <c r="U50" i="1"/>
  <c r="W49" i="1"/>
  <c r="J49" i="1"/>
  <c r="H50" i="1"/>
  <c r="AN32" i="1"/>
  <c r="AP31" i="1"/>
  <c r="Y31" i="1"/>
  <c r="H32" i="1"/>
  <c r="J31" i="1"/>
  <c r="AF15" i="1"/>
  <c r="AR14" i="1"/>
  <c r="U16" i="1"/>
  <c r="W15" i="1"/>
  <c r="B13" i="1"/>
  <c r="B14" i="1" s="1"/>
  <c r="P318" i="2" l="1"/>
  <c r="R317" i="2"/>
  <c r="P230" i="2"/>
  <c r="R229" i="2"/>
  <c r="P53" i="2"/>
  <c r="R52" i="2"/>
  <c r="P142" i="2"/>
  <c r="R141" i="2"/>
  <c r="P111" i="2"/>
  <c r="R110" i="2"/>
  <c r="P259" i="2"/>
  <c r="R258" i="2"/>
  <c r="P350" i="2"/>
  <c r="R349" i="2"/>
  <c r="P200" i="2"/>
  <c r="R199" i="2"/>
  <c r="P290" i="2"/>
  <c r="R289" i="2"/>
  <c r="P82" i="2"/>
  <c r="R81" i="2"/>
  <c r="P171" i="2"/>
  <c r="R170" i="2"/>
  <c r="AJ69" i="1"/>
  <c r="AH70" i="1"/>
  <c r="Y68" i="1"/>
  <c r="AA67" i="1"/>
  <c r="H68" i="1"/>
  <c r="J67" i="1"/>
  <c r="AN50" i="1"/>
  <c r="AP49" i="1"/>
  <c r="W50" i="1"/>
  <c r="Y49" i="1"/>
  <c r="J50" i="1"/>
  <c r="L49" i="1"/>
  <c r="AR31" i="1"/>
  <c r="AP32" i="1"/>
  <c r="AA31" i="1"/>
  <c r="J32" i="1"/>
  <c r="L31" i="1"/>
  <c r="AF16" i="1"/>
  <c r="AH15" i="1"/>
  <c r="Y15" i="1"/>
  <c r="W16" i="1"/>
  <c r="D13" i="1"/>
  <c r="D14" i="1" s="1"/>
  <c r="P260" i="2" l="1"/>
  <c r="R259" i="2"/>
  <c r="P143" i="2"/>
  <c r="R142" i="2"/>
  <c r="P231" i="2"/>
  <c r="R230" i="2"/>
  <c r="P83" i="2"/>
  <c r="R82" i="2"/>
  <c r="P201" i="2"/>
  <c r="R200" i="2"/>
  <c r="P172" i="2"/>
  <c r="R171" i="2"/>
  <c r="P291" i="2"/>
  <c r="R290" i="2"/>
  <c r="P351" i="2"/>
  <c r="R350" i="2"/>
  <c r="P112" i="2"/>
  <c r="R111" i="2"/>
  <c r="P54" i="2"/>
  <c r="R53" i="2"/>
  <c r="P319" i="2"/>
  <c r="R318" i="2"/>
  <c r="AJ70" i="1"/>
  <c r="AL69" i="1"/>
  <c r="AC67" i="1"/>
  <c r="AA68" i="1"/>
  <c r="L67" i="1"/>
  <c r="J68" i="1"/>
  <c r="AR49" i="1"/>
  <c r="AP50" i="1"/>
  <c r="AA49" i="1"/>
  <c r="Y50" i="1"/>
  <c r="N49" i="1"/>
  <c r="L50" i="1"/>
  <c r="AR32" i="1"/>
  <c r="AF33" i="1"/>
  <c r="AC31" i="1"/>
  <c r="L32" i="1"/>
  <c r="N31" i="1"/>
  <c r="AH16" i="1"/>
  <c r="AJ15" i="1"/>
  <c r="Y16" i="1"/>
  <c r="AA15" i="1"/>
  <c r="F13" i="1"/>
  <c r="F14" i="1" s="1"/>
  <c r="P352" i="2" l="1"/>
  <c r="R351" i="2"/>
  <c r="P84" i="2"/>
  <c r="R83" i="2"/>
  <c r="P144" i="2"/>
  <c r="R143" i="2"/>
  <c r="P55" i="2"/>
  <c r="R54" i="2"/>
  <c r="P173" i="2"/>
  <c r="R172" i="2"/>
  <c r="P320" i="2"/>
  <c r="R319" i="2"/>
  <c r="P113" i="2"/>
  <c r="R112" i="2"/>
  <c r="P292" i="2"/>
  <c r="R291" i="2"/>
  <c r="P202" i="2"/>
  <c r="R201" i="2"/>
  <c r="P232" i="2"/>
  <c r="R231" i="2"/>
  <c r="P261" i="2"/>
  <c r="R260" i="2"/>
  <c r="AN69" i="1"/>
  <c r="AL70" i="1"/>
  <c r="AC68" i="1"/>
  <c r="Q69" i="1"/>
  <c r="N67" i="1"/>
  <c r="L68" i="1"/>
  <c r="AR50" i="1"/>
  <c r="AF51" i="1"/>
  <c r="AC49" i="1"/>
  <c r="AA50" i="1"/>
  <c r="N50" i="1"/>
  <c r="B51" i="1"/>
  <c r="AH33" i="1"/>
  <c r="AF34" i="1"/>
  <c r="Q33" i="1"/>
  <c r="B33" i="1"/>
  <c r="N32" i="1"/>
  <c r="AJ16" i="1"/>
  <c r="AL15" i="1"/>
  <c r="AC15" i="1"/>
  <c r="AA16" i="1"/>
  <c r="H13" i="1"/>
  <c r="H14" i="1" s="1"/>
  <c r="P293" i="2" l="1"/>
  <c r="R292" i="2"/>
  <c r="P56" i="2"/>
  <c r="R55" i="2"/>
  <c r="P85" i="2"/>
  <c r="R84" i="2"/>
  <c r="P321" i="2"/>
  <c r="R320" i="2"/>
  <c r="P233" i="2"/>
  <c r="R232" i="2"/>
  <c r="P262" i="2"/>
  <c r="R261" i="2"/>
  <c r="P203" i="2"/>
  <c r="R202" i="2"/>
  <c r="P114" i="2"/>
  <c r="R113" i="2"/>
  <c r="P174" i="2"/>
  <c r="R173" i="2"/>
  <c r="P145" i="2"/>
  <c r="R144" i="2"/>
  <c r="P353" i="2"/>
  <c r="R352" i="2"/>
  <c r="AN70" i="1"/>
  <c r="AP69" i="1"/>
  <c r="Q70" i="1"/>
  <c r="S69" i="1"/>
  <c r="N68" i="1"/>
  <c r="B69" i="1"/>
  <c r="AF52" i="1"/>
  <c r="AH51" i="1"/>
  <c r="Q51" i="1"/>
  <c r="AC50" i="1"/>
  <c r="B52" i="1"/>
  <c r="D51" i="1"/>
  <c r="AJ33" i="1"/>
  <c r="AH34" i="1"/>
  <c r="S33" i="1"/>
  <c r="B34" i="1"/>
  <c r="D33" i="1"/>
  <c r="AN15" i="1"/>
  <c r="AL16" i="1"/>
  <c r="AC16" i="1"/>
  <c r="Q17" i="1"/>
  <c r="J13" i="1"/>
  <c r="J14" i="1" s="1"/>
  <c r="P115" i="2" l="1"/>
  <c r="R114" i="2"/>
  <c r="P263" i="2"/>
  <c r="R262" i="2"/>
  <c r="P322" i="2"/>
  <c r="R321" i="2"/>
  <c r="P57" i="2"/>
  <c r="R56" i="2"/>
  <c r="P146" i="2"/>
  <c r="R145" i="2"/>
  <c r="P354" i="2"/>
  <c r="R353" i="2"/>
  <c r="P175" i="2"/>
  <c r="R174" i="2"/>
  <c r="P204" i="2"/>
  <c r="R203" i="2"/>
  <c r="P234" i="2"/>
  <c r="R233" i="2"/>
  <c r="P86" i="2"/>
  <c r="R85" i="2"/>
  <c r="P294" i="2"/>
  <c r="R293" i="2"/>
  <c r="AR69" i="1"/>
  <c r="AP70" i="1"/>
  <c r="U69" i="1"/>
  <c r="S70" i="1"/>
  <c r="D69" i="1"/>
  <c r="B70" i="1"/>
  <c r="AJ51" i="1"/>
  <c r="AH52" i="1"/>
  <c r="S51" i="1"/>
  <c r="Q52" i="1"/>
  <c r="F51" i="1"/>
  <c r="D52" i="1"/>
  <c r="AJ34" i="1"/>
  <c r="AL33" i="1"/>
  <c r="U33" i="1"/>
  <c r="F33" i="1"/>
  <c r="D34" i="1"/>
  <c r="AN16" i="1"/>
  <c r="AP15" i="1"/>
  <c r="Q18" i="1"/>
  <c r="S17" i="1"/>
  <c r="L13" i="1"/>
  <c r="L14" i="1" s="1"/>
  <c r="P205" i="2" l="1"/>
  <c r="R204" i="2"/>
  <c r="P58" i="2"/>
  <c r="R57" i="2"/>
  <c r="P87" i="2"/>
  <c r="R86" i="2"/>
  <c r="P355" i="2"/>
  <c r="R354" i="2"/>
  <c r="P264" i="2"/>
  <c r="R263" i="2"/>
  <c r="P295" i="2"/>
  <c r="R294" i="2"/>
  <c r="P235" i="2"/>
  <c r="R234" i="2"/>
  <c r="P176" i="2"/>
  <c r="R175" i="2"/>
  <c r="P147" i="2"/>
  <c r="R146" i="2"/>
  <c r="P323" i="2"/>
  <c r="R322" i="2"/>
  <c r="P116" i="2"/>
  <c r="R115" i="2"/>
  <c r="AR70" i="1"/>
  <c r="AF71" i="1"/>
  <c r="U70" i="1"/>
  <c r="W69" i="1"/>
  <c r="D70" i="1"/>
  <c r="F69" i="1"/>
  <c r="AL51" i="1"/>
  <c r="AJ52" i="1"/>
  <c r="S52" i="1"/>
  <c r="U51" i="1"/>
  <c r="H51" i="1"/>
  <c r="F52" i="1"/>
  <c r="AL34" i="1"/>
  <c r="AN33" i="1"/>
  <c r="W33" i="1"/>
  <c r="F34" i="1"/>
  <c r="H33" i="1"/>
  <c r="AP16" i="1"/>
  <c r="AR15" i="1"/>
  <c r="U17" i="1"/>
  <c r="S18" i="1"/>
  <c r="N13" i="1"/>
  <c r="N14" i="1" s="1"/>
  <c r="P324" i="2" l="1"/>
  <c r="R323" i="2"/>
  <c r="P177" i="2"/>
  <c r="R176" i="2"/>
  <c r="P296" i="2"/>
  <c r="R295" i="2"/>
  <c r="P356" i="2"/>
  <c r="R355" i="2"/>
  <c r="P59" i="2"/>
  <c r="R58" i="2"/>
  <c r="P117" i="2"/>
  <c r="R116" i="2"/>
  <c r="P148" i="2"/>
  <c r="R147" i="2"/>
  <c r="P236" i="2"/>
  <c r="R235" i="2"/>
  <c r="P265" i="2"/>
  <c r="R264" i="2"/>
  <c r="P88" i="2"/>
  <c r="R87" i="2"/>
  <c r="P206" i="2"/>
  <c r="R205" i="2"/>
  <c r="AF72" i="1"/>
  <c r="AH71" i="1"/>
  <c r="W70" i="1"/>
  <c r="Y69" i="1"/>
  <c r="F70" i="1"/>
  <c r="H69" i="1"/>
  <c r="AL52" i="1"/>
  <c r="AN51" i="1"/>
  <c r="U52" i="1"/>
  <c r="W51" i="1"/>
  <c r="H52" i="1"/>
  <c r="J51" i="1"/>
  <c r="AP33" i="1"/>
  <c r="AN34" i="1"/>
  <c r="Y33" i="1"/>
  <c r="J33" i="1"/>
  <c r="H34" i="1"/>
  <c r="AR16" i="1"/>
  <c r="AF17" i="1"/>
  <c r="U18" i="1"/>
  <c r="W17" i="1"/>
  <c r="B15" i="1"/>
  <c r="B16" i="1" s="1"/>
  <c r="P89" i="2" l="1"/>
  <c r="R88" i="2"/>
  <c r="P237" i="2"/>
  <c r="R236" i="2"/>
  <c r="P118" i="2"/>
  <c r="R117" i="2"/>
  <c r="P357" i="2"/>
  <c r="R356" i="2"/>
  <c r="P178" i="2"/>
  <c r="R177" i="2"/>
  <c r="P207" i="2"/>
  <c r="R206" i="2"/>
  <c r="P266" i="2"/>
  <c r="R265" i="2"/>
  <c r="P149" i="2"/>
  <c r="R148" i="2"/>
  <c r="P60" i="2"/>
  <c r="R59" i="2"/>
  <c r="P297" i="2"/>
  <c r="R296" i="2"/>
  <c r="P325" i="2"/>
  <c r="R324" i="2"/>
  <c r="AJ71" i="1"/>
  <c r="AH72" i="1"/>
  <c r="Y70" i="1"/>
  <c r="AA69" i="1"/>
  <c r="H70" i="1"/>
  <c r="J69" i="1"/>
  <c r="AP51" i="1"/>
  <c r="AN52" i="1"/>
  <c r="W52" i="1"/>
  <c r="Y51" i="1"/>
  <c r="J52" i="1"/>
  <c r="L51" i="1"/>
  <c r="AR33" i="1"/>
  <c r="AP34" i="1"/>
  <c r="AA33" i="1"/>
  <c r="J34" i="1"/>
  <c r="L33" i="1"/>
  <c r="AF18" i="1"/>
  <c r="AH17" i="1"/>
  <c r="W18" i="1"/>
  <c r="Y17" i="1"/>
  <c r="D15" i="1"/>
  <c r="D16" i="1" s="1"/>
  <c r="P298" i="2" l="1"/>
  <c r="R297" i="2"/>
  <c r="P150" i="2"/>
  <c r="R149" i="2"/>
  <c r="P208" i="2"/>
  <c r="R207" i="2"/>
  <c r="P358" i="2"/>
  <c r="R357" i="2"/>
  <c r="P238" i="2"/>
  <c r="R237" i="2"/>
  <c r="P326" i="2"/>
  <c r="R325" i="2"/>
  <c r="P61" i="2"/>
  <c r="R60" i="2"/>
  <c r="P267" i="2"/>
  <c r="R266" i="2"/>
  <c r="P179" i="2"/>
  <c r="R178" i="2"/>
  <c r="P119" i="2"/>
  <c r="R118" i="2"/>
  <c r="P90" i="2"/>
  <c r="R89" i="2"/>
  <c r="AJ72" i="1"/>
  <c r="AL71" i="1"/>
  <c r="AC69" i="1"/>
  <c r="AA70" i="1"/>
  <c r="L69" i="1"/>
  <c r="J70" i="1"/>
  <c r="AR51" i="1"/>
  <c r="AP52" i="1"/>
  <c r="AA51" i="1"/>
  <c r="Y52" i="1"/>
  <c r="N51" i="1"/>
  <c r="L52" i="1"/>
  <c r="AF35" i="1"/>
  <c r="AR34" i="1"/>
  <c r="AC33" i="1"/>
  <c r="Q35" i="1" s="1"/>
  <c r="S35" i="1" s="1"/>
  <c r="U35" i="1" s="1"/>
  <c r="W35" i="1" s="1"/>
  <c r="Y35" i="1" s="1"/>
  <c r="AA35" i="1" s="1"/>
  <c r="AC35" i="1" s="1"/>
  <c r="Q37" i="1" s="1"/>
  <c r="S37" i="1" s="1"/>
  <c r="U37" i="1" s="1"/>
  <c r="W37" i="1" s="1"/>
  <c r="Y37" i="1" s="1"/>
  <c r="AA37" i="1" s="1"/>
  <c r="N33" i="1"/>
  <c r="L34" i="1"/>
  <c r="AJ17" i="1"/>
  <c r="AH18" i="1"/>
  <c r="Y18" i="1"/>
  <c r="AA17" i="1"/>
  <c r="F15" i="1"/>
  <c r="F16" i="1" s="1"/>
  <c r="P120" i="2" l="1"/>
  <c r="R119" i="2"/>
  <c r="P268" i="2"/>
  <c r="R267" i="2"/>
  <c r="P327" i="2"/>
  <c r="R326" i="2"/>
  <c r="P359" i="2"/>
  <c r="R358" i="2"/>
  <c r="P151" i="2"/>
  <c r="R150" i="2"/>
  <c r="P91" i="2"/>
  <c r="R90" i="2"/>
  <c r="P180" i="2"/>
  <c r="R179" i="2"/>
  <c r="P62" i="2"/>
  <c r="R61" i="2"/>
  <c r="P239" i="2"/>
  <c r="R238" i="2"/>
  <c r="P209" i="2"/>
  <c r="R208" i="2"/>
  <c r="P299" i="2"/>
  <c r="R298" i="2"/>
  <c r="AL72" i="1"/>
  <c r="AN71" i="1"/>
  <c r="AC70" i="1"/>
  <c r="Q71" i="1"/>
  <c r="L70" i="1"/>
  <c r="N69" i="1"/>
  <c r="AF53" i="1"/>
  <c r="AR52" i="1"/>
  <c r="AA52" i="1"/>
  <c r="AC51" i="1"/>
  <c r="B53" i="1"/>
  <c r="N52" i="1"/>
  <c r="AH35" i="1"/>
  <c r="AF36" i="1"/>
  <c r="N34" i="1"/>
  <c r="B35" i="1"/>
  <c r="AJ18" i="1"/>
  <c r="AL17" i="1"/>
  <c r="AC17" i="1"/>
  <c r="AA18" i="1"/>
  <c r="H15" i="1"/>
  <c r="H16" i="1" s="1"/>
  <c r="P210" i="2" l="1"/>
  <c r="R209" i="2"/>
  <c r="P63" i="2"/>
  <c r="R62" i="2"/>
  <c r="P92" i="2"/>
  <c r="R91" i="2"/>
  <c r="P360" i="2"/>
  <c r="R359" i="2"/>
  <c r="P269" i="2"/>
  <c r="R268" i="2"/>
  <c r="P300" i="2"/>
  <c r="R299" i="2"/>
  <c r="P240" i="2"/>
  <c r="R239" i="2"/>
  <c r="P181" i="2"/>
  <c r="R180" i="2"/>
  <c r="P152" i="2"/>
  <c r="R151" i="2"/>
  <c r="P328" i="2"/>
  <c r="R327" i="2"/>
  <c r="P121" i="2"/>
  <c r="R120" i="2"/>
  <c r="AN72" i="1"/>
  <c r="AP71" i="1"/>
  <c r="S71" i="1"/>
  <c r="Q72" i="1"/>
  <c r="B71" i="1"/>
  <c r="N70" i="1"/>
  <c r="AH53" i="1"/>
  <c r="AF54" i="1"/>
  <c r="Q53" i="1"/>
  <c r="AC52" i="1"/>
  <c r="D53" i="1"/>
  <c r="B54" i="1"/>
  <c r="AH36" i="1"/>
  <c r="AJ35" i="1"/>
  <c r="B36" i="1"/>
  <c r="D35" i="1"/>
  <c r="AN17" i="1"/>
  <c r="AL18" i="1"/>
  <c r="AC18" i="1"/>
  <c r="Q19" i="1"/>
  <c r="J15" i="1"/>
  <c r="J16" i="1" s="1"/>
  <c r="P329" i="2" l="1"/>
  <c r="R328" i="2"/>
  <c r="P182" i="2"/>
  <c r="R181" i="2"/>
  <c r="P301" i="2"/>
  <c r="R300" i="2"/>
  <c r="P361" i="2"/>
  <c r="R360" i="2"/>
  <c r="P64" i="2"/>
  <c r="R63" i="2"/>
  <c r="P122" i="2"/>
  <c r="R121" i="2"/>
  <c r="P153" i="2"/>
  <c r="R152" i="2"/>
  <c r="P241" i="2"/>
  <c r="R240" i="2"/>
  <c r="P270" i="2"/>
  <c r="R269" i="2"/>
  <c r="P93" i="2"/>
  <c r="R92" i="2"/>
  <c r="P211" i="2"/>
  <c r="R210" i="2"/>
  <c r="AR71" i="1"/>
  <c r="AP72" i="1"/>
  <c r="U71" i="1"/>
  <c r="S72" i="1"/>
  <c r="B72" i="1"/>
  <c r="D71" i="1"/>
  <c r="AH54" i="1"/>
  <c r="AJ53" i="1"/>
  <c r="Q54" i="1"/>
  <c r="S53" i="1"/>
  <c r="D54" i="1"/>
  <c r="F53" i="1"/>
  <c r="AJ36" i="1"/>
  <c r="AL35" i="1"/>
  <c r="F35" i="1"/>
  <c r="D36" i="1"/>
  <c r="AN18" i="1"/>
  <c r="AP17" i="1"/>
  <c r="Q20" i="1"/>
  <c r="S19" i="1"/>
  <c r="L15" i="1"/>
  <c r="L16" i="1" s="1"/>
  <c r="P94" i="2" l="1"/>
  <c r="R93" i="2"/>
  <c r="P242" i="2"/>
  <c r="R241" i="2"/>
  <c r="P123" i="2"/>
  <c r="R122" i="2"/>
  <c r="P362" i="2"/>
  <c r="R361" i="2"/>
  <c r="P183" i="2"/>
  <c r="R182" i="2"/>
  <c r="P212" i="2"/>
  <c r="R211" i="2"/>
  <c r="P271" i="2"/>
  <c r="R270" i="2"/>
  <c r="P154" i="2"/>
  <c r="R153" i="2"/>
  <c r="P65" i="2"/>
  <c r="R64" i="2"/>
  <c r="P302" i="2"/>
  <c r="R301" i="2"/>
  <c r="P330" i="2"/>
  <c r="R329" i="2"/>
  <c r="AR72" i="1"/>
  <c r="AF73" i="1"/>
  <c r="U72" i="1"/>
  <c r="W71" i="1"/>
  <c r="D72" i="1"/>
  <c r="F71" i="1"/>
  <c r="AJ54" i="1"/>
  <c r="AL53" i="1"/>
  <c r="U53" i="1"/>
  <c r="S54" i="1"/>
  <c r="F54" i="1"/>
  <c r="H53" i="1"/>
  <c r="AL36" i="1"/>
  <c r="AN35" i="1"/>
  <c r="F36" i="1"/>
  <c r="H35" i="1"/>
  <c r="AR17" i="1"/>
  <c r="AP18" i="1"/>
  <c r="U19" i="1"/>
  <c r="S20" i="1"/>
  <c r="N15" i="1"/>
  <c r="N16" i="1" s="1"/>
  <c r="P303" i="2" l="1"/>
  <c r="R302" i="2"/>
  <c r="P155" i="2"/>
  <c r="R154" i="2"/>
  <c r="P213" i="2"/>
  <c r="R212" i="2"/>
  <c r="P363" i="2"/>
  <c r="R362" i="2"/>
  <c r="P243" i="2"/>
  <c r="R242" i="2"/>
  <c r="P331" i="2"/>
  <c r="R330" i="2"/>
  <c r="P66" i="2"/>
  <c r="R65" i="2"/>
  <c r="P272" i="2"/>
  <c r="R271" i="2"/>
  <c r="P184" i="2"/>
  <c r="R183" i="2"/>
  <c r="P124" i="2"/>
  <c r="R123" i="2"/>
  <c r="P95" i="2"/>
  <c r="R94" i="2"/>
  <c r="AH73" i="1"/>
  <c r="AF74" i="1"/>
  <c r="W72" i="1"/>
  <c r="Y71" i="1"/>
  <c r="F72" i="1"/>
  <c r="H71" i="1"/>
  <c r="AL54" i="1"/>
  <c r="AN53" i="1"/>
  <c r="U54" i="1"/>
  <c r="W53" i="1"/>
  <c r="H54" i="1"/>
  <c r="J53" i="1"/>
  <c r="AP35" i="1"/>
  <c r="AN36" i="1"/>
  <c r="H36" i="1"/>
  <c r="J35" i="1"/>
  <c r="AR18" i="1"/>
  <c r="AF19" i="1"/>
  <c r="U20" i="1"/>
  <c r="W19" i="1"/>
  <c r="B17" i="1"/>
  <c r="B18" i="1" s="1"/>
  <c r="P332" i="2" l="1"/>
  <c r="R331" i="2"/>
  <c r="P364" i="2"/>
  <c r="R364" i="2" s="1"/>
  <c r="R363" i="2"/>
  <c r="P156" i="2"/>
  <c r="R155" i="2"/>
  <c r="P273" i="2"/>
  <c r="R272" i="2"/>
  <c r="P125" i="2"/>
  <c r="R124" i="2"/>
  <c r="P96" i="2"/>
  <c r="R95" i="2"/>
  <c r="P185" i="2"/>
  <c r="R184" i="2"/>
  <c r="P67" i="2"/>
  <c r="R66" i="2"/>
  <c r="P244" i="2"/>
  <c r="R243" i="2"/>
  <c r="P214" i="2"/>
  <c r="R213" i="2"/>
  <c r="P304" i="2"/>
  <c r="R303" i="2"/>
  <c r="D17" i="1"/>
  <c r="D18" i="1" s="1"/>
  <c r="AJ73" i="1"/>
  <c r="AH74" i="1"/>
  <c r="AA71" i="1"/>
  <c r="Y72" i="1"/>
  <c r="J71" i="1"/>
  <c r="H72" i="1"/>
  <c r="AP53" i="1"/>
  <c r="AN54" i="1"/>
  <c r="Y53" i="1"/>
  <c r="W54" i="1"/>
  <c r="L53" i="1"/>
  <c r="J54" i="1"/>
  <c r="AP36" i="1"/>
  <c r="AR35" i="1"/>
  <c r="AF37" i="1" s="1"/>
  <c r="J36" i="1"/>
  <c r="L35" i="1"/>
  <c r="AF20" i="1"/>
  <c r="AH19" i="1"/>
  <c r="Y19" i="1"/>
  <c r="Y20" i="1" s="1"/>
  <c r="W20" i="1"/>
  <c r="P68" i="2" l="1"/>
  <c r="R68" i="2" s="1"/>
  <c r="R67" i="2"/>
  <c r="P215" i="2"/>
  <c r="R214" i="2"/>
  <c r="P97" i="2"/>
  <c r="R96" i="2"/>
  <c r="P274" i="2"/>
  <c r="R273" i="2"/>
  <c r="U6" i="2"/>
  <c r="P305" i="2"/>
  <c r="R305" i="2" s="1"/>
  <c r="R304" i="2"/>
  <c r="P245" i="2"/>
  <c r="R244" i="2"/>
  <c r="P186" i="2"/>
  <c r="R185" i="2"/>
  <c r="P126" i="2"/>
  <c r="R125" i="2"/>
  <c r="P157" i="2"/>
  <c r="R156" i="2"/>
  <c r="P333" i="2"/>
  <c r="R332" i="2"/>
  <c r="F17" i="1"/>
  <c r="F18" i="1" s="1"/>
  <c r="AF38" i="1"/>
  <c r="AH37" i="1"/>
  <c r="AJ74" i="1"/>
  <c r="AC71" i="1"/>
  <c r="AA72" i="1"/>
  <c r="L71" i="1"/>
  <c r="J72" i="1"/>
  <c r="AP54" i="1"/>
  <c r="AR53" i="1"/>
  <c r="Y54" i="1"/>
  <c r="AA53" i="1"/>
  <c r="L54" i="1"/>
  <c r="N53" i="1"/>
  <c r="AR36" i="1"/>
  <c r="N35" i="1"/>
  <c r="L36" i="1"/>
  <c r="AJ19" i="1"/>
  <c r="AH20" i="1"/>
  <c r="R157" i="2" l="1"/>
  <c r="P158" i="2"/>
  <c r="R158" i="2" s="1"/>
  <c r="P334" i="2"/>
  <c r="R333" i="2"/>
  <c r="P127" i="2"/>
  <c r="R126" i="2"/>
  <c r="P246" i="2"/>
  <c r="R246" i="2" s="1"/>
  <c r="R245" i="2"/>
  <c r="P275" i="2"/>
  <c r="R274" i="2"/>
  <c r="P216" i="2"/>
  <c r="R215" i="2"/>
  <c r="P187" i="2"/>
  <c r="R187" i="2" s="1"/>
  <c r="R186" i="2"/>
  <c r="P98" i="2"/>
  <c r="R98" i="2" s="1"/>
  <c r="R97" i="2"/>
  <c r="H17" i="1"/>
  <c r="H18" i="1" s="1"/>
  <c r="AJ37" i="1"/>
  <c r="AH38" i="1"/>
  <c r="Q73" i="1"/>
  <c r="AC72" i="1"/>
  <c r="L72" i="1"/>
  <c r="N71" i="1"/>
  <c r="AF55" i="1"/>
  <c r="AR54" i="1"/>
  <c r="AC53" i="1"/>
  <c r="AA54" i="1"/>
  <c r="B55" i="1"/>
  <c r="N54" i="1"/>
  <c r="N36" i="1"/>
  <c r="B37" i="1"/>
  <c r="AJ20" i="1"/>
  <c r="AL19" i="1"/>
  <c r="P276" i="2" l="1"/>
  <c r="R276" i="2" s="1"/>
  <c r="R275" i="2"/>
  <c r="P128" i="2"/>
  <c r="R128" i="2" s="1"/>
  <c r="R127" i="2"/>
  <c r="V5" i="2" s="1"/>
  <c r="P217" i="2"/>
  <c r="R217" i="2" s="1"/>
  <c r="R216" i="2"/>
  <c r="U5" i="2" s="1"/>
  <c r="P335" i="2"/>
  <c r="R335" i="2" s="1"/>
  <c r="R334" i="2"/>
  <c r="J17" i="1"/>
  <c r="J18" i="1" s="1"/>
  <c r="AJ38" i="1"/>
  <c r="AL37" i="1"/>
  <c r="Q74" i="1"/>
  <c r="S73" i="1"/>
  <c r="N72" i="1"/>
  <c r="B73" i="1"/>
  <c r="AF56" i="1"/>
  <c r="AH55" i="1"/>
  <c r="AC54" i="1"/>
  <c r="Q55" i="1"/>
  <c r="D55" i="1"/>
  <c r="B56" i="1"/>
  <c r="B38" i="1"/>
  <c r="D37" i="1"/>
  <c r="AL20" i="1"/>
  <c r="AN19" i="1"/>
  <c r="U15" i="2" l="1"/>
  <c r="V8" i="2"/>
  <c r="U22" i="2"/>
  <c r="V19" i="2"/>
  <c r="U17" i="2"/>
  <c r="V17" i="2"/>
  <c r="U20" i="2"/>
  <c r="U12" i="2"/>
  <c r="U7" i="2"/>
  <c r="V21" i="2"/>
  <c r="V14" i="2"/>
  <c r="U14" i="2"/>
  <c r="V9" i="2"/>
  <c r="U19" i="2"/>
  <c r="V12" i="2"/>
  <c r="V6" i="2"/>
  <c r="U18" i="2"/>
  <c r="V23" i="2"/>
  <c r="V13" i="2"/>
  <c r="V10" i="2"/>
  <c r="V22" i="2"/>
  <c r="V7" i="2"/>
  <c r="V18" i="2"/>
  <c r="V15" i="2"/>
  <c r="U21" i="2"/>
  <c r="V11" i="2"/>
  <c r="U11" i="2"/>
  <c r="U10" i="2"/>
  <c r="U8" i="2"/>
  <c r="U16" i="2"/>
  <c r="V20" i="2"/>
  <c r="U13" i="2"/>
  <c r="U4" i="2"/>
  <c r="V16" i="2"/>
  <c r="U9" i="2"/>
  <c r="V4" i="2"/>
  <c r="U23" i="2"/>
  <c r="L17" i="1"/>
  <c r="L18" i="1" s="1"/>
  <c r="AL38" i="1"/>
  <c r="AN37" i="1"/>
  <c r="S74" i="1"/>
  <c r="U73" i="1"/>
  <c r="B74" i="1"/>
  <c r="D73" i="1"/>
  <c r="AH56" i="1"/>
  <c r="Q56" i="1"/>
  <c r="S55" i="1"/>
  <c r="D56" i="1"/>
  <c r="F55" i="1"/>
  <c r="F37" i="1"/>
  <c r="D38" i="1"/>
  <c r="AN20" i="1"/>
  <c r="AP19" i="1"/>
  <c r="N17" i="1"/>
  <c r="N18" i="1" s="1"/>
  <c r="AN38" i="1" l="1"/>
  <c r="AP37" i="1"/>
  <c r="F56" i="1"/>
  <c r="H55" i="1"/>
  <c r="H56" i="1" s="1"/>
  <c r="U74" i="1"/>
  <c r="W73" i="1"/>
  <c r="D74" i="1"/>
  <c r="F73" i="1"/>
  <c r="S56" i="1"/>
  <c r="U55" i="1"/>
  <c r="F38" i="1"/>
  <c r="AP20" i="1"/>
  <c r="AR19" i="1"/>
  <c r="B19" i="1"/>
  <c r="B20" i="1" s="1"/>
  <c r="AP38" i="1" l="1"/>
  <c r="AR37" i="1"/>
  <c r="Y73" i="1"/>
  <c r="W74" i="1"/>
  <c r="H73" i="1"/>
  <c r="F74" i="1"/>
  <c r="W55" i="1"/>
  <c r="U56" i="1"/>
  <c r="AR20" i="1"/>
  <c r="AF21" i="1"/>
  <c r="AF22" i="1" s="1"/>
  <c r="D19" i="1"/>
  <c r="D20" i="1" s="1"/>
  <c r="W56" i="1" l="1"/>
  <c r="Y55" i="1"/>
  <c r="Y74" i="1"/>
  <c r="AA73" i="1"/>
  <c r="AR38" i="1"/>
  <c r="AF39" i="1"/>
  <c r="AF40" i="1" s="1"/>
  <c r="H74" i="1"/>
  <c r="J73" i="1"/>
  <c r="J74" i="1" s="1"/>
  <c r="F19" i="1"/>
  <c r="F20" i="1" s="1"/>
  <c r="AA74" i="1" l="1"/>
  <c r="AC73" i="1"/>
  <c r="AC74" i="1" s="1"/>
  <c r="Y56" i="1"/>
  <c r="AA55" i="1"/>
  <c r="H19" i="1"/>
  <c r="H20" i="1" s="1"/>
  <c r="AC55" i="1" l="1"/>
  <c r="AC56" i="1" s="1"/>
  <c r="AA56" i="1"/>
  <c r="J19" i="1"/>
  <c r="J20" i="1" s="1"/>
</calcChain>
</file>

<file path=xl/sharedStrings.xml><?xml version="1.0" encoding="utf-8"?>
<sst xmlns="http://schemas.openxmlformats.org/spreadsheetml/2006/main" count="216" uniqueCount="64">
  <si>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</si>
  <si>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</si>
  <si>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</si>
  <si>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</si>
  <si>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</si>
  <si>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</si>
  <si>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</si>
  <si>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</si>
  <si>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</si>
  <si>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</si>
  <si>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</si>
  <si>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</si>
  <si>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Description</t>
  </si>
  <si>
    <t>HOLIDAY</t>
  </si>
  <si>
    <t>Date</t>
  </si>
  <si>
    <t>EVENT</t>
  </si>
  <si>
    <t>Su</t>
  </si>
  <si>
    <t>Mo</t>
  </si>
  <si>
    <t>Tu</t>
  </si>
  <si>
    <t>We</t>
  </si>
  <si>
    <t>Th</t>
  </si>
  <si>
    <t>Fr</t>
  </si>
  <si>
    <t>Sa</t>
  </si>
  <si>
    <t>GREGORIAN</t>
  </si>
  <si>
    <t>Muharram</t>
  </si>
  <si>
    <t>Safar</t>
  </si>
  <si>
    <t>Rabi-ul-Awwal</t>
  </si>
  <si>
    <t>Rabi-us-Thaani</t>
  </si>
  <si>
    <t>Jumad-al-Ula</t>
  </si>
  <si>
    <t>Jumad-as-Thaani</t>
  </si>
  <si>
    <t>Rajab</t>
  </si>
  <si>
    <t>Sha'baan</t>
  </si>
  <si>
    <t>Ramadaan</t>
  </si>
  <si>
    <t>Shawwal</t>
  </si>
  <si>
    <t>Zul Qa'dah</t>
  </si>
  <si>
    <t>Zul Hijjah</t>
  </si>
  <si>
    <t>Islamic New Year</t>
  </si>
  <si>
    <t>Fasting First Day</t>
  </si>
  <si>
    <t>Eid ul-Fitr</t>
  </si>
  <si>
    <t>Eid ul-Adha</t>
  </si>
  <si>
    <t>Rab I</t>
  </si>
  <si>
    <t>Rab II</t>
  </si>
  <si>
    <t>Jum I</t>
  </si>
  <si>
    <t>Jum II</t>
  </si>
  <si>
    <t>Sha</t>
  </si>
  <si>
    <t>Shaw</t>
  </si>
  <si>
    <t>ZulQ</t>
  </si>
  <si>
    <t>ZulHi</t>
  </si>
  <si>
    <t>Ramad</t>
  </si>
  <si>
    <t>Muhar</t>
  </si>
  <si>
    <t>HIJRI</t>
  </si>
  <si>
    <t>Day of Ashurah</t>
  </si>
  <si>
    <t>Mawlid an Nabi</t>
  </si>
  <si>
    <t>Isra and Miraj</t>
  </si>
  <si>
    <t>Ramadaan Reference</t>
  </si>
  <si>
    <t>Ramadaan 1440</t>
  </si>
  <si>
    <t>May</t>
  </si>
  <si>
    <t>2019 ISLAMIC CALENDAR</t>
  </si>
  <si>
    <t>© 2019 - exceltemplate.net</t>
  </si>
  <si>
    <t>Month Name</t>
  </si>
  <si>
    <t>Holiday</t>
  </si>
  <si>
    <t>Event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</si>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</sst>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d"/>
    <numFmt numFmtId="166" formatCode="B2d"/>
  </numFmts>
  <fonts count="16" x14ac:knownFonts="1">
    <font>
      <sz val="10"/>
      <name val="Arial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sz val="24"/>
      <color indexed="9"/>
      <name val="Calibri"/>
      <family val="2"/>
      <scheme val="minor"/>
    </font>
    <font>
      <sz val="12"/>
      <name val="Calibri"/>
      <family val="2"/>
      <scheme val="minor"/>
    </font>
    <font>
      <b/>
      <sz val="36"/>
      <color indexed="9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6" tint="0.79998168889431442"/>
      </bottom>
      <diagonal/>
    </border>
    <border>
      <left/>
      <right/>
      <top style="thin">
        <color indexed="64"/>
      </top>
      <bottom style="thin">
        <color theme="6" tint="0.7999816888943144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/>
      <right/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/>
      <right/>
      <top/>
      <bottom style="thin">
        <color theme="6" tint="-0.499984740745262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3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5" borderId="4" xfId="0" applyFont="1" applyFill="1" applyBorder="1" applyAlignment="1" applyProtection="1">
      <alignment horizontal="center" vertical="center"/>
      <protection hidden="1"/>
    </xf>
    <xf numFmtId="0" fontId="5" fillId="5" borderId="4" xfId="0" applyFont="1" applyFill="1" applyBorder="1" applyAlignment="1" applyProtection="1">
      <alignment vertical="center"/>
      <protection hidden="1"/>
    </xf>
    <xf numFmtId="0" fontId="5" fillId="5" borderId="4" xfId="0" applyFont="1" applyFill="1" applyBorder="1" applyAlignment="1" applyProtection="1">
      <alignment horizontal="center" vertical="center"/>
      <protection hidden="1"/>
    </xf>
    <xf numFmtId="0" fontId="4" fillId="5" borderId="2" xfId="0" applyFont="1" applyFill="1" applyBorder="1" applyAlignment="1" applyProtection="1">
      <alignment horizontal="center" vertical="center"/>
      <protection hidden="1"/>
    </xf>
    <xf numFmtId="0" fontId="5" fillId="5" borderId="2" xfId="0" applyFont="1" applyFill="1" applyBorder="1" applyAlignment="1" applyProtection="1">
      <alignment vertical="center"/>
      <protection hidden="1"/>
    </xf>
    <xf numFmtId="0" fontId="5" fillId="5" borderId="2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166" fontId="6" fillId="6" borderId="0" xfId="0" applyNumberFormat="1" applyFont="1" applyFill="1" applyBorder="1" applyAlignment="1" applyProtection="1">
      <alignment horizontal="right" vertical="center"/>
      <protection hidden="1"/>
    </xf>
    <xf numFmtId="0" fontId="6" fillId="6" borderId="0" xfId="0" applyFont="1" applyFill="1" applyBorder="1" applyAlignment="1" applyProtection="1">
      <alignment horizontal="center" vertical="center"/>
      <protection hidden="1"/>
    </xf>
    <xf numFmtId="166" fontId="6" fillId="6" borderId="15" xfId="0" applyNumberFormat="1" applyFont="1" applyFill="1" applyBorder="1" applyAlignment="1" applyProtection="1">
      <alignment horizontal="right" vertical="center"/>
      <protection hidden="1"/>
    </xf>
    <xf numFmtId="0" fontId="6" fillId="6" borderId="16" xfId="0" applyFont="1" applyFill="1" applyBorder="1" applyAlignment="1" applyProtection="1">
      <alignment horizontal="center" vertical="center"/>
      <protection hidden="1"/>
    </xf>
    <xf numFmtId="0" fontId="6" fillId="7" borderId="0" xfId="0" applyFont="1" applyFill="1" applyBorder="1" applyAlignment="1" applyProtection="1">
      <alignment horizontal="center" vertical="center"/>
      <protection hidden="1"/>
    </xf>
    <xf numFmtId="166" fontId="6" fillId="7" borderId="15" xfId="0" applyNumberFormat="1" applyFont="1" applyFill="1" applyBorder="1" applyAlignment="1" applyProtection="1">
      <alignment horizontal="right" vertical="center"/>
      <protection hidden="1"/>
    </xf>
    <xf numFmtId="0" fontId="6" fillId="7" borderId="16" xfId="0" applyFont="1" applyFill="1" applyBorder="1" applyAlignment="1" applyProtection="1">
      <alignment horizontal="center" vertical="center"/>
      <protection hidden="1"/>
    </xf>
    <xf numFmtId="166" fontId="6" fillId="6" borderId="18" xfId="0" applyNumberFormat="1" applyFont="1" applyFill="1" applyBorder="1" applyAlignment="1" applyProtection="1">
      <alignment horizontal="right" vertical="center"/>
      <protection hidden="1"/>
    </xf>
    <xf numFmtId="0" fontId="6" fillId="6" borderId="0" xfId="0" applyFont="1" applyFill="1" applyBorder="1" applyAlignment="1" applyProtection="1">
      <alignment horizontal="right" vertical="center"/>
      <protection hidden="1"/>
    </xf>
    <xf numFmtId="0" fontId="6" fillId="6" borderId="18" xfId="0" applyFont="1" applyFill="1" applyBorder="1" applyAlignment="1" applyProtection="1">
      <alignment horizontal="right" vertical="center"/>
      <protection hidden="1"/>
    </xf>
    <xf numFmtId="0" fontId="6" fillId="6" borderId="19" xfId="0" applyFont="1" applyFill="1" applyBorder="1" applyAlignment="1" applyProtection="1">
      <alignment horizontal="center" vertical="center"/>
      <protection hidden="1"/>
    </xf>
    <xf numFmtId="0" fontId="6" fillId="6" borderId="20" xfId="0" applyFont="1" applyFill="1" applyBorder="1" applyAlignment="1" applyProtection="1">
      <alignment horizontal="center" vertical="center"/>
      <protection hidden="1"/>
    </xf>
    <xf numFmtId="166" fontId="6" fillId="6" borderId="20" xfId="0" applyNumberFormat="1" applyFont="1" applyFill="1" applyBorder="1" applyAlignment="1" applyProtection="1">
      <alignment horizontal="right" vertical="center"/>
      <protection hidden="1"/>
    </xf>
    <xf numFmtId="0" fontId="5" fillId="7" borderId="2" xfId="0" applyFont="1" applyFill="1" applyBorder="1" applyAlignment="1" applyProtection="1">
      <alignment vertical="center"/>
      <protection hidden="1"/>
    </xf>
    <xf numFmtId="0" fontId="5" fillId="7" borderId="2" xfId="0" applyFont="1" applyFill="1" applyBorder="1" applyAlignment="1" applyProtection="1">
      <alignment horizontal="center" vertical="center"/>
      <protection hidden="1"/>
    </xf>
    <xf numFmtId="0" fontId="3" fillId="7" borderId="2" xfId="0" applyFont="1" applyFill="1" applyBorder="1" applyAlignment="1" applyProtection="1">
      <alignment vertical="center"/>
      <protection hidden="1"/>
    </xf>
    <xf numFmtId="0" fontId="3" fillId="7" borderId="2" xfId="0" applyFont="1" applyFill="1" applyBorder="1" applyAlignment="1" applyProtection="1">
      <alignment horizontal="center" vertical="center"/>
      <protection hidden="1"/>
    </xf>
    <xf numFmtId="0" fontId="3" fillId="7" borderId="6" xfId="0" applyFont="1" applyFill="1" applyBorder="1" applyAlignment="1" applyProtection="1">
      <alignment horizontal="right" vertical="center"/>
      <protection hidden="1"/>
    </xf>
    <xf numFmtId="166" fontId="6" fillId="8" borderId="15" xfId="0" applyNumberFormat="1" applyFont="1" applyFill="1" applyBorder="1" applyAlignment="1" applyProtection="1">
      <alignment horizontal="right" vertical="center"/>
      <protection hidden="1"/>
    </xf>
    <xf numFmtId="0" fontId="6" fillId="8" borderId="16" xfId="0" applyFont="1" applyFill="1" applyBorder="1" applyAlignment="1" applyProtection="1">
      <alignment horizontal="center" vertical="center"/>
      <protection hidden="1"/>
    </xf>
    <xf numFmtId="0" fontId="3" fillId="8" borderId="9" xfId="0" applyFont="1" applyFill="1" applyBorder="1" applyAlignment="1" applyProtection="1">
      <alignment vertical="center"/>
      <protection hidden="1"/>
    </xf>
    <xf numFmtId="0" fontId="3" fillId="8" borderId="9" xfId="0" applyFont="1" applyFill="1" applyBorder="1" applyAlignment="1" applyProtection="1">
      <alignment horizontal="center" vertical="center"/>
      <protection hidden="1"/>
    </xf>
    <xf numFmtId="0" fontId="3" fillId="8" borderId="8" xfId="0" applyFont="1" applyFill="1" applyBorder="1" applyAlignment="1" applyProtection="1">
      <alignment horizontal="right" vertical="center"/>
      <protection hidden="1"/>
    </xf>
    <xf numFmtId="0" fontId="5" fillId="8" borderId="2" xfId="0" applyFont="1" applyFill="1" applyBorder="1" applyAlignment="1" applyProtection="1">
      <alignment vertical="center"/>
      <protection hidden="1"/>
    </xf>
    <xf numFmtId="0" fontId="5" fillId="8" borderId="2" xfId="0" applyFont="1" applyFill="1" applyBorder="1" applyAlignment="1" applyProtection="1">
      <alignment horizontal="center" vertical="center"/>
      <protection hidden="1"/>
    </xf>
    <xf numFmtId="0" fontId="5" fillId="7" borderId="9" xfId="0" applyFont="1" applyFill="1" applyBorder="1" applyAlignment="1" applyProtection="1">
      <alignment vertical="center"/>
      <protection hidden="1"/>
    </xf>
    <xf numFmtId="0" fontId="5" fillId="7" borderId="9" xfId="0" applyFont="1" applyFill="1" applyBorder="1" applyAlignment="1" applyProtection="1">
      <alignment horizontal="center" vertical="center"/>
      <protection hidden="1"/>
    </xf>
    <xf numFmtId="0" fontId="3" fillId="7" borderId="8" xfId="0" applyFont="1" applyFill="1" applyBorder="1" applyAlignment="1" applyProtection="1">
      <alignment horizontal="right" vertical="center"/>
      <protection hidden="1"/>
    </xf>
    <xf numFmtId="0" fontId="3" fillId="8" borderId="6" xfId="0" applyFont="1" applyFill="1" applyBorder="1" applyAlignment="1" applyProtection="1">
      <alignment horizontal="right" vertical="center"/>
      <protection hidden="1"/>
    </xf>
    <xf numFmtId="0" fontId="5" fillId="8" borderId="9" xfId="0" applyFont="1" applyFill="1" applyBorder="1" applyAlignment="1" applyProtection="1">
      <alignment vertical="center"/>
      <protection hidden="1"/>
    </xf>
    <xf numFmtId="0" fontId="5" fillId="8" borderId="9" xfId="0" applyFont="1" applyFill="1" applyBorder="1" applyAlignment="1" applyProtection="1">
      <alignment horizontal="center" vertical="center"/>
      <protection hidden="1"/>
    </xf>
    <xf numFmtId="0" fontId="6" fillId="6" borderId="15" xfId="0" applyFont="1" applyFill="1" applyBorder="1" applyAlignment="1" applyProtection="1">
      <alignment horizontal="right" vertical="center"/>
      <protection hidden="1"/>
    </xf>
    <xf numFmtId="0" fontId="6" fillId="6" borderId="20" xfId="0" applyFont="1" applyFill="1" applyBorder="1" applyAlignment="1" applyProtection="1">
      <alignment horizontal="right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" xfId="0" applyNumberFormat="1" applyFont="1" applyFill="1" applyBorder="1" applyAlignment="1" applyProtection="1">
      <alignment horizontal="right" vertical="center"/>
      <protection locked="0"/>
    </xf>
    <xf numFmtId="0" fontId="2" fillId="0" borderId="1" xfId="0" applyFont="1" applyFill="1" applyBorder="1" applyAlignment="1" applyProtection="1">
      <alignment horizontal="left" vertical="center" indent="1"/>
      <protection locked="0"/>
    </xf>
    <xf numFmtId="164" fontId="2" fillId="0" borderId="1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left" vertical="center" indent="1"/>
      <protection locked="0"/>
    </xf>
    <xf numFmtId="16" fontId="2" fillId="0" borderId="1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 vertical="center" indent="1"/>
      <protection locked="0"/>
    </xf>
    <xf numFmtId="15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164" fontId="2" fillId="0" borderId="22" xfId="0" applyNumberFormat="1" applyFont="1" applyFill="1" applyBorder="1" applyAlignment="1" applyProtection="1">
      <alignment horizontal="left" vertical="center"/>
      <protection locked="0"/>
    </xf>
    <xf numFmtId="1" fontId="2" fillId="0" borderId="21" xfId="0" applyNumberFormat="1" applyFont="1" applyFill="1" applyBorder="1" applyAlignment="1" applyProtection="1">
      <alignment horizontal="right" vertical="center"/>
      <protection locked="0"/>
    </xf>
    <xf numFmtId="1" fontId="2" fillId="0" borderId="21" xfId="0" applyNumberFormat="1" applyFont="1" applyBorder="1" applyAlignment="1" applyProtection="1">
      <alignment horizontal="right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164" fontId="2" fillId="12" borderId="1" xfId="0" applyNumberFormat="1" applyFont="1" applyFill="1" applyBorder="1" applyAlignment="1" applyProtection="1">
      <alignment horizontal="center" vertical="center"/>
      <protection locked="0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0" fontId="2" fillId="13" borderId="1" xfId="0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165" fontId="8" fillId="6" borderId="0" xfId="0" applyNumberFormat="1" applyFont="1" applyFill="1" applyBorder="1" applyAlignment="1" applyProtection="1">
      <alignment horizontal="center" vertical="center"/>
      <protection hidden="1"/>
    </xf>
    <xf numFmtId="165" fontId="8" fillId="6" borderId="19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locked="0"/>
    </xf>
    <xf numFmtId="165" fontId="8" fillId="0" borderId="13" xfId="0" applyNumberFormat="1" applyFont="1" applyBorder="1" applyAlignment="1" applyProtection="1">
      <alignment horizontal="center" vertical="center"/>
      <protection hidden="1"/>
    </xf>
    <xf numFmtId="165" fontId="8" fillId="0" borderId="14" xfId="0" applyNumberFormat="1" applyFont="1" applyBorder="1" applyAlignment="1" applyProtection="1">
      <alignment horizontal="center" vertical="center"/>
      <protection hidden="1"/>
    </xf>
    <xf numFmtId="0" fontId="7" fillId="5" borderId="3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5" fillId="5" borderId="7" xfId="0" applyFont="1" applyFill="1" applyBorder="1" applyAlignment="1" applyProtection="1">
      <alignment horizontal="center" vertical="center"/>
      <protection hidden="1"/>
    </xf>
    <xf numFmtId="0" fontId="8" fillId="6" borderId="13" xfId="0" applyFont="1" applyFill="1" applyBorder="1" applyAlignment="1" applyProtection="1">
      <alignment horizontal="center" vertical="center"/>
      <protection hidden="1"/>
    </xf>
    <xf numFmtId="0" fontId="8" fillId="6" borderId="17" xfId="0" applyFont="1" applyFill="1" applyBorder="1" applyAlignment="1" applyProtection="1">
      <alignment horizontal="center" vertical="center"/>
      <protection hidden="1"/>
    </xf>
    <xf numFmtId="165" fontId="8" fillId="6" borderId="18" xfId="0" applyNumberFormat="1" applyFont="1" applyFill="1" applyBorder="1" applyAlignment="1" applyProtection="1">
      <alignment horizontal="center" vertical="center"/>
      <protection hidden="1"/>
    </xf>
    <xf numFmtId="0" fontId="5" fillId="5" borderId="10" xfId="0" applyFont="1" applyFill="1" applyBorder="1" applyAlignment="1" applyProtection="1">
      <alignment horizontal="center" vertical="center"/>
      <protection hidden="1"/>
    </xf>
    <xf numFmtId="0" fontId="5" fillId="5" borderId="11" xfId="0" applyFont="1" applyFill="1" applyBorder="1" applyAlignment="1" applyProtection="1">
      <alignment horizontal="center" vertical="center"/>
      <protection hidden="1"/>
    </xf>
    <xf numFmtId="165" fontId="8" fillId="6" borderId="17" xfId="0" applyNumberFormat="1" applyFont="1" applyFill="1" applyBorder="1" applyAlignment="1" applyProtection="1">
      <alignment horizontal="center" vertical="center"/>
      <protection hidden="1"/>
    </xf>
    <xf numFmtId="165" fontId="8" fillId="6" borderId="14" xfId="0" applyNumberFormat="1" applyFont="1" applyFill="1" applyBorder="1" applyAlignment="1" applyProtection="1">
      <alignment horizontal="center" vertical="center"/>
      <protection hidden="1"/>
    </xf>
    <xf numFmtId="165" fontId="8" fillId="6" borderId="13" xfId="0" applyNumberFormat="1" applyFont="1" applyFill="1" applyBorder="1" applyAlignment="1" applyProtection="1">
      <alignment horizontal="center" vertical="center"/>
      <protection hidden="1"/>
    </xf>
    <xf numFmtId="0" fontId="5" fillId="5" borderId="12" xfId="0" applyFont="1" applyFill="1" applyBorder="1" applyAlignment="1" applyProtection="1">
      <alignment horizontal="center" vertical="center"/>
      <protection hidden="1"/>
    </xf>
    <xf numFmtId="0" fontId="8" fillId="6" borderId="18" xfId="0" applyFont="1" applyFill="1" applyBorder="1" applyAlignment="1" applyProtection="1">
      <alignment horizontal="center" vertical="center"/>
      <protection hidden="1"/>
    </xf>
    <xf numFmtId="0" fontId="8" fillId="6" borderId="0" xfId="0" applyFont="1" applyFill="1" applyBorder="1" applyAlignment="1" applyProtection="1">
      <alignment horizontal="center" vertical="center"/>
      <protection hidden="1"/>
    </xf>
    <xf numFmtId="0" fontId="8" fillId="6" borderId="14" xfId="0" applyFont="1" applyFill="1" applyBorder="1" applyAlignment="1" applyProtection="1">
      <alignment horizontal="center" vertical="center"/>
      <protection hidden="1"/>
    </xf>
    <xf numFmtId="0" fontId="9" fillId="5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2" fillId="8" borderId="1" xfId="0" applyNumberFormat="1" applyFont="1" applyFill="1" applyBorder="1" applyAlignment="1" applyProtection="1">
      <alignment horizontal="center" vertical="center"/>
      <protection locked="0"/>
    </xf>
    <xf numFmtId="164" fontId="2" fillId="1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5" fillId="9" borderId="1" xfId="0" applyFont="1" applyFill="1" applyBorder="1" applyAlignment="1" applyProtection="1">
      <alignment horizontal="center" vertical="center"/>
      <protection locked="0"/>
    </xf>
    <xf numFmtId="0" fontId="11" fillId="0" borderId="0" xfId="1" applyFont="1"/>
    <xf numFmtId="0" fontId="12" fillId="0" borderId="0" xfId="1" applyFont="1"/>
    <xf numFmtId="0" fontId="14" fillId="0" borderId="0" xfId="2" applyFont="1"/>
    <xf numFmtId="0" fontId="11" fillId="0" borderId="0" xfId="1" applyFont="1" applyAlignment="1">
      <alignment horizontal="left"/>
    </xf>
    <xf numFmtId="0" fontId="11" fillId="0" borderId="0" xfId="1" applyFont="1" applyAlignment="1"/>
    <xf numFmtId="0" fontId="15" fillId="0" borderId="0" xfId="2" applyFont="1" applyAlignment="1">
      <alignment horizontal="left"/>
    </xf>
    <xf numFmtId="0" fontId="15" fillId="0" borderId="0" xfId="2" applyFont="1" applyAlignment="1"/>
    <xf numFmtId="0" fontId="10" fillId="0" borderId="0" xfId="1"/>
  </cellXfs>
  <cellStyles count="3">
    <cellStyle name="Hyperlink" xfId="2" builtinId="8"/>
    <cellStyle name="Normal" xfId="0" builtinId="0"/>
    <cellStyle name="Normal 2" xfId="1"/>
  </cellStyles>
  <dxfs count="6"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298"/>
  <sheetViews>
    <sheetView showGridLines="0" zoomScale="90" zoomScaleNormal="90" workbookViewId="0">
      <selection activeCell="F75" sqref="F75:G75"/>
    </sheetView>
  </sheetViews>
  <sheetFormatPr defaultColWidth="0" defaultRowHeight="14.4" zeroHeight="1" x14ac:dyDescent="0.25"/>
  <cols>
    <col min="1" max="1" width="2.21875" style="1" customWidth="1"/>
    <col min="2" max="2" width="3.6640625" style="1" customWidth="1"/>
    <col min="3" max="3" width="6.21875" style="2" customWidth="1"/>
    <col min="4" max="4" width="3.6640625" style="1" customWidth="1"/>
    <col min="5" max="5" width="6.21875" style="1" customWidth="1"/>
    <col min="6" max="6" width="3.6640625" style="1" customWidth="1"/>
    <col min="7" max="7" width="6.21875" style="1" customWidth="1"/>
    <col min="8" max="8" width="3.6640625" style="1" customWidth="1"/>
    <col min="9" max="9" width="6.21875" style="1" customWidth="1"/>
    <col min="10" max="10" width="3.6640625" style="1" customWidth="1"/>
    <col min="11" max="11" width="6.21875" style="1" customWidth="1"/>
    <col min="12" max="12" width="3.6640625" style="1" customWidth="1"/>
    <col min="13" max="13" width="6.21875" style="1" customWidth="1"/>
    <col min="14" max="14" width="3.6640625" style="1" customWidth="1"/>
    <col min="15" max="15" width="6.21875" style="1" customWidth="1"/>
    <col min="16" max="17" width="3.6640625" style="1" customWidth="1"/>
    <col min="18" max="18" width="6.21875" style="2" customWidth="1"/>
    <col min="19" max="19" width="3.6640625" style="1" customWidth="1"/>
    <col min="20" max="20" width="6.21875" style="1" customWidth="1"/>
    <col min="21" max="21" width="3.6640625" style="1" customWidth="1"/>
    <col min="22" max="22" width="6.21875" style="1" customWidth="1"/>
    <col min="23" max="23" width="3.6640625" style="1" customWidth="1"/>
    <col min="24" max="24" width="6.21875" style="1" customWidth="1"/>
    <col min="25" max="25" width="3.6640625" style="1" customWidth="1"/>
    <col min="26" max="26" width="6.21875" style="1" customWidth="1"/>
    <col min="27" max="27" width="3.6640625" style="1" customWidth="1"/>
    <col min="28" max="28" width="6.21875" style="1" customWidth="1"/>
    <col min="29" max="29" width="3.6640625" style="1" customWidth="1"/>
    <col min="30" max="30" width="6.21875" style="1" customWidth="1"/>
    <col min="31" max="32" width="3.6640625" style="1" customWidth="1"/>
    <col min="33" max="33" width="6.21875" style="2" customWidth="1"/>
    <col min="34" max="34" width="3.6640625" style="1" customWidth="1"/>
    <col min="35" max="35" width="6.21875" style="1" customWidth="1"/>
    <col min="36" max="36" width="3.6640625" style="1" customWidth="1"/>
    <col min="37" max="37" width="6.21875" style="1" customWidth="1"/>
    <col min="38" max="38" width="3.6640625" style="1" customWidth="1"/>
    <col min="39" max="39" width="6.21875" style="1" customWidth="1"/>
    <col min="40" max="40" width="3.6640625" style="1" customWidth="1"/>
    <col min="41" max="41" width="6.21875" style="1" customWidth="1"/>
    <col min="42" max="42" width="3.6640625" style="1" customWidth="1"/>
    <col min="43" max="43" width="6.21875" style="1" customWidth="1"/>
    <col min="44" max="44" width="3.6640625" style="1" customWidth="1"/>
    <col min="45" max="45" width="6.21875" style="1" customWidth="1"/>
    <col min="46" max="46" width="3.21875" style="1" customWidth="1"/>
    <col min="47" max="47" width="10.5546875" style="1" hidden="1" customWidth="1"/>
    <col min="48" max="48" width="26.77734375" style="1" hidden="1" customWidth="1"/>
    <col min="49" max="49" width="2.21875" style="1" hidden="1" customWidth="1"/>
    <col min="50" max="50" width="10.21875" style="1" hidden="1" customWidth="1"/>
    <col min="51" max="51" width="26.77734375" style="1" hidden="1" customWidth="1"/>
    <col min="52" max="16384" width="9.21875" style="1" hidden="1"/>
  </cols>
  <sheetData>
    <row r="1" spans="2:51" ht="16.5" customHeight="1" x14ac:dyDescent="0.25"/>
    <row r="2" spans="2:51" ht="16.5" customHeight="1" x14ac:dyDescent="0.25">
      <c r="B2" s="70" t="s">
        <v>54</v>
      </c>
      <c r="C2" s="71"/>
      <c r="D2" s="72"/>
      <c r="E2" s="72"/>
      <c r="F2" s="72"/>
      <c r="G2" s="72"/>
      <c r="H2" s="72"/>
      <c r="L2" s="3"/>
    </row>
    <row r="3" spans="2:51" ht="16.5" customHeight="1" x14ac:dyDescent="0.25">
      <c r="B3" s="1">
        <v>1</v>
      </c>
      <c r="C3" s="15" t="s">
        <v>55</v>
      </c>
      <c r="F3" s="51">
        <v>5</v>
      </c>
      <c r="G3" s="1" t="s">
        <v>56</v>
      </c>
      <c r="H3" s="83">
        <v>2019</v>
      </c>
      <c r="I3" s="83"/>
    </row>
    <row r="4" spans="2:51" ht="16.5" customHeight="1" x14ac:dyDescent="0.25"/>
    <row r="5" spans="2:51" s="3" customFormat="1" ht="40.049999999999997" customHeight="1" x14ac:dyDescent="0.25">
      <c r="B5" s="103" t="s">
        <v>57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4"/>
      <c r="AU5" s="4"/>
      <c r="AV5" s="4"/>
      <c r="AW5" s="4"/>
      <c r="AX5" s="4"/>
      <c r="AY5" s="4"/>
    </row>
    <row r="6" spans="2:51" s="3" customFormat="1" x14ac:dyDescent="0.25">
      <c r="C6" s="5"/>
      <c r="R6" s="5"/>
      <c r="AG6" s="5"/>
    </row>
    <row r="7" spans="2:51" s="3" customFormat="1" ht="17.100000000000001" customHeight="1" x14ac:dyDescent="0.25">
      <c r="B7" s="86" t="s">
        <v>0</v>
      </c>
      <c r="C7" s="87"/>
      <c r="D7" s="87"/>
      <c r="E7" s="87"/>
      <c r="F7" s="87"/>
      <c r="G7" s="87"/>
      <c r="H7" s="87"/>
      <c r="I7" s="9"/>
      <c r="J7" s="10"/>
      <c r="K7" s="11"/>
      <c r="L7" s="38"/>
      <c r="M7" s="39"/>
      <c r="N7" s="38"/>
      <c r="O7" s="40" t="s">
        <v>27</v>
      </c>
      <c r="P7" s="6"/>
      <c r="Q7" s="86" t="s">
        <v>1</v>
      </c>
      <c r="R7" s="87"/>
      <c r="S7" s="87"/>
      <c r="T7" s="87"/>
      <c r="U7" s="87"/>
      <c r="V7" s="87"/>
      <c r="W7" s="87"/>
      <c r="X7" s="9"/>
      <c r="Y7" s="10"/>
      <c r="Z7" s="11"/>
      <c r="AA7" s="43"/>
      <c r="AB7" s="44"/>
      <c r="AC7" s="43"/>
      <c r="AD7" s="45" t="s">
        <v>28</v>
      </c>
      <c r="AE7" s="6"/>
      <c r="AF7" s="86" t="s">
        <v>2</v>
      </c>
      <c r="AG7" s="87"/>
      <c r="AH7" s="87"/>
      <c r="AI7" s="87"/>
      <c r="AJ7" s="87"/>
      <c r="AK7" s="87"/>
      <c r="AL7" s="87"/>
      <c r="AM7" s="9"/>
      <c r="AN7" s="10"/>
      <c r="AO7" s="11"/>
      <c r="AP7" s="47"/>
      <c r="AQ7" s="48"/>
      <c r="AR7" s="47"/>
      <c r="AS7" s="40" t="s">
        <v>29</v>
      </c>
    </row>
    <row r="8" spans="2:51" s="3" customFormat="1" ht="17.100000000000001" customHeight="1" x14ac:dyDescent="0.25">
      <c r="B8" s="88"/>
      <c r="C8" s="89"/>
      <c r="D8" s="89"/>
      <c r="E8" s="89"/>
      <c r="F8" s="89"/>
      <c r="G8" s="89"/>
      <c r="H8" s="89"/>
      <c r="I8" s="12"/>
      <c r="J8" s="13"/>
      <c r="K8" s="14"/>
      <c r="L8" s="33"/>
      <c r="M8" s="34"/>
      <c r="N8" s="33"/>
      <c r="O8" s="35" t="s">
        <v>28</v>
      </c>
      <c r="P8" s="6"/>
      <c r="Q8" s="88"/>
      <c r="R8" s="89"/>
      <c r="S8" s="89"/>
      <c r="T8" s="89"/>
      <c r="U8" s="89"/>
      <c r="V8" s="89"/>
      <c r="W8" s="89"/>
      <c r="X8" s="12"/>
      <c r="Y8" s="13"/>
      <c r="Z8" s="14"/>
      <c r="AA8" s="41"/>
      <c r="AB8" s="42"/>
      <c r="AC8" s="41"/>
      <c r="AD8" s="46" t="s">
        <v>29</v>
      </c>
      <c r="AE8" s="6"/>
      <c r="AF8" s="88"/>
      <c r="AG8" s="89"/>
      <c r="AH8" s="89"/>
      <c r="AI8" s="89"/>
      <c r="AJ8" s="89"/>
      <c r="AK8" s="89"/>
      <c r="AL8" s="89"/>
      <c r="AM8" s="12"/>
      <c r="AN8" s="13"/>
      <c r="AO8" s="14"/>
      <c r="AP8" s="31"/>
      <c r="AQ8" s="32"/>
      <c r="AR8" s="31"/>
      <c r="AS8" s="35" t="s">
        <v>30</v>
      </c>
    </row>
    <row r="9" spans="2:51" s="3" customFormat="1" ht="17.100000000000001" customHeight="1" x14ac:dyDescent="0.25"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7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2:51" s="3" customFormat="1" ht="17.100000000000001" customHeight="1" x14ac:dyDescent="0.25">
      <c r="B10" s="90" t="s">
        <v>16</v>
      </c>
      <c r="C10" s="90"/>
      <c r="D10" s="90" t="s">
        <v>17</v>
      </c>
      <c r="E10" s="90"/>
      <c r="F10" s="90" t="s">
        <v>18</v>
      </c>
      <c r="G10" s="90"/>
      <c r="H10" s="90" t="s">
        <v>19</v>
      </c>
      <c r="I10" s="90"/>
      <c r="J10" s="90" t="s">
        <v>20</v>
      </c>
      <c r="K10" s="90"/>
      <c r="L10" s="90" t="s">
        <v>21</v>
      </c>
      <c r="M10" s="90"/>
      <c r="N10" s="90" t="s">
        <v>22</v>
      </c>
      <c r="O10" s="90"/>
      <c r="P10" s="6"/>
      <c r="Q10" s="94" t="s">
        <v>16</v>
      </c>
      <c r="R10" s="95"/>
      <c r="S10" s="95" t="s">
        <v>17</v>
      </c>
      <c r="T10" s="95"/>
      <c r="U10" s="95" t="s">
        <v>18</v>
      </c>
      <c r="V10" s="95"/>
      <c r="W10" s="95" t="s">
        <v>19</v>
      </c>
      <c r="X10" s="95"/>
      <c r="Y10" s="95" t="s">
        <v>20</v>
      </c>
      <c r="Z10" s="95"/>
      <c r="AA10" s="95" t="s">
        <v>21</v>
      </c>
      <c r="AB10" s="95"/>
      <c r="AC10" s="95" t="s">
        <v>22</v>
      </c>
      <c r="AD10" s="99"/>
      <c r="AE10" s="6"/>
      <c r="AF10" s="94" t="s">
        <v>16</v>
      </c>
      <c r="AG10" s="95"/>
      <c r="AH10" s="95" t="s">
        <v>17</v>
      </c>
      <c r="AI10" s="95"/>
      <c r="AJ10" s="95" t="s">
        <v>18</v>
      </c>
      <c r="AK10" s="95"/>
      <c r="AL10" s="95" t="s">
        <v>19</v>
      </c>
      <c r="AM10" s="95"/>
      <c r="AN10" s="95" t="s">
        <v>20</v>
      </c>
      <c r="AO10" s="95"/>
      <c r="AP10" s="95" t="s">
        <v>21</v>
      </c>
      <c r="AQ10" s="95"/>
      <c r="AR10" s="95" t="s">
        <v>22</v>
      </c>
      <c r="AS10" s="99"/>
    </row>
    <row r="11" spans="2:51" s="17" customFormat="1" ht="17.100000000000001" customHeight="1" x14ac:dyDescent="0.25">
      <c r="B11" s="91"/>
      <c r="C11" s="92"/>
      <c r="D11" s="92"/>
      <c r="E11" s="92"/>
      <c r="F11" s="84">
        <v>43466</v>
      </c>
      <c r="G11" s="85"/>
      <c r="H11" s="84">
        <f>F11+1</f>
        <v>43467</v>
      </c>
      <c r="I11" s="85"/>
      <c r="J11" s="84">
        <f t="shared" ref="J11" si="0">H11+1</f>
        <v>43468</v>
      </c>
      <c r="K11" s="85"/>
      <c r="L11" s="84">
        <f t="shared" ref="L11" si="1">J11+1</f>
        <v>43469</v>
      </c>
      <c r="M11" s="85"/>
      <c r="N11" s="84">
        <f t="shared" ref="N11" si="2">L11+1</f>
        <v>43470</v>
      </c>
      <c r="O11" s="85"/>
      <c r="P11" s="16"/>
      <c r="Q11" s="100"/>
      <c r="R11" s="101"/>
      <c r="S11" s="101"/>
      <c r="T11" s="101"/>
      <c r="U11" s="81"/>
      <c r="V11" s="81"/>
      <c r="W11" s="81"/>
      <c r="X11" s="81"/>
      <c r="Y11" s="81"/>
      <c r="Z11" s="81"/>
      <c r="AA11" s="84">
        <v>43497</v>
      </c>
      <c r="AB11" s="85"/>
      <c r="AC11" s="84">
        <f>AA11+1</f>
        <v>43498</v>
      </c>
      <c r="AD11" s="85"/>
      <c r="AE11" s="16"/>
      <c r="AF11" s="100"/>
      <c r="AG11" s="101"/>
      <c r="AH11" s="101"/>
      <c r="AI11" s="101"/>
      <c r="AJ11" s="81"/>
      <c r="AK11" s="81"/>
      <c r="AL11" s="81"/>
      <c r="AM11" s="81"/>
      <c r="AN11" s="81"/>
      <c r="AO11" s="81"/>
      <c r="AP11" s="84">
        <v>43525</v>
      </c>
      <c r="AQ11" s="85"/>
      <c r="AR11" s="84">
        <f>AP11+1</f>
        <v>43526</v>
      </c>
      <c r="AS11" s="85"/>
    </row>
    <row r="12" spans="2:51" ht="17.100000000000001" customHeight="1" x14ac:dyDescent="0.25">
      <c r="B12" s="27"/>
      <c r="C12" s="19"/>
      <c r="D12" s="26"/>
      <c r="E12" s="19"/>
      <c r="F12" s="36">
        <f>F11</f>
        <v>43466</v>
      </c>
      <c r="G12" s="37" t="s">
        <v>41</v>
      </c>
      <c r="H12" s="36">
        <f>H11</f>
        <v>43467</v>
      </c>
      <c r="I12" s="37" t="str">
        <f>G12</f>
        <v>Rab II</v>
      </c>
      <c r="J12" s="36">
        <f>J11</f>
        <v>43468</v>
      </c>
      <c r="K12" s="37" t="str">
        <f>I12</f>
        <v>Rab II</v>
      </c>
      <c r="L12" s="36">
        <f>L11</f>
        <v>43469</v>
      </c>
      <c r="M12" s="37" t="str">
        <f>K12</f>
        <v>Rab II</v>
      </c>
      <c r="N12" s="36">
        <f>N11</f>
        <v>43470</v>
      </c>
      <c r="O12" s="37" t="str">
        <f>M12</f>
        <v>Rab II</v>
      </c>
      <c r="P12" s="8"/>
      <c r="Q12" s="27"/>
      <c r="R12" s="19"/>
      <c r="S12" s="26"/>
      <c r="T12" s="19"/>
      <c r="U12" s="18"/>
      <c r="V12" s="19"/>
      <c r="W12" s="18"/>
      <c r="X12" s="19"/>
      <c r="Y12" s="18"/>
      <c r="Z12" s="19"/>
      <c r="AA12" s="36">
        <f>AA11</f>
        <v>43497</v>
      </c>
      <c r="AB12" s="37" t="s">
        <v>42</v>
      </c>
      <c r="AC12" s="36">
        <f>AC11</f>
        <v>43498</v>
      </c>
      <c r="AD12" s="37" t="str">
        <f>AB12</f>
        <v>Jum I</v>
      </c>
      <c r="AE12" s="8"/>
      <c r="AF12" s="27"/>
      <c r="AG12" s="19"/>
      <c r="AH12" s="26"/>
      <c r="AI12" s="19"/>
      <c r="AJ12" s="18"/>
      <c r="AK12" s="19"/>
      <c r="AL12" s="18"/>
      <c r="AM12" s="19"/>
      <c r="AN12" s="18"/>
      <c r="AO12" s="19"/>
      <c r="AP12" s="36">
        <f>AP11</f>
        <v>43525</v>
      </c>
      <c r="AQ12" s="37" t="s">
        <v>43</v>
      </c>
      <c r="AR12" s="36">
        <f>AR11</f>
        <v>43526</v>
      </c>
      <c r="AS12" s="37" t="str">
        <f>AQ12</f>
        <v>Jum II</v>
      </c>
    </row>
    <row r="13" spans="2:51" s="17" customFormat="1" ht="17.100000000000001" customHeight="1" x14ac:dyDescent="0.25">
      <c r="B13" s="84">
        <f>N11+1</f>
        <v>43471</v>
      </c>
      <c r="C13" s="85"/>
      <c r="D13" s="84">
        <f>B13+1</f>
        <v>43472</v>
      </c>
      <c r="E13" s="85"/>
      <c r="F13" s="84">
        <f>D13+1</f>
        <v>43473</v>
      </c>
      <c r="G13" s="85"/>
      <c r="H13" s="84">
        <f>F13+1</f>
        <v>43474</v>
      </c>
      <c r="I13" s="85"/>
      <c r="J13" s="84">
        <f>H13+1</f>
        <v>43475</v>
      </c>
      <c r="K13" s="85"/>
      <c r="L13" s="84">
        <f>J13+1</f>
        <v>43476</v>
      </c>
      <c r="M13" s="85"/>
      <c r="N13" s="84">
        <f>L13+1</f>
        <v>43477</v>
      </c>
      <c r="O13" s="85"/>
      <c r="P13" s="16"/>
      <c r="Q13" s="84">
        <f>AC11+1</f>
        <v>43499</v>
      </c>
      <c r="R13" s="85"/>
      <c r="S13" s="84">
        <f>Q13+1</f>
        <v>43500</v>
      </c>
      <c r="T13" s="85"/>
      <c r="U13" s="84">
        <f>S13+1</f>
        <v>43501</v>
      </c>
      <c r="V13" s="85"/>
      <c r="W13" s="84">
        <f>U13+1</f>
        <v>43502</v>
      </c>
      <c r="X13" s="85"/>
      <c r="Y13" s="84">
        <f>W13+1</f>
        <v>43503</v>
      </c>
      <c r="Z13" s="85"/>
      <c r="AA13" s="84">
        <f>Y13+1</f>
        <v>43504</v>
      </c>
      <c r="AB13" s="85"/>
      <c r="AC13" s="84">
        <f>AA13+1</f>
        <v>43505</v>
      </c>
      <c r="AD13" s="85"/>
      <c r="AE13" s="16"/>
      <c r="AF13" s="84">
        <f>AR11+1</f>
        <v>43527</v>
      </c>
      <c r="AG13" s="85"/>
      <c r="AH13" s="84">
        <f>AF13+1</f>
        <v>43528</v>
      </c>
      <c r="AI13" s="85"/>
      <c r="AJ13" s="84">
        <f>AH13+1</f>
        <v>43529</v>
      </c>
      <c r="AK13" s="85"/>
      <c r="AL13" s="84">
        <f>AJ13+1</f>
        <v>43530</v>
      </c>
      <c r="AM13" s="85"/>
      <c r="AN13" s="84">
        <f>AL13+1</f>
        <v>43531</v>
      </c>
      <c r="AO13" s="85"/>
      <c r="AP13" s="84">
        <f>AN13+1</f>
        <v>43532</v>
      </c>
      <c r="AQ13" s="85"/>
      <c r="AR13" s="84">
        <f>AP13+1</f>
        <v>43533</v>
      </c>
      <c r="AS13" s="85"/>
    </row>
    <row r="14" spans="2:51" ht="17.100000000000001" customHeight="1" x14ac:dyDescent="0.25">
      <c r="B14" s="36">
        <f>B13</f>
        <v>43471</v>
      </c>
      <c r="C14" s="37" t="str">
        <f>O12</f>
        <v>Rab II</v>
      </c>
      <c r="D14" s="23">
        <f>D13</f>
        <v>43472</v>
      </c>
      <c r="E14" s="24" t="s">
        <v>42</v>
      </c>
      <c r="F14" s="23">
        <f t="shared" ref="F14" si="3">F13</f>
        <v>43473</v>
      </c>
      <c r="G14" s="24" t="str">
        <f>E14</f>
        <v>Jum I</v>
      </c>
      <c r="H14" s="23">
        <f>H13</f>
        <v>43474</v>
      </c>
      <c r="I14" s="24" t="str">
        <f>G14</f>
        <v>Jum I</v>
      </c>
      <c r="J14" s="23">
        <f>J13</f>
        <v>43475</v>
      </c>
      <c r="K14" s="24" t="str">
        <f>I14</f>
        <v>Jum I</v>
      </c>
      <c r="L14" s="23">
        <f>L13</f>
        <v>43476</v>
      </c>
      <c r="M14" s="24" t="str">
        <f>K14</f>
        <v>Jum I</v>
      </c>
      <c r="N14" s="23">
        <f>N13</f>
        <v>43477</v>
      </c>
      <c r="O14" s="24" t="str">
        <f>M14</f>
        <v>Jum I</v>
      </c>
      <c r="P14" s="8"/>
      <c r="Q14" s="23">
        <f>Q13</f>
        <v>43499</v>
      </c>
      <c r="R14" s="24" t="str">
        <f>AD12</f>
        <v>Jum I</v>
      </c>
      <c r="S14" s="23">
        <f>S13</f>
        <v>43500</v>
      </c>
      <c r="T14" s="24" t="s">
        <v>42</v>
      </c>
      <c r="U14" s="23">
        <f t="shared" ref="U14" si="4">U13</f>
        <v>43501</v>
      </c>
      <c r="V14" s="24" t="str">
        <f>T14</f>
        <v>Jum I</v>
      </c>
      <c r="W14" s="36">
        <f>W13</f>
        <v>43502</v>
      </c>
      <c r="X14" s="37" t="s">
        <v>43</v>
      </c>
      <c r="Y14" s="36">
        <f>Y13</f>
        <v>43503</v>
      </c>
      <c r="Z14" s="37" t="str">
        <f>X14</f>
        <v>Jum II</v>
      </c>
      <c r="AA14" s="36">
        <f>AA13</f>
        <v>43504</v>
      </c>
      <c r="AB14" s="37" t="str">
        <f>Z14</f>
        <v>Jum II</v>
      </c>
      <c r="AC14" s="36">
        <f>AC13</f>
        <v>43505</v>
      </c>
      <c r="AD14" s="37" t="str">
        <f>AB14</f>
        <v>Jum II</v>
      </c>
      <c r="AE14" s="8"/>
      <c r="AF14" s="36">
        <f>AF13</f>
        <v>43527</v>
      </c>
      <c r="AG14" s="37" t="str">
        <f>AS12</f>
        <v>Jum II</v>
      </c>
      <c r="AH14" s="36">
        <f>AH13</f>
        <v>43528</v>
      </c>
      <c r="AI14" s="37" t="str">
        <f>AG14</f>
        <v>Jum II</v>
      </c>
      <c r="AJ14" s="36">
        <f t="shared" ref="AJ14" si="5">AJ13</f>
        <v>43529</v>
      </c>
      <c r="AK14" s="37" t="str">
        <f>AI14</f>
        <v>Jum II</v>
      </c>
      <c r="AL14" s="36">
        <f>AL13</f>
        <v>43530</v>
      </c>
      <c r="AM14" s="37" t="s">
        <v>43</v>
      </c>
      <c r="AN14" s="23">
        <f>AN13</f>
        <v>43531</v>
      </c>
      <c r="AO14" s="24" t="s">
        <v>30</v>
      </c>
      <c r="AP14" s="23">
        <f>AP13</f>
        <v>43532</v>
      </c>
      <c r="AQ14" s="24" t="str">
        <f>AO14</f>
        <v>Rajab</v>
      </c>
      <c r="AR14" s="23">
        <f>AR13</f>
        <v>43533</v>
      </c>
      <c r="AS14" s="24" t="str">
        <f>AQ14</f>
        <v>Rajab</v>
      </c>
    </row>
    <row r="15" spans="2:51" s="17" customFormat="1" ht="17.100000000000001" customHeight="1" x14ac:dyDescent="0.25">
      <c r="B15" s="84">
        <f>N13+1</f>
        <v>43478</v>
      </c>
      <c r="C15" s="85"/>
      <c r="D15" s="84">
        <f>B15+1</f>
        <v>43479</v>
      </c>
      <c r="E15" s="85"/>
      <c r="F15" s="84">
        <f>D15+1</f>
        <v>43480</v>
      </c>
      <c r="G15" s="85"/>
      <c r="H15" s="84">
        <f>F15+1</f>
        <v>43481</v>
      </c>
      <c r="I15" s="85"/>
      <c r="J15" s="84">
        <f>H15+1</f>
        <v>43482</v>
      </c>
      <c r="K15" s="85"/>
      <c r="L15" s="84">
        <f>J15+1</f>
        <v>43483</v>
      </c>
      <c r="M15" s="85"/>
      <c r="N15" s="84">
        <f>L15+1</f>
        <v>43484</v>
      </c>
      <c r="O15" s="85"/>
      <c r="P15" s="16"/>
      <c r="Q15" s="84">
        <f>AC13+1</f>
        <v>43506</v>
      </c>
      <c r="R15" s="85"/>
      <c r="S15" s="84">
        <f>Q15+1</f>
        <v>43507</v>
      </c>
      <c r="T15" s="85"/>
      <c r="U15" s="84">
        <f>S15+1</f>
        <v>43508</v>
      </c>
      <c r="V15" s="85"/>
      <c r="W15" s="84">
        <f>U15+1</f>
        <v>43509</v>
      </c>
      <c r="X15" s="85"/>
      <c r="Y15" s="84">
        <f>W15+1</f>
        <v>43510</v>
      </c>
      <c r="Z15" s="85"/>
      <c r="AA15" s="84">
        <f>Y15+1</f>
        <v>43511</v>
      </c>
      <c r="AB15" s="85"/>
      <c r="AC15" s="84">
        <f>AA15+1</f>
        <v>43512</v>
      </c>
      <c r="AD15" s="85"/>
      <c r="AE15" s="16"/>
      <c r="AF15" s="84">
        <f>AR13+1</f>
        <v>43534</v>
      </c>
      <c r="AG15" s="85"/>
      <c r="AH15" s="84">
        <f>AF15+1</f>
        <v>43535</v>
      </c>
      <c r="AI15" s="85"/>
      <c r="AJ15" s="84">
        <f>AH15+1</f>
        <v>43536</v>
      </c>
      <c r="AK15" s="85"/>
      <c r="AL15" s="84">
        <f>AJ15+1</f>
        <v>43537</v>
      </c>
      <c r="AM15" s="85"/>
      <c r="AN15" s="84">
        <f>AL15+1</f>
        <v>43538</v>
      </c>
      <c r="AO15" s="85"/>
      <c r="AP15" s="84">
        <f>AN15+1</f>
        <v>43539</v>
      </c>
      <c r="AQ15" s="85"/>
      <c r="AR15" s="84">
        <f>AP15+1</f>
        <v>43540</v>
      </c>
      <c r="AS15" s="85"/>
    </row>
    <row r="16" spans="2:51" ht="17.100000000000001" customHeight="1" x14ac:dyDescent="0.25">
      <c r="B16" s="23">
        <f>B15</f>
        <v>43478</v>
      </c>
      <c r="C16" s="24" t="str">
        <f>O14</f>
        <v>Jum I</v>
      </c>
      <c r="D16" s="23">
        <f>D15</f>
        <v>43479</v>
      </c>
      <c r="E16" s="24" t="str">
        <f>C16</f>
        <v>Jum I</v>
      </c>
      <c r="F16" s="23">
        <f t="shared" ref="F16" si="6">F15</f>
        <v>43480</v>
      </c>
      <c r="G16" s="24" t="str">
        <f>E16</f>
        <v>Jum I</v>
      </c>
      <c r="H16" s="23">
        <f>H15</f>
        <v>43481</v>
      </c>
      <c r="I16" s="24" t="str">
        <f>G16</f>
        <v>Jum I</v>
      </c>
      <c r="J16" s="23">
        <f>J15</f>
        <v>43482</v>
      </c>
      <c r="K16" s="24" t="str">
        <f>I16</f>
        <v>Jum I</v>
      </c>
      <c r="L16" s="23">
        <f>L15</f>
        <v>43483</v>
      </c>
      <c r="M16" s="24" t="str">
        <f>K16</f>
        <v>Jum I</v>
      </c>
      <c r="N16" s="23">
        <f>N15</f>
        <v>43484</v>
      </c>
      <c r="O16" s="24" t="str">
        <f>M16</f>
        <v>Jum I</v>
      </c>
      <c r="P16" s="8"/>
      <c r="Q16" s="36">
        <f>Q15</f>
        <v>43506</v>
      </c>
      <c r="R16" s="37" t="str">
        <f>AD14</f>
        <v>Jum II</v>
      </c>
      <c r="S16" s="36">
        <f>S15</f>
        <v>43507</v>
      </c>
      <c r="T16" s="37" t="str">
        <f>R16</f>
        <v>Jum II</v>
      </c>
      <c r="U16" s="36">
        <f t="shared" ref="U16" si="7">U15</f>
        <v>43508</v>
      </c>
      <c r="V16" s="37" t="str">
        <f>T16</f>
        <v>Jum II</v>
      </c>
      <c r="W16" s="36">
        <f>W15</f>
        <v>43509</v>
      </c>
      <c r="X16" s="37" t="str">
        <f>V16</f>
        <v>Jum II</v>
      </c>
      <c r="Y16" s="36">
        <f>Y15</f>
        <v>43510</v>
      </c>
      <c r="Z16" s="37" t="str">
        <f>X16</f>
        <v>Jum II</v>
      </c>
      <c r="AA16" s="36">
        <f>AA15</f>
        <v>43511</v>
      </c>
      <c r="AB16" s="37" t="str">
        <f>Z16</f>
        <v>Jum II</v>
      </c>
      <c r="AC16" s="36">
        <f>AC15</f>
        <v>43512</v>
      </c>
      <c r="AD16" s="37" t="str">
        <f>AB16</f>
        <v>Jum II</v>
      </c>
      <c r="AE16" s="8"/>
      <c r="AF16" s="23">
        <f>AF15</f>
        <v>43534</v>
      </c>
      <c r="AG16" s="24" t="str">
        <f>AS14</f>
        <v>Rajab</v>
      </c>
      <c r="AH16" s="23">
        <f>AH15</f>
        <v>43535</v>
      </c>
      <c r="AI16" s="24" t="str">
        <f>AG16</f>
        <v>Rajab</v>
      </c>
      <c r="AJ16" s="23">
        <f t="shared" ref="AJ16" si="8">AJ15</f>
        <v>43536</v>
      </c>
      <c r="AK16" s="24" t="str">
        <f>AI16</f>
        <v>Rajab</v>
      </c>
      <c r="AL16" s="23">
        <f>AL15</f>
        <v>43537</v>
      </c>
      <c r="AM16" s="24" t="str">
        <f>AK16</f>
        <v>Rajab</v>
      </c>
      <c r="AN16" s="23">
        <f>AN15</f>
        <v>43538</v>
      </c>
      <c r="AO16" s="24" t="str">
        <f>AM16</f>
        <v>Rajab</v>
      </c>
      <c r="AP16" s="23">
        <f>AP15</f>
        <v>43539</v>
      </c>
      <c r="AQ16" s="24" t="str">
        <f>AO16</f>
        <v>Rajab</v>
      </c>
      <c r="AR16" s="23">
        <f>AR15</f>
        <v>43540</v>
      </c>
      <c r="AS16" s="24" t="str">
        <f>AQ16</f>
        <v>Rajab</v>
      </c>
    </row>
    <row r="17" spans="2:45" s="17" customFormat="1" ht="17.100000000000001" customHeight="1" x14ac:dyDescent="0.25">
      <c r="B17" s="84">
        <f>N15+1</f>
        <v>43485</v>
      </c>
      <c r="C17" s="85"/>
      <c r="D17" s="84">
        <f>B17+1</f>
        <v>43486</v>
      </c>
      <c r="E17" s="85"/>
      <c r="F17" s="84">
        <f>D17+1</f>
        <v>43487</v>
      </c>
      <c r="G17" s="85"/>
      <c r="H17" s="84">
        <f>F17+1</f>
        <v>43488</v>
      </c>
      <c r="I17" s="85"/>
      <c r="J17" s="84">
        <f>H17+1</f>
        <v>43489</v>
      </c>
      <c r="K17" s="85"/>
      <c r="L17" s="84">
        <f>J17+1</f>
        <v>43490</v>
      </c>
      <c r="M17" s="85"/>
      <c r="N17" s="84">
        <f>L17+1</f>
        <v>43491</v>
      </c>
      <c r="O17" s="85"/>
      <c r="P17" s="16"/>
      <c r="Q17" s="84">
        <f>AC15+1</f>
        <v>43513</v>
      </c>
      <c r="R17" s="85"/>
      <c r="S17" s="84">
        <f>Q17+1</f>
        <v>43514</v>
      </c>
      <c r="T17" s="85"/>
      <c r="U17" s="84">
        <f>S17+1</f>
        <v>43515</v>
      </c>
      <c r="V17" s="85"/>
      <c r="W17" s="84">
        <f>U17+1</f>
        <v>43516</v>
      </c>
      <c r="X17" s="85"/>
      <c r="Y17" s="84">
        <f>W17+1</f>
        <v>43517</v>
      </c>
      <c r="Z17" s="85"/>
      <c r="AA17" s="84">
        <f>Y17+1</f>
        <v>43518</v>
      </c>
      <c r="AB17" s="85"/>
      <c r="AC17" s="84">
        <f>AA17+1</f>
        <v>43519</v>
      </c>
      <c r="AD17" s="85"/>
      <c r="AE17" s="16"/>
      <c r="AF17" s="84">
        <f>AR15+1</f>
        <v>43541</v>
      </c>
      <c r="AG17" s="85"/>
      <c r="AH17" s="84">
        <f>AF17+1</f>
        <v>43542</v>
      </c>
      <c r="AI17" s="85"/>
      <c r="AJ17" s="84">
        <f>AH17+1</f>
        <v>43543</v>
      </c>
      <c r="AK17" s="85"/>
      <c r="AL17" s="84">
        <f>AJ17+1</f>
        <v>43544</v>
      </c>
      <c r="AM17" s="85"/>
      <c r="AN17" s="84">
        <f>AL17+1</f>
        <v>43545</v>
      </c>
      <c r="AO17" s="85"/>
      <c r="AP17" s="84">
        <f>AN17+1</f>
        <v>43546</v>
      </c>
      <c r="AQ17" s="85"/>
      <c r="AR17" s="84">
        <f>AP17+1</f>
        <v>43547</v>
      </c>
      <c r="AS17" s="85"/>
    </row>
    <row r="18" spans="2:45" ht="17.100000000000001" customHeight="1" x14ac:dyDescent="0.25">
      <c r="B18" s="23">
        <f>B17</f>
        <v>43485</v>
      </c>
      <c r="C18" s="24" t="str">
        <f>O16</f>
        <v>Jum I</v>
      </c>
      <c r="D18" s="23">
        <f>D17</f>
        <v>43486</v>
      </c>
      <c r="E18" s="24" t="str">
        <f>C18</f>
        <v>Jum I</v>
      </c>
      <c r="F18" s="23">
        <f t="shared" ref="F18" si="9">F17</f>
        <v>43487</v>
      </c>
      <c r="G18" s="24" t="str">
        <f>E18</f>
        <v>Jum I</v>
      </c>
      <c r="H18" s="23">
        <f>H17</f>
        <v>43488</v>
      </c>
      <c r="I18" s="24" t="str">
        <f>G18</f>
        <v>Jum I</v>
      </c>
      <c r="J18" s="23">
        <f>J17</f>
        <v>43489</v>
      </c>
      <c r="K18" s="24" t="str">
        <f>I18</f>
        <v>Jum I</v>
      </c>
      <c r="L18" s="23">
        <f>L17</f>
        <v>43490</v>
      </c>
      <c r="M18" s="24" t="str">
        <f>K18</f>
        <v>Jum I</v>
      </c>
      <c r="N18" s="23">
        <f>N17</f>
        <v>43491</v>
      </c>
      <c r="O18" s="24" t="str">
        <f>M18</f>
        <v>Jum I</v>
      </c>
      <c r="P18" s="8"/>
      <c r="Q18" s="36">
        <f>Q17</f>
        <v>43513</v>
      </c>
      <c r="R18" s="37" t="str">
        <f>AD16</f>
        <v>Jum II</v>
      </c>
      <c r="S18" s="36">
        <f>S17</f>
        <v>43514</v>
      </c>
      <c r="T18" s="37" t="str">
        <f>R18</f>
        <v>Jum II</v>
      </c>
      <c r="U18" s="36">
        <f t="shared" ref="U18" si="10">U17</f>
        <v>43515</v>
      </c>
      <c r="V18" s="37" t="str">
        <f>T18</f>
        <v>Jum II</v>
      </c>
      <c r="W18" s="36">
        <f>W17</f>
        <v>43516</v>
      </c>
      <c r="X18" s="37" t="str">
        <f>V18</f>
        <v>Jum II</v>
      </c>
      <c r="Y18" s="36">
        <f>Y17</f>
        <v>43517</v>
      </c>
      <c r="Z18" s="37" t="str">
        <f>X18</f>
        <v>Jum II</v>
      </c>
      <c r="AA18" s="36">
        <f>AA17</f>
        <v>43518</v>
      </c>
      <c r="AB18" s="37" t="str">
        <f>Z18</f>
        <v>Jum II</v>
      </c>
      <c r="AC18" s="36">
        <f>AC17</f>
        <v>43519</v>
      </c>
      <c r="AD18" s="37" t="str">
        <f>AB18</f>
        <v>Jum II</v>
      </c>
      <c r="AE18" s="8"/>
      <c r="AF18" s="23">
        <f>AF17</f>
        <v>43541</v>
      </c>
      <c r="AG18" s="24" t="str">
        <f>AS16</f>
        <v>Rajab</v>
      </c>
      <c r="AH18" s="23">
        <f>AH17</f>
        <v>43542</v>
      </c>
      <c r="AI18" s="24" t="str">
        <f>AG18</f>
        <v>Rajab</v>
      </c>
      <c r="AJ18" s="23">
        <f t="shared" ref="AJ18" si="11">AJ17</f>
        <v>43543</v>
      </c>
      <c r="AK18" s="24" t="str">
        <f>AI18</f>
        <v>Rajab</v>
      </c>
      <c r="AL18" s="23">
        <f>AL17</f>
        <v>43544</v>
      </c>
      <c r="AM18" s="24" t="str">
        <f>AK18</f>
        <v>Rajab</v>
      </c>
      <c r="AN18" s="23">
        <f>AN17</f>
        <v>43545</v>
      </c>
      <c r="AO18" s="24" t="str">
        <f>AM18</f>
        <v>Rajab</v>
      </c>
      <c r="AP18" s="23">
        <f>AP17</f>
        <v>43546</v>
      </c>
      <c r="AQ18" s="24" t="str">
        <f>AO18</f>
        <v>Rajab</v>
      </c>
      <c r="AR18" s="23">
        <f>AR17</f>
        <v>43547</v>
      </c>
      <c r="AS18" s="24" t="str">
        <f>AQ18</f>
        <v>Rajab</v>
      </c>
    </row>
    <row r="19" spans="2:45" s="17" customFormat="1" ht="17.100000000000001" customHeight="1" x14ac:dyDescent="0.25">
      <c r="B19" s="84">
        <f>N17+1</f>
        <v>43492</v>
      </c>
      <c r="C19" s="85"/>
      <c r="D19" s="84">
        <f>B19+1</f>
        <v>43493</v>
      </c>
      <c r="E19" s="85"/>
      <c r="F19" s="84">
        <f>D19+1</f>
        <v>43494</v>
      </c>
      <c r="G19" s="85"/>
      <c r="H19" s="84">
        <f>F19+1</f>
        <v>43495</v>
      </c>
      <c r="I19" s="85"/>
      <c r="J19" s="84">
        <f>H19+1</f>
        <v>43496</v>
      </c>
      <c r="K19" s="85"/>
      <c r="L19" s="98"/>
      <c r="M19" s="96"/>
      <c r="N19" s="96"/>
      <c r="O19" s="97"/>
      <c r="P19" s="16"/>
      <c r="Q19" s="84">
        <f>AC17+1</f>
        <v>43520</v>
      </c>
      <c r="R19" s="85"/>
      <c r="S19" s="84">
        <f>Q19+1</f>
        <v>43521</v>
      </c>
      <c r="T19" s="85"/>
      <c r="U19" s="84">
        <f>S19+1</f>
        <v>43522</v>
      </c>
      <c r="V19" s="85"/>
      <c r="W19" s="84">
        <f>U19+1</f>
        <v>43523</v>
      </c>
      <c r="X19" s="85"/>
      <c r="Y19" s="84">
        <f>W19+1</f>
        <v>43524</v>
      </c>
      <c r="Z19" s="85"/>
      <c r="AA19" s="81"/>
      <c r="AB19" s="81"/>
      <c r="AC19" s="81"/>
      <c r="AD19" s="82"/>
      <c r="AE19" s="16"/>
      <c r="AF19" s="84">
        <f>AR17+1</f>
        <v>43548</v>
      </c>
      <c r="AG19" s="85"/>
      <c r="AH19" s="84">
        <f>AF19+1</f>
        <v>43549</v>
      </c>
      <c r="AI19" s="85"/>
      <c r="AJ19" s="84">
        <f>AH19+1</f>
        <v>43550</v>
      </c>
      <c r="AK19" s="85"/>
      <c r="AL19" s="84">
        <f>AJ19+1</f>
        <v>43551</v>
      </c>
      <c r="AM19" s="85"/>
      <c r="AN19" s="84">
        <f>AL19+1</f>
        <v>43552</v>
      </c>
      <c r="AO19" s="85"/>
      <c r="AP19" s="84">
        <f t="shared" ref="AP19" si="12">AN19+1</f>
        <v>43553</v>
      </c>
      <c r="AQ19" s="85"/>
      <c r="AR19" s="84">
        <f t="shared" ref="AR19" si="13">AP19+1</f>
        <v>43554</v>
      </c>
      <c r="AS19" s="85"/>
    </row>
    <row r="20" spans="2:45" ht="17.100000000000001" customHeight="1" x14ac:dyDescent="0.25">
      <c r="B20" s="23">
        <f>B19</f>
        <v>43492</v>
      </c>
      <c r="C20" s="24" t="str">
        <f>O18</f>
        <v>Jum I</v>
      </c>
      <c r="D20" s="23">
        <f>D19</f>
        <v>43493</v>
      </c>
      <c r="E20" s="24" t="str">
        <f>C20</f>
        <v>Jum I</v>
      </c>
      <c r="F20" s="23">
        <f t="shared" ref="F20" si="14">F19</f>
        <v>43494</v>
      </c>
      <c r="G20" s="24" t="str">
        <f>E20</f>
        <v>Jum I</v>
      </c>
      <c r="H20" s="23">
        <f>H19</f>
        <v>43495</v>
      </c>
      <c r="I20" s="24" t="str">
        <f>G20</f>
        <v>Jum I</v>
      </c>
      <c r="J20" s="23">
        <f>J19</f>
        <v>43496</v>
      </c>
      <c r="K20" s="24" t="str">
        <f>I20</f>
        <v>Jum I</v>
      </c>
      <c r="L20" s="25"/>
      <c r="M20" s="19"/>
      <c r="N20" s="18"/>
      <c r="O20" s="28"/>
      <c r="P20" s="8"/>
      <c r="Q20" s="36">
        <f>Q19</f>
        <v>43520</v>
      </c>
      <c r="R20" s="37" t="str">
        <f>AD18</f>
        <v>Jum II</v>
      </c>
      <c r="S20" s="36">
        <f>S19</f>
        <v>43521</v>
      </c>
      <c r="T20" s="37" t="str">
        <f>R20</f>
        <v>Jum II</v>
      </c>
      <c r="U20" s="36">
        <f t="shared" ref="U20" si="15">U19</f>
        <v>43522</v>
      </c>
      <c r="V20" s="37" t="str">
        <f>T20</f>
        <v>Jum II</v>
      </c>
      <c r="W20" s="36">
        <f>W19</f>
        <v>43523</v>
      </c>
      <c r="X20" s="37" t="str">
        <f>V20</f>
        <v>Jum II</v>
      </c>
      <c r="Y20" s="36">
        <f>Y19</f>
        <v>43524</v>
      </c>
      <c r="Z20" s="37" t="str">
        <f>X20</f>
        <v>Jum II</v>
      </c>
      <c r="AA20" s="18"/>
      <c r="AB20" s="19"/>
      <c r="AC20" s="18"/>
      <c r="AD20" s="28"/>
      <c r="AE20" s="8"/>
      <c r="AF20" s="23">
        <f>AF19</f>
        <v>43548</v>
      </c>
      <c r="AG20" s="24" t="str">
        <f>AS18</f>
        <v>Rajab</v>
      </c>
      <c r="AH20" s="23">
        <f>AH19</f>
        <v>43549</v>
      </c>
      <c r="AI20" s="24" t="str">
        <f>AG20</f>
        <v>Rajab</v>
      </c>
      <c r="AJ20" s="23">
        <f t="shared" ref="AJ20" si="16">AJ19</f>
        <v>43550</v>
      </c>
      <c r="AK20" s="24" t="str">
        <f>AI20</f>
        <v>Rajab</v>
      </c>
      <c r="AL20" s="23">
        <f>AL19</f>
        <v>43551</v>
      </c>
      <c r="AM20" s="24" t="str">
        <f>AK20</f>
        <v>Rajab</v>
      </c>
      <c r="AN20" s="23">
        <f>AN19</f>
        <v>43552</v>
      </c>
      <c r="AO20" s="24" t="str">
        <f>AM20</f>
        <v>Rajab</v>
      </c>
      <c r="AP20" s="23">
        <f t="shared" ref="AP20" si="17">AP19</f>
        <v>43553</v>
      </c>
      <c r="AQ20" s="24" t="str">
        <f t="shared" ref="AQ20" si="18">AO20</f>
        <v>Rajab</v>
      </c>
      <c r="AR20" s="23">
        <f t="shared" ref="AR20" si="19">AR19</f>
        <v>43554</v>
      </c>
      <c r="AS20" s="24" t="str">
        <f t="shared" ref="AS20" si="20">AQ20</f>
        <v>Rajab</v>
      </c>
    </row>
    <row r="21" spans="2:45" s="17" customFormat="1" ht="17.100000000000001" customHeight="1" x14ac:dyDescent="0.25">
      <c r="B21" s="93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2"/>
      <c r="P21" s="16"/>
      <c r="Q21" s="93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2"/>
      <c r="AE21" s="16"/>
      <c r="AF21" s="84">
        <f>AR19+1</f>
        <v>43555</v>
      </c>
      <c r="AG21" s="85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2"/>
    </row>
    <row r="22" spans="2:45" ht="17.100000000000001" customHeight="1" x14ac:dyDescent="0.25">
      <c r="B22" s="20"/>
      <c r="C22" s="29"/>
      <c r="D22" s="30"/>
      <c r="E22" s="29"/>
      <c r="F22" s="30"/>
      <c r="G22" s="29"/>
      <c r="H22" s="30"/>
      <c r="I22" s="29"/>
      <c r="J22" s="30"/>
      <c r="K22" s="29"/>
      <c r="L22" s="30"/>
      <c r="M22" s="29"/>
      <c r="N22" s="30"/>
      <c r="O22" s="21"/>
      <c r="P22" s="8"/>
      <c r="Q22" s="20"/>
      <c r="R22" s="29"/>
      <c r="S22" s="30"/>
      <c r="T22" s="29"/>
      <c r="U22" s="30"/>
      <c r="V22" s="29"/>
      <c r="W22" s="30"/>
      <c r="X22" s="29"/>
      <c r="Y22" s="30"/>
      <c r="Z22" s="29"/>
      <c r="AA22" s="30"/>
      <c r="AB22" s="29"/>
      <c r="AC22" s="30"/>
      <c r="AD22" s="21"/>
      <c r="AE22" s="8"/>
      <c r="AF22" s="23">
        <f>AF21</f>
        <v>43555</v>
      </c>
      <c r="AG22" s="24" t="str">
        <f>AS20</f>
        <v>Rajab</v>
      </c>
      <c r="AH22" s="30"/>
      <c r="AI22" s="29"/>
      <c r="AJ22" s="30"/>
      <c r="AK22" s="29"/>
      <c r="AL22" s="30"/>
      <c r="AM22" s="29"/>
      <c r="AN22" s="30"/>
      <c r="AO22" s="29"/>
      <c r="AP22" s="30"/>
      <c r="AQ22" s="29"/>
      <c r="AR22" s="30"/>
      <c r="AS22" s="21"/>
    </row>
    <row r="23" spans="2:45" ht="17.100000000000001" customHeight="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2:45" ht="17.100000000000001" hidden="1" customHeight="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spans="2:45" s="3" customFormat="1" ht="16.95" customHeight="1" x14ac:dyDescent="0.25">
      <c r="B25" s="86" t="s">
        <v>3</v>
      </c>
      <c r="C25" s="87"/>
      <c r="D25" s="87"/>
      <c r="E25" s="87"/>
      <c r="F25" s="87"/>
      <c r="G25" s="87"/>
      <c r="H25" s="87"/>
      <c r="I25" s="9"/>
      <c r="J25" s="10"/>
      <c r="K25" s="11"/>
      <c r="L25" s="43"/>
      <c r="M25" s="44"/>
      <c r="N25" s="43"/>
      <c r="O25" s="45" t="s">
        <v>30</v>
      </c>
      <c r="P25" s="6"/>
      <c r="Q25" s="86" t="s">
        <v>4</v>
      </c>
      <c r="R25" s="87"/>
      <c r="S25" s="87"/>
      <c r="T25" s="87"/>
      <c r="U25" s="87"/>
      <c r="V25" s="87"/>
      <c r="W25" s="87"/>
      <c r="X25" s="9"/>
      <c r="Y25" s="10"/>
      <c r="Z25" s="11"/>
      <c r="AA25" s="38"/>
      <c r="AB25" s="39"/>
      <c r="AC25" s="38"/>
      <c r="AD25" s="40" t="s">
        <v>31</v>
      </c>
      <c r="AE25" s="6"/>
      <c r="AF25" s="86" t="s">
        <v>5</v>
      </c>
      <c r="AG25" s="87"/>
      <c r="AH25" s="87"/>
      <c r="AI25" s="87"/>
      <c r="AJ25" s="87"/>
      <c r="AK25" s="87"/>
      <c r="AL25" s="87"/>
      <c r="AM25" s="9"/>
      <c r="AN25" s="10"/>
      <c r="AO25" s="11"/>
      <c r="AP25" s="43"/>
      <c r="AQ25" s="44"/>
      <c r="AR25" s="43"/>
      <c r="AS25" s="45" t="s">
        <v>32</v>
      </c>
    </row>
    <row r="26" spans="2:45" s="3" customFormat="1" ht="17.100000000000001" customHeight="1" x14ac:dyDescent="0.25">
      <c r="B26" s="88"/>
      <c r="C26" s="89"/>
      <c r="D26" s="89"/>
      <c r="E26" s="89"/>
      <c r="F26" s="89"/>
      <c r="G26" s="89"/>
      <c r="H26" s="89"/>
      <c r="I26" s="12"/>
      <c r="J26" s="13"/>
      <c r="K26" s="14"/>
      <c r="L26" s="41"/>
      <c r="M26" s="42"/>
      <c r="N26" s="41"/>
      <c r="O26" s="46" t="s">
        <v>31</v>
      </c>
      <c r="P26" s="6"/>
      <c r="Q26" s="88"/>
      <c r="R26" s="89"/>
      <c r="S26" s="89"/>
      <c r="T26" s="89"/>
      <c r="U26" s="89"/>
      <c r="V26" s="89"/>
      <c r="W26" s="89"/>
      <c r="X26" s="12"/>
      <c r="Y26" s="13"/>
      <c r="Z26" s="14"/>
      <c r="AA26" s="33"/>
      <c r="AB26" s="34"/>
      <c r="AC26" s="33"/>
      <c r="AD26" s="35" t="s">
        <v>32</v>
      </c>
      <c r="AE26" s="6"/>
      <c r="AF26" s="88"/>
      <c r="AG26" s="89"/>
      <c r="AH26" s="89"/>
      <c r="AI26" s="89"/>
      <c r="AJ26" s="89"/>
      <c r="AK26" s="89"/>
      <c r="AL26" s="89"/>
      <c r="AM26" s="12"/>
      <c r="AN26" s="13"/>
      <c r="AO26" s="14"/>
      <c r="AP26" s="41"/>
      <c r="AQ26" s="42"/>
      <c r="AR26" s="41"/>
      <c r="AS26" s="46" t="s">
        <v>33</v>
      </c>
    </row>
    <row r="27" spans="2:45" s="3" customFormat="1" ht="17.100000000000001" customHeight="1" x14ac:dyDescent="0.25">
      <c r="B27" s="6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7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2:45" s="3" customFormat="1" ht="16.5" customHeight="1" x14ac:dyDescent="0.25">
      <c r="B28" s="90" t="s">
        <v>16</v>
      </c>
      <c r="C28" s="90"/>
      <c r="D28" s="90" t="s">
        <v>17</v>
      </c>
      <c r="E28" s="90"/>
      <c r="F28" s="90" t="s">
        <v>18</v>
      </c>
      <c r="G28" s="90"/>
      <c r="H28" s="90" t="s">
        <v>19</v>
      </c>
      <c r="I28" s="90"/>
      <c r="J28" s="90" t="s">
        <v>20</v>
      </c>
      <c r="K28" s="90"/>
      <c r="L28" s="90" t="s">
        <v>21</v>
      </c>
      <c r="M28" s="90"/>
      <c r="N28" s="90" t="s">
        <v>22</v>
      </c>
      <c r="O28" s="90"/>
      <c r="P28" s="6"/>
      <c r="Q28" s="90" t="s">
        <v>16</v>
      </c>
      <c r="R28" s="90"/>
      <c r="S28" s="90" t="s">
        <v>17</v>
      </c>
      <c r="T28" s="90"/>
      <c r="U28" s="90" t="s">
        <v>18</v>
      </c>
      <c r="V28" s="90"/>
      <c r="W28" s="90" t="s">
        <v>19</v>
      </c>
      <c r="X28" s="90"/>
      <c r="Y28" s="90" t="s">
        <v>20</v>
      </c>
      <c r="Z28" s="90"/>
      <c r="AA28" s="90" t="s">
        <v>21</v>
      </c>
      <c r="AB28" s="90"/>
      <c r="AC28" s="90" t="s">
        <v>22</v>
      </c>
      <c r="AD28" s="90"/>
      <c r="AE28" s="6"/>
      <c r="AF28" s="94" t="s">
        <v>16</v>
      </c>
      <c r="AG28" s="95"/>
      <c r="AH28" s="95" t="s">
        <v>17</v>
      </c>
      <c r="AI28" s="95"/>
      <c r="AJ28" s="95" t="s">
        <v>18</v>
      </c>
      <c r="AK28" s="95"/>
      <c r="AL28" s="95" t="s">
        <v>19</v>
      </c>
      <c r="AM28" s="95"/>
      <c r="AN28" s="95" t="s">
        <v>20</v>
      </c>
      <c r="AO28" s="95"/>
      <c r="AP28" s="95" t="s">
        <v>21</v>
      </c>
      <c r="AQ28" s="95"/>
      <c r="AR28" s="95" t="s">
        <v>22</v>
      </c>
      <c r="AS28" s="99"/>
    </row>
    <row r="29" spans="2:45" s="17" customFormat="1" ht="17.100000000000001" customHeight="1" x14ac:dyDescent="0.25">
      <c r="B29" s="91"/>
      <c r="C29" s="92"/>
      <c r="D29" s="84">
        <v>43556</v>
      </c>
      <c r="E29" s="85"/>
      <c r="F29" s="84">
        <f>D29+1</f>
        <v>43557</v>
      </c>
      <c r="G29" s="85"/>
      <c r="H29" s="84">
        <f t="shared" ref="H29" si="21">F29+1</f>
        <v>43558</v>
      </c>
      <c r="I29" s="85"/>
      <c r="J29" s="84">
        <f t="shared" ref="J29" si="22">H29+1</f>
        <v>43559</v>
      </c>
      <c r="K29" s="85"/>
      <c r="L29" s="84">
        <f t="shared" ref="L29" si="23">J29+1</f>
        <v>43560</v>
      </c>
      <c r="M29" s="85"/>
      <c r="N29" s="84">
        <f t="shared" ref="N29" si="24">L29+1</f>
        <v>43561</v>
      </c>
      <c r="O29" s="85"/>
      <c r="P29" s="16"/>
      <c r="Q29" s="91"/>
      <c r="R29" s="92"/>
      <c r="S29" s="92"/>
      <c r="T29" s="92"/>
      <c r="U29" s="92"/>
      <c r="V29" s="92"/>
      <c r="W29" s="84">
        <v>43586</v>
      </c>
      <c r="X29" s="85"/>
      <c r="Y29" s="84">
        <f t="shared" ref="Y29" si="25">W29+1</f>
        <v>43587</v>
      </c>
      <c r="Z29" s="85"/>
      <c r="AA29" s="84">
        <f t="shared" ref="AA29" si="26">Y29+1</f>
        <v>43588</v>
      </c>
      <c r="AB29" s="85"/>
      <c r="AC29" s="84">
        <f t="shared" ref="AC29" si="27">AA29+1</f>
        <v>43589</v>
      </c>
      <c r="AD29" s="85"/>
      <c r="AE29" s="16"/>
      <c r="AF29" s="100"/>
      <c r="AG29" s="101"/>
      <c r="AH29" s="101"/>
      <c r="AI29" s="101"/>
      <c r="AJ29" s="81"/>
      <c r="AK29" s="81"/>
      <c r="AL29" s="81"/>
      <c r="AM29" s="81"/>
      <c r="AN29" s="81"/>
      <c r="AO29" s="81"/>
      <c r="AP29" s="81"/>
      <c r="AQ29" s="81"/>
      <c r="AR29" s="84">
        <v>43617</v>
      </c>
      <c r="AS29" s="85"/>
    </row>
    <row r="30" spans="2:45" ht="17.100000000000001" customHeight="1" x14ac:dyDescent="0.25">
      <c r="B30" s="27"/>
      <c r="C30" s="19"/>
      <c r="D30" s="23">
        <f>D29</f>
        <v>43556</v>
      </c>
      <c r="E30" s="24" t="s">
        <v>30</v>
      </c>
      <c r="F30" s="23">
        <f>F29</f>
        <v>43557</v>
      </c>
      <c r="G30" s="24" t="str">
        <f>E30</f>
        <v>Rajab</v>
      </c>
      <c r="H30" s="23">
        <f>H29</f>
        <v>43558</v>
      </c>
      <c r="I30" s="24" t="str">
        <f>G30</f>
        <v>Rajab</v>
      </c>
      <c r="J30" s="23">
        <f>J29</f>
        <v>43559</v>
      </c>
      <c r="K30" s="24" t="str">
        <f>I30</f>
        <v>Rajab</v>
      </c>
      <c r="L30" s="23">
        <f>L29</f>
        <v>43560</v>
      </c>
      <c r="M30" s="24" t="str">
        <f>K30</f>
        <v>Rajab</v>
      </c>
      <c r="N30" s="36">
        <f>N29</f>
        <v>43561</v>
      </c>
      <c r="O30" s="37" t="s">
        <v>44</v>
      </c>
      <c r="P30" s="8"/>
      <c r="Q30" s="27"/>
      <c r="R30" s="19"/>
      <c r="S30" s="26"/>
      <c r="T30" s="19"/>
      <c r="U30" s="26"/>
      <c r="V30" s="19"/>
      <c r="W30" s="36">
        <f>W29</f>
        <v>43586</v>
      </c>
      <c r="X30" s="37" t="s">
        <v>44</v>
      </c>
      <c r="Y30" s="36">
        <f>Y29</f>
        <v>43587</v>
      </c>
      <c r="Z30" s="37" t="str">
        <f>X30</f>
        <v>Sha</v>
      </c>
      <c r="AA30" s="36">
        <f>AA29</f>
        <v>43588</v>
      </c>
      <c r="AB30" s="37" t="str">
        <f>Z30</f>
        <v>Sha</v>
      </c>
      <c r="AC30" s="36">
        <f>AC29</f>
        <v>43589</v>
      </c>
      <c r="AD30" s="37" t="s">
        <v>44</v>
      </c>
      <c r="AE30" s="8"/>
      <c r="AF30" s="27"/>
      <c r="AG30" s="19"/>
      <c r="AH30" s="26"/>
      <c r="AI30" s="19"/>
      <c r="AJ30" s="18"/>
      <c r="AK30" s="19"/>
      <c r="AL30" s="18"/>
      <c r="AM30" s="19"/>
      <c r="AN30" s="18"/>
      <c r="AO30" s="19"/>
      <c r="AP30" s="18"/>
      <c r="AQ30" s="19"/>
      <c r="AR30" s="23">
        <f>AA38+1</f>
        <v>43617</v>
      </c>
      <c r="AS30" s="24" t="s">
        <v>48</v>
      </c>
    </row>
    <row r="31" spans="2:45" s="17" customFormat="1" ht="17.100000000000001" customHeight="1" x14ac:dyDescent="0.25">
      <c r="B31" s="84">
        <f>N29+1</f>
        <v>43562</v>
      </c>
      <c r="C31" s="85"/>
      <c r="D31" s="84">
        <f>B31+1</f>
        <v>43563</v>
      </c>
      <c r="E31" s="85"/>
      <c r="F31" s="84">
        <f>D31+1</f>
        <v>43564</v>
      </c>
      <c r="G31" s="85"/>
      <c r="H31" s="84">
        <f>F31+1</f>
        <v>43565</v>
      </c>
      <c r="I31" s="85"/>
      <c r="J31" s="84">
        <f>H31+1</f>
        <v>43566</v>
      </c>
      <c r="K31" s="85"/>
      <c r="L31" s="84">
        <f>J31+1</f>
        <v>43567</v>
      </c>
      <c r="M31" s="85"/>
      <c r="N31" s="84">
        <f>L31+1</f>
        <v>43568</v>
      </c>
      <c r="O31" s="85"/>
      <c r="P31" s="16"/>
      <c r="Q31" s="84">
        <f>AC29+1</f>
        <v>43590</v>
      </c>
      <c r="R31" s="85"/>
      <c r="S31" s="84">
        <f>Q31+1</f>
        <v>43591</v>
      </c>
      <c r="T31" s="85"/>
      <c r="U31" s="84">
        <f t="shared" ref="U31:U38" si="28">S31+1</f>
        <v>43592</v>
      </c>
      <c r="V31" s="85"/>
      <c r="W31" s="84">
        <f t="shared" ref="W31:W38" si="29">U31+1</f>
        <v>43593</v>
      </c>
      <c r="X31" s="85"/>
      <c r="Y31" s="84">
        <f t="shared" ref="Y31:Y38" si="30">W31+1</f>
        <v>43594</v>
      </c>
      <c r="Z31" s="85"/>
      <c r="AA31" s="84">
        <f t="shared" ref="AA31:AA38" si="31">Y31+1</f>
        <v>43595</v>
      </c>
      <c r="AB31" s="85"/>
      <c r="AC31" s="84">
        <f t="shared" ref="AC31:AC36" si="32">AA31+1</f>
        <v>43596</v>
      </c>
      <c r="AD31" s="85"/>
      <c r="AE31" s="16"/>
      <c r="AF31" s="84">
        <f>AR29+1</f>
        <v>43618</v>
      </c>
      <c r="AG31" s="85"/>
      <c r="AH31" s="84">
        <f>AF31+1</f>
        <v>43619</v>
      </c>
      <c r="AI31" s="85"/>
      <c r="AJ31" s="84">
        <f>AH31+1</f>
        <v>43620</v>
      </c>
      <c r="AK31" s="85"/>
      <c r="AL31" s="84">
        <f>AJ31+1</f>
        <v>43621</v>
      </c>
      <c r="AM31" s="85"/>
      <c r="AN31" s="84">
        <f>AL31+1</f>
        <v>43622</v>
      </c>
      <c r="AO31" s="85"/>
      <c r="AP31" s="84">
        <f>AN31+1</f>
        <v>43623</v>
      </c>
      <c r="AQ31" s="85"/>
      <c r="AR31" s="84">
        <f>AP31+1</f>
        <v>43624</v>
      </c>
      <c r="AS31" s="85"/>
    </row>
    <row r="32" spans="2:45" ht="17.100000000000001" customHeight="1" x14ac:dyDescent="0.25">
      <c r="B32" s="36">
        <f>B31</f>
        <v>43562</v>
      </c>
      <c r="C32" s="37" t="str">
        <f>O30</f>
        <v>Sha</v>
      </c>
      <c r="D32" s="36">
        <f>D31</f>
        <v>43563</v>
      </c>
      <c r="E32" s="37" t="str">
        <f>C32</f>
        <v>Sha</v>
      </c>
      <c r="F32" s="36">
        <f t="shared" ref="F32" si="33">F31</f>
        <v>43564</v>
      </c>
      <c r="G32" s="37" t="str">
        <f>E32</f>
        <v>Sha</v>
      </c>
      <c r="H32" s="36">
        <f>H31</f>
        <v>43565</v>
      </c>
      <c r="I32" s="37" t="str">
        <f>G32</f>
        <v>Sha</v>
      </c>
      <c r="J32" s="36">
        <f>J31</f>
        <v>43566</v>
      </c>
      <c r="K32" s="37" t="str">
        <f>I32</f>
        <v>Sha</v>
      </c>
      <c r="L32" s="36">
        <f>L31</f>
        <v>43567</v>
      </c>
      <c r="M32" s="37" t="str">
        <f>K32</f>
        <v>Sha</v>
      </c>
      <c r="N32" s="36">
        <f>N31</f>
        <v>43568</v>
      </c>
      <c r="O32" s="37" t="str">
        <f>M32</f>
        <v>Sha</v>
      </c>
      <c r="P32" s="8"/>
      <c r="Q32" s="36">
        <f>IF(RamRef=5,Q31,TEXT(30,"00"))</f>
        <v>43590</v>
      </c>
      <c r="R32" s="37" t="str">
        <f>IF(RamRef=5,"Ramad","Sha")</f>
        <v>Ramad</v>
      </c>
      <c r="S32" s="23">
        <f>IF(RamRef=5,S31,S31-1)</f>
        <v>43591</v>
      </c>
      <c r="T32" s="24" t="s">
        <v>48</v>
      </c>
      <c r="U32" s="23">
        <f t="shared" si="28"/>
        <v>43592</v>
      </c>
      <c r="V32" s="24" t="str">
        <f>T32</f>
        <v>Ramad</v>
      </c>
      <c r="W32" s="23">
        <f t="shared" si="29"/>
        <v>43593</v>
      </c>
      <c r="X32" s="24" t="str">
        <f>V32</f>
        <v>Ramad</v>
      </c>
      <c r="Y32" s="23">
        <f t="shared" si="30"/>
        <v>43594</v>
      </c>
      <c r="Z32" s="24" t="str">
        <f>X32</f>
        <v>Ramad</v>
      </c>
      <c r="AA32" s="23">
        <f t="shared" si="31"/>
        <v>43595</v>
      </c>
      <c r="AB32" s="24" t="str">
        <f>Z32</f>
        <v>Ramad</v>
      </c>
      <c r="AC32" s="23">
        <f t="shared" si="32"/>
        <v>43596</v>
      </c>
      <c r="AD32" s="24" t="str">
        <f>AB32</f>
        <v>Ramad</v>
      </c>
      <c r="AE32" s="8"/>
      <c r="AF32" s="23">
        <f>AR30+1</f>
        <v>43618</v>
      </c>
      <c r="AG32" s="24" t="str">
        <f>AS30</f>
        <v>Ramad</v>
      </c>
      <c r="AH32" s="23">
        <f>AF32+1</f>
        <v>43619</v>
      </c>
      <c r="AI32" s="24" t="str">
        <f>AG32</f>
        <v>Ramad</v>
      </c>
      <c r="AJ32" s="36">
        <f t="shared" ref="AJ32" si="34">AJ31</f>
        <v>43620</v>
      </c>
      <c r="AK32" s="37" t="s">
        <v>45</v>
      </c>
      <c r="AL32" s="36">
        <f>AL31</f>
        <v>43621</v>
      </c>
      <c r="AM32" s="37" t="str">
        <f>AK32</f>
        <v>Shaw</v>
      </c>
      <c r="AN32" s="36">
        <f>AN31</f>
        <v>43622</v>
      </c>
      <c r="AO32" s="37" t="str">
        <f>AM32</f>
        <v>Shaw</v>
      </c>
      <c r="AP32" s="36">
        <f>AP31</f>
        <v>43623</v>
      </c>
      <c r="AQ32" s="37" t="str">
        <f>AO32</f>
        <v>Shaw</v>
      </c>
      <c r="AR32" s="36">
        <f>AR31</f>
        <v>43624</v>
      </c>
      <c r="AS32" s="37" t="str">
        <f>AQ32</f>
        <v>Shaw</v>
      </c>
    </row>
    <row r="33" spans="2:45" s="17" customFormat="1" ht="17.100000000000001" customHeight="1" x14ac:dyDescent="0.25">
      <c r="B33" s="84">
        <f>N31+1</f>
        <v>43569</v>
      </c>
      <c r="C33" s="85"/>
      <c r="D33" s="84">
        <f>B33+1</f>
        <v>43570</v>
      </c>
      <c r="E33" s="85"/>
      <c r="F33" s="84">
        <f>D33+1</f>
        <v>43571</v>
      </c>
      <c r="G33" s="85"/>
      <c r="H33" s="84">
        <f>F33+1</f>
        <v>43572</v>
      </c>
      <c r="I33" s="85"/>
      <c r="J33" s="84">
        <f>H33+1</f>
        <v>43573</v>
      </c>
      <c r="K33" s="85"/>
      <c r="L33" s="84">
        <f>J33+1</f>
        <v>43574</v>
      </c>
      <c r="M33" s="85"/>
      <c r="N33" s="84">
        <f>L33+1</f>
        <v>43575</v>
      </c>
      <c r="O33" s="85"/>
      <c r="P33" s="16"/>
      <c r="Q33" s="84">
        <f t="shared" ref="Q33:Q38" si="35">AC31+1</f>
        <v>43597</v>
      </c>
      <c r="R33" s="85"/>
      <c r="S33" s="84">
        <f t="shared" ref="S33:S38" si="36">Q33+1</f>
        <v>43598</v>
      </c>
      <c r="T33" s="85"/>
      <c r="U33" s="84">
        <f t="shared" si="28"/>
        <v>43599</v>
      </c>
      <c r="V33" s="85"/>
      <c r="W33" s="84">
        <f t="shared" si="29"/>
        <v>43600</v>
      </c>
      <c r="X33" s="85"/>
      <c r="Y33" s="84">
        <f t="shared" si="30"/>
        <v>43601</v>
      </c>
      <c r="Z33" s="85"/>
      <c r="AA33" s="84">
        <f t="shared" si="31"/>
        <v>43602</v>
      </c>
      <c r="AB33" s="85"/>
      <c r="AC33" s="84">
        <f t="shared" si="32"/>
        <v>43603</v>
      </c>
      <c r="AD33" s="85"/>
      <c r="AE33" s="16"/>
      <c r="AF33" s="84">
        <f>AR31+1</f>
        <v>43625</v>
      </c>
      <c r="AG33" s="85"/>
      <c r="AH33" s="84">
        <f>AF33+1</f>
        <v>43626</v>
      </c>
      <c r="AI33" s="85"/>
      <c r="AJ33" s="84">
        <f>AH33+1</f>
        <v>43627</v>
      </c>
      <c r="AK33" s="85"/>
      <c r="AL33" s="84">
        <f>AJ33+1</f>
        <v>43628</v>
      </c>
      <c r="AM33" s="85"/>
      <c r="AN33" s="84">
        <f>AL33+1</f>
        <v>43629</v>
      </c>
      <c r="AO33" s="85"/>
      <c r="AP33" s="84">
        <f>AN33+1</f>
        <v>43630</v>
      </c>
      <c r="AQ33" s="85"/>
      <c r="AR33" s="84">
        <f>AP33+1</f>
        <v>43631</v>
      </c>
      <c r="AS33" s="85"/>
    </row>
    <row r="34" spans="2:45" ht="17.100000000000001" customHeight="1" x14ac:dyDescent="0.25">
      <c r="B34" s="36">
        <f>B33</f>
        <v>43569</v>
      </c>
      <c r="C34" s="37" t="str">
        <f>O32</f>
        <v>Sha</v>
      </c>
      <c r="D34" s="36">
        <f>D33</f>
        <v>43570</v>
      </c>
      <c r="E34" s="37" t="str">
        <f>C34</f>
        <v>Sha</v>
      </c>
      <c r="F34" s="36">
        <f t="shared" ref="F34" si="37">F33</f>
        <v>43571</v>
      </c>
      <c r="G34" s="37" t="str">
        <f>E34</f>
        <v>Sha</v>
      </c>
      <c r="H34" s="36">
        <f>H33</f>
        <v>43572</v>
      </c>
      <c r="I34" s="37" t="str">
        <f>G34</f>
        <v>Sha</v>
      </c>
      <c r="J34" s="36">
        <f>J33</f>
        <v>43573</v>
      </c>
      <c r="K34" s="37" t="str">
        <f>I34</f>
        <v>Sha</v>
      </c>
      <c r="L34" s="36">
        <f>L33</f>
        <v>43574</v>
      </c>
      <c r="M34" s="37" t="str">
        <f>K34</f>
        <v>Sha</v>
      </c>
      <c r="N34" s="36">
        <f>N33</f>
        <v>43575</v>
      </c>
      <c r="O34" s="37" t="str">
        <f>M34</f>
        <v>Sha</v>
      </c>
      <c r="P34" s="8"/>
      <c r="Q34" s="23">
        <f t="shared" si="35"/>
        <v>43597</v>
      </c>
      <c r="R34" s="24" t="str">
        <f>AD32</f>
        <v>Ramad</v>
      </c>
      <c r="S34" s="23">
        <f t="shared" si="36"/>
        <v>43598</v>
      </c>
      <c r="T34" s="24" t="str">
        <f>R34</f>
        <v>Ramad</v>
      </c>
      <c r="U34" s="23">
        <f t="shared" si="28"/>
        <v>43599</v>
      </c>
      <c r="V34" s="24" t="str">
        <f>T34</f>
        <v>Ramad</v>
      </c>
      <c r="W34" s="23">
        <f t="shared" si="29"/>
        <v>43600</v>
      </c>
      <c r="X34" s="24" t="str">
        <f>V34</f>
        <v>Ramad</v>
      </c>
      <c r="Y34" s="23">
        <f t="shared" si="30"/>
        <v>43601</v>
      </c>
      <c r="Z34" s="24" t="str">
        <f>X34</f>
        <v>Ramad</v>
      </c>
      <c r="AA34" s="23">
        <f t="shared" si="31"/>
        <v>43602</v>
      </c>
      <c r="AB34" s="24" t="str">
        <f>Z34</f>
        <v>Ramad</v>
      </c>
      <c r="AC34" s="23">
        <f t="shared" si="32"/>
        <v>43603</v>
      </c>
      <c r="AD34" s="24" t="str">
        <f>AB34</f>
        <v>Ramad</v>
      </c>
      <c r="AE34" s="8"/>
      <c r="AF34" s="36">
        <f>AF33</f>
        <v>43625</v>
      </c>
      <c r="AG34" s="37" t="str">
        <f>AS32</f>
        <v>Shaw</v>
      </c>
      <c r="AH34" s="36">
        <f>AH33</f>
        <v>43626</v>
      </c>
      <c r="AI34" s="37" t="str">
        <f>AG34</f>
        <v>Shaw</v>
      </c>
      <c r="AJ34" s="36">
        <f t="shared" ref="AJ34" si="38">AJ33</f>
        <v>43627</v>
      </c>
      <c r="AK34" s="37" t="str">
        <f>AI34</f>
        <v>Shaw</v>
      </c>
      <c r="AL34" s="36">
        <f>AL33</f>
        <v>43628</v>
      </c>
      <c r="AM34" s="37" t="str">
        <f>AK34</f>
        <v>Shaw</v>
      </c>
      <c r="AN34" s="36">
        <f>AN33</f>
        <v>43629</v>
      </c>
      <c r="AO34" s="37" t="str">
        <f>AM34</f>
        <v>Shaw</v>
      </c>
      <c r="AP34" s="36">
        <f>AP33</f>
        <v>43630</v>
      </c>
      <c r="AQ34" s="37" t="str">
        <f>AO34</f>
        <v>Shaw</v>
      </c>
      <c r="AR34" s="36">
        <f>AR33</f>
        <v>43631</v>
      </c>
      <c r="AS34" s="37" t="str">
        <f>AQ34</f>
        <v>Shaw</v>
      </c>
    </row>
    <row r="35" spans="2:45" s="17" customFormat="1" ht="17.100000000000001" customHeight="1" x14ac:dyDescent="0.25">
      <c r="B35" s="84">
        <f>N33+1</f>
        <v>43576</v>
      </c>
      <c r="C35" s="85"/>
      <c r="D35" s="84">
        <f>B35+1</f>
        <v>43577</v>
      </c>
      <c r="E35" s="85"/>
      <c r="F35" s="84">
        <f>D35+1</f>
        <v>43578</v>
      </c>
      <c r="G35" s="85"/>
      <c r="H35" s="84">
        <f>F35+1</f>
        <v>43579</v>
      </c>
      <c r="I35" s="85"/>
      <c r="J35" s="84">
        <f>H35+1</f>
        <v>43580</v>
      </c>
      <c r="K35" s="85"/>
      <c r="L35" s="84">
        <f>J35+1</f>
        <v>43581</v>
      </c>
      <c r="M35" s="85"/>
      <c r="N35" s="84">
        <f>L35+1</f>
        <v>43582</v>
      </c>
      <c r="O35" s="85"/>
      <c r="P35" s="16"/>
      <c r="Q35" s="84">
        <f t="shared" si="35"/>
        <v>43604</v>
      </c>
      <c r="R35" s="85"/>
      <c r="S35" s="84">
        <f t="shared" si="36"/>
        <v>43605</v>
      </c>
      <c r="T35" s="85"/>
      <c r="U35" s="84">
        <f t="shared" si="28"/>
        <v>43606</v>
      </c>
      <c r="V35" s="85"/>
      <c r="W35" s="84">
        <f t="shared" si="29"/>
        <v>43607</v>
      </c>
      <c r="X35" s="85"/>
      <c r="Y35" s="84">
        <f t="shared" si="30"/>
        <v>43608</v>
      </c>
      <c r="Z35" s="85"/>
      <c r="AA35" s="84">
        <f t="shared" si="31"/>
        <v>43609</v>
      </c>
      <c r="AB35" s="85"/>
      <c r="AC35" s="84">
        <f t="shared" si="32"/>
        <v>43610</v>
      </c>
      <c r="AD35" s="85"/>
      <c r="AE35" s="16"/>
      <c r="AF35" s="84">
        <f>AR33+1</f>
        <v>43632</v>
      </c>
      <c r="AG35" s="85"/>
      <c r="AH35" s="84">
        <f>AF35+1</f>
        <v>43633</v>
      </c>
      <c r="AI35" s="85"/>
      <c r="AJ35" s="84">
        <f>AH35+1</f>
        <v>43634</v>
      </c>
      <c r="AK35" s="85"/>
      <c r="AL35" s="84">
        <f>AJ35+1</f>
        <v>43635</v>
      </c>
      <c r="AM35" s="85"/>
      <c r="AN35" s="84">
        <f>AL35+1</f>
        <v>43636</v>
      </c>
      <c r="AO35" s="85"/>
      <c r="AP35" s="84">
        <f>AN35+1</f>
        <v>43637</v>
      </c>
      <c r="AQ35" s="85"/>
      <c r="AR35" s="84">
        <f>AP35+1</f>
        <v>43638</v>
      </c>
      <c r="AS35" s="85"/>
    </row>
    <row r="36" spans="2:45" ht="17.100000000000001" customHeight="1" x14ac:dyDescent="0.25">
      <c r="B36" s="36">
        <f>B35</f>
        <v>43576</v>
      </c>
      <c r="C36" s="37" t="str">
        <f>O34</f>
        <v>Sha</v>
      </c>
      <c r="D36" s="36">
        <f>D35</f>
        <v>43577</v>
      </c>
      <c r="E36" s="37" t="str">
        <f>C36</f>
        <v>Sha</v>
      </c>
      <c r="F36" s="36">
        <f t="shared" ref="F36" si="39">F35</f>
        <v>43578</v>
      </c>
      <c r="G36" s="37" t="str">
        <f>E36</f>
        <v>Sha</v>
      </c>
      <c r="H36" s="36">
        <f>H35</f>
        <v>43579</v>
      </c>
      <c r="I36" s="37" t="str">
        <f>G36</f>
        <v>Sha</v>
      </c>
      <c r="J36" s="36">
        <f>J35</f>
        <v>43580</v>
      </c>
      <c r="K36" s="37" t="str">
        <f>I36</f>
        <v>Sha</v>
      </c>
      <c r="L36" s="36">
        <f>L35</f>
        <v>43581</v>
      </c>
      <c r="M36" s="37" t="str">
        <f>K36</f>
        <v>Sha</v>
      </c>
      <c r="N36" s="36">
        <f>N35</f>
        <v>43582</v>
      </c>
      <c r="O36" s="37" t="str">
        <f>M36</f>
        <v>Sha</v>
      </c>
      <c r="P36" s="8"/>
      <c r="Q36" s="23">
        <f t="shared" si="35"/>
        <v>43604</v>
      </c>
      <c r="R36" s="24" t="str">
        <f>AD34</f>
        <v>Ramad</v>
      </c>
      <c r="S36" s="23">
        <f t="shared" si="36"/>
        <v>43605</v>
      </c>
      <c r="T36" s="24" t="str">
        <f>R36</f>
        <v>Ramad</v>
      </c>
      <c r="U36" s="23">
        <f t="shared" si="28"/>
        <v>43606</v>
      </c>
      <c r="V36" s="24" t="str">
        <f>T36</f>
        <v>Ramad</v>
      </c>
      <c r="W36" s="23">
        <f t="shared" si="29"/>
        <v>43607</v>
      </c>
      <c r="X36" s="24" t="str">
        <f>V36</f>
        <v>Ramad</v>
      </c>
      <c r="Y36" s="23">
        <f t="shared" si="30"/>
        <v>43608</v>
      </c>
      <c r="Z36" s="24" t="str">
        <f>X36</f>
        <v>Ramad</v>
      </c>
      <c r="AA36" s="23">
        <f t="shared" si="31"/>
        <v>43609</v>
      </c>
      <c r="AB36" s="24" t="str">
        <f>Z36</f>
        <v>Ramad</v>
      </c>
      <c r="AC36" s="23">
        <f t="shared" si="32"/>
        <v>43610</v>
      </c>
      <c r="AD36" s="24" t="str">
        <f>AB36</f>
        <v>Ramad</v>
      </c>
      <c r="AE36" s="8"/>
      <c r="AF36" s="36">
        <f>AF35</f>
        <v>43632</v>
      </c>
      <c r="AG36" s="37" t="str">
        <f>AS34</f>
        <v>Shaw</v>
      </c>
      <c r="AH36" s="36">
        <f>AH35</f>
        <v>43633</v>
      </c>
      <c r="AI36" s="37" t="str">
        <f>AG36</f>
        <v>Shaw</v>
      </c>
      <c r="AJ36" s="36">
        <f t="shared" ref="AJ36" si="40">AJ35</f>
        <v>43634</v>
      </c>
      <c r="AK36" s="37" t="str">
        <f>AI36</f>
        <v>Shaw</v>
      </c>
      <c r="AL36" s="36">
        <f>AL35</f>
        <v>43635</v>
      </c>
      <c r="AM36" s="37" t="str">
        <f>AK36</f>
        <v>Shaw</v>
      </c>
      <c r="AN36" s="36">
        <f>AN35</f>
        <v>43636</v>
      </c>
      <c r="AO36" s="37" t="str">
        <f>AM36</f>
        <v>Shaw</v>
      </c>
      <c r="AP36" s="36">
        <f>AP35</f>
        <v>43637</v>
      </c>
      <c r="AQ36" s="37" t="str">
        <f>AO36</f>
        <v>Shaw</v>
      </c>
      <c r="AR36" s="36">
        <f>AR35</f>
        <v>43638</v>
      </c>
      <c r="AS36" s="37" t="str">
        <f>AQ36</f>
        <v>Shaw</v>
      </c>
    </row>
    <row r="37" spans="2:45" s="17" customFormat="1" ht="17.100000000000001" customHeight="1" x14ac:dyDescent="0.25">
      <c r="B37" s="84">
        <f>N35+1</f>
        <v>43583</v>
      </c>
      <c r="C37" s="85"/>
      <c r="D37" s="84">
        <f>B37+1</f>
        <v>43584</v>
      </c>
      <c r="E37" s="85"/>
      <c r="F37" s="84">
        <f>D37+1</f>
        <v>43585</v>
      </c>
      <c r="G37" s="85"/>
      <c r="H37" s="98"/>
      <c r="I37" s="96"/>
      <c r="J37" s="81"/>
      <c r="K37" s="81"/>
      <c r="L37" s="81"/>
      <c r="M37" s="81"/>
      <c r="N37" s="96"/>
      <c r="O37" s="97"/>
      <c r="P37" s="16"/>
      <c r="Q37" s="84">
        <f t="shared" si="35"/>
        <v>43611</v>
      </c>
      <c r="R37" s="85"/>
      <c r="S37" s="84">
        <f t="shared" si="36"/>
        <v>43612</v>
      </c>
      <c r="T37" s="85"/>
      <c r="U37" s="84">
        <f t="shared" si="28"/>
        <v>43613</v>
      </c>
      <c r="V37" s="85"/>
      <c r="W37" s="84">
        <f t="shared" si="29"/>
        <v>43614</v>
      </c>
      <c r="X37" s="85"/>
      <c r="Y37" s="84">
        <f t="shared" si="30"/>
        <v>43615</v>
      </c>
      <c r="Z37" s="85"/>
      <c r="AA37" s="84">
        <f t="shared" si="31"/>
        <v>43616</v>
      </c>
      <c r="AB37" s="85"/>
      <c r="AC37" s="96"/>
      <c r="AD37" s="97"/>
      <c r="AE37" s="16"/>
      <c r="AF37" s="84">
        <f>AR35+1</f>
        <v>43639</v>
      </c>
      <c r="AG37" s="85"/>
      <c r="AH37" s="84">
        <f>AF37+1</f>
        <v>43640</v>
      </c>
      <c r="AI37" s="85"/>
      <c r="AJ37" s="84">
        <f>AH37+1</f>
        <v>43641</v>
      </c>
      <c r="AK37" s="85"/>
      <c r="AL37" s="84">
        <f>AJ37+1</f>
        <v>43642</v>
      </c>
      <c r="AM37" s="85"/>
      <c r="AN37" s="84">
        <f>AL37+1</f>
        <v>43643</v>
      </c>
      <c r="AO37" s="85"/>
      <c r="AP37" s="84">
        <f>AN37+1</f>
        <v>43644</v>
      </c>
      <c r="AQ37" s="85"/>
      <c r="AR37" s="84">
        <f>AP37+1</f>
        <v>43645</v>
      </c>
      <c r="AS37" s="85"/>
    </row>
    <row r="38" spans="2:45" ht="17.100000000000001" customHeight="1" x14ac:dyDescent="0.25">
      <c r="B38" s="36">
        <f>B37</f>
        <v>43583</v>
      </c>
      <c r="C38" s="37" t="str">
        <f>O36</f>
        <v>Sha</v>
      </c>
      <c r="D38" s="36">
        <f>D37</f>
        <v>43584</v>
      </c>
      <c r="E38" s="37" t="str">
        <f>C38</f>
        <v>Sha</v>
      </c>
      <c r="F38" s="36">
        <f t="shared" ref="F38" si="41">F37</f>
        <v>43585</v>
      </c>
      <c r="G38" s="37" t="str">
        <f>E38</f>
        <v>Sha</v>
      </c>
      <c r="H38" s="25"/>
      <c r="I38" s="19"/>
      <c r="J38" s="81"/>
      <c r="K38" s="81"/>
      <c r="L38" s="81"/>
      <c r="M38" s="81"/>
      <c r="N38" s="18"/>
      <c r="O38" s="28"/>
      <c r="P38" s="8"/>
      <c r="Q38" s="23">
        <f t="shared" si="35"/>
        <v>43611</v>
      </c>
      <c r="R38" s="24" t="str">
        <f>AD36</f>
        <v>Ramad</v>
      </c>
      <c r="S38" s="23">
        <f t="shared" si="36"/>
        <v>43612</v>
      </c>
      <c r="T38" s="24" t="str">
        <f>R38</f>
        <v>Ramad</v>
      </c>
      <c r="U38" s="23">
        <f t="shared" si="28"/>
        <v>43613</v>
      </c>
      <c r="V38" s="24" t="str">
        <f>T38</f>
        <v>Ramad</v>
      </c>
      <c r="W38" s="23">
        <f t="shared" si="29"/>
        <v>43614</v>
      </c>
      <c r="X38" s="24" t="str">
        <f>V38</f>
        <v>Ramad</v>
      </c>
      <c r="Y38" s="23">
        <f t="shared" si="30"/>
        <v>43615</v>
      </c>
      <c r="Z38" s="24" t="str">
        <f>X38</f>
        <v>Ramad</v>
      </c>
      <c r="AA38" s="23">
        <f t="shared" si="31"/>
        <v>43616</v>
      </c>
      <c r="AB38" s="24" t="str">
        <f>Z38</f>
        <v>Ramad</v>
      </c>
      <c r="AC38" s="18"/>
      <c r="AD38" s="28"/>
      <c r="AE38" s="8"/>
      <c r="AF38" s="36">
        <f>AF37</f>
        <v>43639</v>
      </c>
      <c r="AG38" s="37" t="str">
        <f>AS36</f>
        <v>Shaw</v>
      </c>
      <c r="AH38" s="36">
        <f>AH37</f>
        <v>43640</v>
      </c>
      <c r="AI38" s="37" t="str">
        <f>AG38</f>
        <v>Shaw</v>
      </c>
      <c r="AJ38" s="36">
        <f t="shared" ref="AJ38" si="42">AJ37</f>
        <v>43641</v>
      </c>
      <c r="AK38" s="37" t="str">
        <f>AI38</f>
        <v>Shaw</v>
      </c>
      <c r="AL38" s="36">
        <f>AL37</f>
        <v>43642</v>
      </c>
      <c r="AM38" s="37" t="str">
        <f>AK38</f>
        <v>Shaw</v>
      </c>
      <c r="AN38" s="36">
        <f>AN37</f>
        <v>43643</v>
      </c>
      <c r="AO38" s="37" t="str">
        <f>AM38</f>
        <v>Shaw</v>
      </c>
      <c r="AP38" s="36">
        <f>AP37</f>
        <v>43644</v>
      </c>
      <c r="AQ38" s="37" t="str">
        <f>AO38</f>
        <v>Shaw</v>
      </c>
      <c r="AR38" s="36">
        <f>AR37</f>
        <v>43645</v>
      </c>
      <c r="AS38" s="37" t="str">
        <f>AQ38</f>
        <v>Shaw</v>
      </c>
    </row>
    <row r="39" spans="2:45" s="17" customFormat="1" ht="17.100000000000001" customHeight="1" x14ac:dyDescent="0.25">
      <c r="B39" s="93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2"/>
      <c r="P39" s="16"/>
      <c r="Q39" s="93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2"/>
      <c r="AE39" s="16"/>
      <c r="AF39" s="84">
        <f>AR37+1</f>
        <v>43646</v>
      </c>
      <c r="AG39" s="85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2"/>
    </row>
    <row r="40" spans="2:45" ht="17.100000000000001" customHeight="1" x14ac:dyDescent="0.25">
      <c r="B40" s="20"/>
      <c r="C40" s="29"/>
      <c r="D40" s="30"/>
      <c r="E40" s="29"/>
      <c r="F40" s="30"/>
      <c r="G40" s="29"/>
      <c r="H40" s="30"/>
      <c r="I40" s="29"/>
      <c r="J40" s="30"/>
      <c r="K40" s="29"/>
      <c r="L40" s="30"/>
      <c r="M40" s="29"/>
      <c r="N40" s="30"/>
      <c r="O40" s="21"/>
      <c r="P40" s="8"/>
      <c r="Q40" s="20"/>
      <c r="R40" s="29"/>
      <c r="S40" s="30"/>
      <c r="T40" s="29"/>
      <c r="U40" s="30"/>
      <c r="V40" s="29"/>
      <c r="W40" s="30"/>
      <c r="X40" s="29"/>
      <c r="Y40" s="30"/>
      <c r="Z40" s="29"/>
      <c r="AA40" s="30"/>
      <c r="AB40" s="29"/>
      <c r="AC40" s="30"/>
      <c r="AD40" s="21"/>
      <c r="AE40" s="8"/>
      <c r="AF40" s="36">
        <f>AF39</f>
        <v>43646</v>
      </c>
      <c r="AG40" s="37" t="str">
        <f>AS38</f>
        <v>Shaw</v>
      </c>
      <c r="AH40" s="30"/>
      <c r="AI40" s="29"/>
      <c r="AJ40" s="30"/>
      <c r="AK40" s="29"/>
      <c r="AL40" s="30"/>
      <c r="AM40" s="29"/>
      <c r="AN40" s="30"/>
      <c r="AO40" s="29"/>
      <c r="AP40" s="30"/>
      <c r="AQ40" s="29"/>
      <c r="AR40" s="30"/>
      <c r="AS40" s="21"/>
    </row>
    <row r="41" spans="2:45" ht="17.100000000000001" customHeight="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pans="2:45" ht="17.100000000000001" hidden="1" customHeight="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2:45" s="3" customFormat="1" ht="17.100000000000001" customHeight="1" x14ac:dyDescent="0.25">
      <c r="B43" s="86" t="s">
        <v>6</v>
      </c>
      <c r="C43" s="87"/>
      <c r="D43" s="87"/>
      <c r="E43" s="87"/>
      <c r="F43" s="87"/>
      <c r="G43" s="87"/>
      <c r="H43" s="87"/>
      <c r="I43" s="9"/>
      <c r="J43" s="10"/>
      <c r="K43" s="11"/>
      <c r="L43" s="38"/>
      <c r="M43" s="39"/>
      <c r="N43" s="38"/>
      <c r="O43" s="40" t="s">
        <v>33</v>
      </c>
      <c r="P43" s="6"/>
      <c r="Q43" s="86" t="s">
        <v>7</v>
      </c>
      <c r="R43" s="87"/>
      <c r="S43" s="87"/>
      <c r="T43" s="87"/>
      <c r="U43" s="87"/>
      <c r="V43" s="87"/>
      <c r="W43" s="87"/>
      <c r="X43" s="9"/>
      <c r="Y43" s="10"/>
      <c r="Z43" s="11"/>
      <c r="AA43" s="43"/>
      <c r="AB43" s="44"/>
      <c r="AC43" s="43"/>
      <c r="AD43" s="45" t="s">
        <v>34</v>
      </c>
      <c r="AE43" s="6"/>
      <c r="AF43" s="86" t="s">
        <v>8</v>
      </c>
      <c r="AG43" s="87"/>
      <c r="AH43" s="87"/>
      <c r="AI43" s="87"/>
      <c r="AJ43" s="87"/>
      <c r="AK43" s="87"/>
      <c r="AL43" s="87"/>
      <c r="AM43" s="9"/>
      <c r="AN43" s="10"/>
      <c r="AO43" s="11"/>
      <c r="AP43" s="43"/>
      <c r="AQ43" s="44"/>
      <c r="AR43" s="43"/>
      <c r="AS43" s="45" t="s">
        <v>24</v>
      </c>
    </row>
    <row r="44" spans="2:45" s="3" customFormat="1" ht="17.100000000000001" customHeight="1" x14ac:dyDescent="0.25">
      <c r="B44" s="88"/>
      <c r="C44" s="89"/>
      <c r="D44" s="89"/>
      <c r="E44" s="89"/>
      <c r="F44" s="89"/>
      <c r="G44" s="89"/>
      <c r="H44" s="89"/>
      <c r="I44" s="12"/>
      <c r="J44" s="13"/>
      <c r="K44" s="14"/>
      <c r="L44" s="33"/>
      <c r="M44" s="34"/>
      <c r="N44" s="33"/>
      <c r="O44" s="35" t="s">
        <v>34</v>
      </c>
      <c r="P44" s="6"/>
      <c r="Q44" s="88"/>
      <c r="R44" s="89"/>
      <c r="S44" s="89"/>
      <c r="T44" s="89"/>
      <c r="U44" s="89"/>
      <c r="V44" s="89"/>
      <c r="W44" s="89"/>
      <c r="X44" s="12"/>
      <c r="Y44" s="13"/>
      <c r="Z44" s="14"/>
      <c r="AA44" s="41"/>
      <c r="AB44" s="42"/>
      <c r="AC44" s="41"/>
      <c r="AD44" s="46" t="s">
        <v>35</v>
      </c>
      <c r="AE44" s="6"/>
      <c r="AF44" s="88"/>
      <c r="AG44" s="89"/>
      <c r="AH44" s="89"/>
      <c r="AI44" s="89"/>
      <c r="AJ44" s="89"/>
      <c r="AK44" s="89"/>
      <c r="AL44" s="89"/>
      <c r="AM44" s="12"/>
      <c r="AN44" s="13"/>
      <c r="AO44" s="14"/>
      <c r="AP44" s="41"/>
      <c r="AQ44" s="42"/>
      <c r="AR44" s="41"/>
      <c r="AS44" s="46" t="s">
        <v>25</v>
      </c>
    </row>
    <row r="45" spans="2:45" s="3" customFormat="1" ht="17.100000000000001" customHeight="1" x14ac:dyDescent="0.25">
      <c r="B45" s="6"/>
      <c r="C45" s="7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7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2:45" s="3" customFormat="1" ht="17.100000000000001" customHeight="1" x14ac:dyDescent="0.25">
      <c r="B46" s="90" t="s">
        <v>16</v>
      </c>
      <c r="C46" s="90"/>
      <c r="D46" s="90" t="s">
        <v>17</v>
      </c>
      <c r="E46" s="90"/>
      <c r="F46" s="90" t="s">
        <v>18</v>
      </c>
      <c r="G46" s="90"/>
      <c r="H46" s="90" t="s">
        <v>19</v>
      </c>
      <c r="I46" s="90"/>
      <c r="J46" s="90" t="s">
        <v>20</v>
      </c>
      <c r="K46" s="90"/>
      <c r="L46" s="90" t="s">
        <v>21</v>
      </c>
      <c r="M46" s="90"/>
      <c r="N46" s="90" t="s">
        <v>22</v>
      </c>
      <c r="O46" s="90"/>
      <c r="P46" s="6"/>
      <c r="Q46" s="94" t="s">
        <v>16</v>
      </c>
      <c r="R46" s="95"/>
      <c r="S46" s="95" t="s">
        <v>17</v>
      </c>
      <c r="T46" s="95"/>
      <c r="U46" s="95" t="s">
        <v>18</v>
      </c>
      <c r="V46" s="95"/>
      <c r="W46" s="95" t="s">
        <v>19</v>
      </c>
      <c r="X46" s="95"/>
      <c r="Y46" s="95" t="s">
        <v>20</v>
      </c>
      <c r="Z46" s="95"/>
      <c r="AA46" s="95" t="s">
        <v>21</v>
      </c>
      <c r="AB46" s="95"/>
      <c r="AC46" s="95" t="s">
        <v>22</v>
      </c>
      <c r="AD46" s="99"/>
      <c r="AE46" s="6"/>
      <c r="AF46" s="94" t="s">
        <v>16</v>
      </c>
      <c r="AG46" s="95"/>
      <c r="AH46" s="95" t="s">
        <v>17</v>
      </c>
      <c r="AI46" s="95"/>
      <c r="AJ46" s="95" t="s">
        <v>18</v>
      </c>
      <c r="AK46" s="95"/>
      <c r="AL46" s="95" t="s">
        <v>19</v>
      </c>
      <c r="AM46" s="95"/>
      <c r="AN46" s="95" t="s">
        <v>20</v>
      </c>
      <c r="AO46" s="95"/>
      <c r="AP46" s="95" t="s">
        <v>21</v>
      </c>
      <c r="AQ46" s="95"/>
      <c r="AR46" s="95" t="s">
        <v>22</v>
      </c>
      <c r="AS46" s="99"/>
    </row>
    <row r="47" spans="2:45" s="17" customFormat="1" ht="17.100000000000001" customHeight="1" x14ac:dyDescent="0.25">
      <c r="B47" s="91"/>
      <c r="C47" s="92"/>
      <c r="D47" s="84">
        <v>43647</v>
      </c>
      <c r="E47" s="85"/>
      <c r="F47" s="84">
        <f>D47+1</f>
        <v>43648</v>
      </c>
      <c r="G47" s="85"/>
      <c r="H47" s="84">
        <f t="shared" ref="H47" si="43">F47+1</f>
        <v>43649</v>
      </c>
      <c r="I47" s="85"/>
      <c r="J47" s="84">
        <f t="shared" ref="J47" si="44">H47+1</f>
        <v>43650</v>
      </c>
      <c r="K47" s="85"/>
      <c r="L47" s="84">
        <f t="shared" ref="L47" si="45">J47+1</f>
        <v>43651</v>
      </c>
      <c r="M47" s="85"/>
      <c r="N47" s="84">
        <f t="shared" ref="N47" si="46">L47+1</f>
        <v>43652</v>
      </c>
      <c r="O47" s="85"/>
      <c r="P47" s="16"/>
      <c r="Q47" s="100"/>
      <c r="R47" s="101"/>
      <c r="S47" s="101"/>
      <c r="T47" s="101"/>
      <c r="U47" s="81"/>
      <c r="V47" s="81"/>
      <c r="W47" s="81"/>
      <c r="X47" s="81"/>
      <c r="Y47" s="84">
        <v>43678</v>
      </c>
      <c r="Z47" s="85"/>
      <c r="AA47" s="84">
        <f t="shared" ref="AA47" si="47">Y47+1</f>
        <v>43679</v>
      </c>
      <c r="AB47" s="85"/>
      <c r="AC47" s="84">
        <f t="shared" ref="AC47" si="48">AA47+1</f>
        <v>43680</v>
      </c>
      <c r="AD47" s="85"/>
      <c r="AE47" s="16"/>
      <c r="AF47" s="84">
        <v>43709</v>
      </c>
      <c r="AG47" s="85"/>
      <c r="AH47" s="84">
        <f>AF47+1</f>
        <v>43710</v>
      </c>
      <c r="AI47" s="85"/>
      <c r="AJ47" s="84">
        <f t="shared" ref="AJ47" si="49">AH47+1</f>
        <v>43711</v>
      </c>
      <c r="AK47" s="85"/>
      <c r="AL47" s="84">
        <f t="shared" ref="AL47" si="50">AJ47+1</f>
        <v>43712</v>
      </c>
      <c r="AM47" s="85"/>
      <c r="AN47" s="84">
        <f t="shared" ref="AN47" si="51">AL47+1</f>
        <v>43713</v>
      </c>
      <c r="AO47" s="85"/>
      <c r="AP47" s="84">
        <f t="shared" ref="AP47" si="52">AN47+1</f>
        <v>43714</v>
      </c>
      <c r="AQ47" s="85"/>
      <c r="AR47" s="84">
        <f t="shared" ref="AR47" si="53">AP47+1</f>
        <v>43715</v>
      </c>
      <c r="AS47" s="85"/>
    </row>
    <row r="48" spans="2:45" ht="17.100000000000001" customHeight="1" x14ac:dyDescent="0.25">
      <c r="B48" s="27"/>
      <c r="C48" s="19"/>
      <c r="D48" s="36">
        <f>D47</f>
        <v>43647</v>
      </c>
      <c r="E48" s="37" t="s">
        <v>45</v>
      </c>
      <c r="F48" s="36">
        <f>F47</f>
        <v>43648</v>
      </c>
      <c r="G48" s="37" t="str">
        <f>E48</f>
        <v>Shaw</v>
      </c>
      <c r="H48" s="23">
        <f>H47</f>
        <v>43649</v>
      </c>
      <c r="I48" s="24" t="s">
        <v>46</v>
      </c>
      <c r="J48" s="23">
        <f>J47</f>
        <v>43650</v>
      </c>
      <c r="K48" s="24" t="str">
        <f>I48</f>
        <v>ZulQ</v>
      </c>
      <c r="L48" s="23">
        <f>L47</f>
        <v>43651</v>
      </c>
      <c r="M48" s="24" t="str">
        <f>K48</f>
        <v>ZulQ</v>
      </c>
      <c r="N48" s="23">
        <f>N47</f>
        <v>43652</v>
      </c>
      <c r="O48" s="24" t="str">
        <f>M48</f>
        <v>ZulQ</v>
      </c>
      <c r="P48" s="8"/>
      <c r="Q48" s="27"/>
      <c r="R48" s="19"/>
      <c r="S48" s="26"/>
      <c r="T48" s="19"/>
      <c r="U48" s="18"/>
      <c r="V48" s="19"/>
      <c r="W48" s="18"/>
      <c r="X48" s="19"/>
      <c r="Y48" s="23">
        <f>Y47</f>
        <v>43678</v>
      </c>
      <c r="Z48" s="24" t="s">
        <v>46</v>
      </c>
      <c r="AA48" s="36">
        <f>AA47</f>
        <v>43679</v>
      </c>
      <c r="AB48" s="37" t="s">
        <v>47</v>
      </c>
      <c r="AC48" s="36">
        <f>AC47</f>
        <v>43680</v>
      </c>
      <c r="AD48" s="37" t="str">
        <f>AB48</f>
        <v>ZulHi</v>
      </c>
      <c r="AE48" s="8"/>
      <c r="AF48" s="23">
        <f>AF47</f>
        <v>43709</v>
      </c>
      <c r="AG48" s="22" t="s">
        <v>49</v>
      </c>
      <c r="AH48" s="23">
        <f>AH47</f>
        <v>43710</v>
      </c>
      <c r="AI48" s="22" t="str">
        <f>AG48</f>
        <v>Muhar</v>
      </c>
      <c r="AJ48" s="23">
        <f t="shared" ref="AJ48" si="54">AJ47</f>
        <v>43711</v>
      </c>
      <c r="AK48" s="22" t="str">
        <f>AI48</f>
        <v>Muhar</v>
      </c>
      <c r="AL48" s="23">
        <f t="shared" ref="AL48" si="55">AL47</f>
        <v>43712</v>
      </c>
      <c r="AM48" s="22" t="str">
        <f>AK48</f>
        <v>Muhar</v>
      </c>
      <c r="AN48" s="23">
        <f>AN47</f>
        <v>43713</v>
      </c>
      <c r="AO48" s="22" t="str">
        <f>AM48</f>
        <v>Muhar</v>
      </c>
      <c r="AP48" s="23">
        <f>AP47</f>
        <v>43714</v>
      </c>
      <c r="AQ48" s="22" t="str">
        <f>AO48</f>
        <v>Muhar</v>
      </c>
      <c r="AR48" s="23">
        <f>AR47</f>
        <v>43715</v>
      </c>
      <c r="AS48" s="24" t="str">
        <f>AQ48</f>
        <v>Muhar</v>
      </c>
    </row>
    <row r="49" spans="2:45" s="17" customFormat="1" ht="17.100000000000001" customHeight="1" x14ac:dyDescent="0.25">
      <c r="B49" s="84">
        <f>N47+1</f>
        <v>43653</v>
      </c>
      <c r="C49" s="85"/>
      <c r="D49" s="84">
        <f>B49+1</f>
        <v>43654</v>
      </c>
      <c r="E49" s="85"/>
      <c r="F49" s="84">
        <f>D49+1</f>
        <v>43655</v>
      </c>
      <c r="G49" s="85"/>
      <c r="H49" s="84">
        <f>F49+1</f>
        <v>43656</v>
      </c>
      <c r="I49" s="85"/>
      <c r="J49" s="84">
        <f>H49+1</f>
        <v>43657</v>
      </c>
      <c r="K49" s="85"/>
      <c r="L49" s="84">
        <f>J49+1</f>
        <v>43658</v>
      </c>
      <c r="M49" s="85"/>
      <c r="N49" s="84">
        <f>L49+1</f>
        <v>43659</v>
      </c>
      <c r="O49" s="85"/>
      <c r="P49" s="16"/>
      <c r="Q49" s="84">
        <f>AC47+1</f>
        <v>43681</v>
      </c>
      <c r="R49" s="85"/>
      <c r="S49" s="84">
        <f>Q49+1</f>
        <v>43682</v>
      </c>
      <c r="T49" s="85"/>
      <c r="U49" s="84">
        <f>S49+1</f>
        <v>43683</v>
      </c>
      <c r="V49" s="85"/>
      <c r="W49" s="84">
        <f>U49+1</f>
        <v>43684</v>
      </c>
      <c r="X49" s="85"/>
      <c r="Y49" s="84">
        <f>W49+1</f>
        <v>43685</v>
      </c>
      <c r="Z49" s="85"/>
      <c r="AA49" s="84">
        <f>Y49+1</f>
        <v>43686</v>
      </c>
      <c r="AB49" s="85"/>
      <c r="AC49" s="84">
        <f>AA49+1</f>
        <v>43687</v>
      </c>
      <c r="AD49" s="85"/>
      <c r="AE49" s="16"/>
      <c r="AF49" s="84">
        <f>AR47+1</f>
        <v>43716</v>
      </c>
      <c r="AG49" s="85"/>
      <c r="AH49" s="84">
        <f>AF49+1</f>
        <v>43717</v>
      </c>
      <c r="AI49" s="85"/>
      <c r="AJ49" s="84">
        <f>AH49+1</f>
        <v>43718</v>
      </c>
      <c r="AK49" s="85"/>
      <c r="AL49" s="84">
        <f>AJ49+1</f>
        <v>43719</v>
      </c>
      <c r="AM49" s="85"/>
      <c r="AN49" s="84">
        <f>AL49+1</f>
        <v>43720</v>
      </c>
      <c r="AO49" s="85"/>
      <c r="AP49" s="84">
        <f>AN49+1</f>
        <v>43721</v>
      </c>
      <c r="AQ49" s="85"/>
      <c r="AR49" s="84">
        <f>AP49+1</f>
        <v>43722</v>
      </c>
      <c r="AS49" s="85"/>
    </row>
    <row r="50" spans="2:45" ht="17.100000000000001" customHeight="1" x14ac:dyDescent="0.25">
      <c r="B50" s="23">
        <f>B49</f>
        <v>43653</v>
      </c>
      <c r="C50" s="24" t="str">
        <f>O48</f>
        <v>ZulQ</v>
      </c>
      <c r="D50" s="23">
        <f>D49</f>
        <v>43654</v>
      </c>
      <c r="E50" s="24" t="str">
        <f>C50</f>
        <v>ZulQ</v>
      </c>
      <c r="F50" s="23">
        <f t="shared" ref="F50" si="56">F49</f>
        <v>43655</v>
      </c>
      <c r="G50" s="24" t="str">
        <f>E50</f>
        <v>ZulQ</v>
      </c>
      <c r="H50" s="23">
        <f>H49</f>
        <v>43656</v>
      </c>
      <c r="I50" s="24" t="str">
        <f>G50</f>
        <v>ZulQ</v>
      </c>
      <c r="J50" s="23">
        <f>J49</f>
        <v>43657</v>
      </c>
      <c r="K50" s="24" t="str">
        <f>I50</f>
        <v>ZulQ</v>
      </c>
      <c r="L50" s="23">
        <f>L49</f>
        <v>43658</v>
      </c>
      <c r="M50" s="24" t="str">
        <f>K50</f>
        <v>ZulQ</v>
      </c>
      <c r="N50" s="23">
        <f>N49</f>
        <v>43659</v>
      </c>
      <c r="O50" s="24" t="str">
        <f>M50</f>
        <v>ZulQ</v>
      </c>
      <c r="P50" s="8"/>
      <c r="Q50" s="36">
        <f>Q49</f>
        <v>43681</v>
      </c>
      <c r="R50" s="37" t="str">
        <f>AD48</f>
        <v>ZulHi</v>
      </c>
      <c r="S50" s="36">
        <f>S49</f>
        <v>43682</v>
      </c>
      <c r="T50" s="37" t="str">
        <f>R50</f>
        <v>ZulHi</v>
      </c>
      <c r="U50" s="36">
        <f t="shared" ref="U50" si="57">U49</f>
        <v>43683</v>
      </c>
      <c r="V50" s="37" t="str">
        <f>T50</f>
        <v>ZulHi</v>
      </c>
      <c r="W50" s="36">
        <f>W49</f>
        <v>43684</v>
      </c>
      <c r="X50" s="37" t="str">
        <f>V50</f>
        <v>ZulHi</v>
      </c>
      <c r="Y50" s="36">
        <f>Y49</f>
        <v>43685</v>
      </c>
      <c r="Z50" s="37" t="str">
        <f>X50</f>
        <v>ZulHi</v>
      </c>
      <c r="AA50" s="36">
        <f>AA49</f>
        <v>43686</v>
      </c>
      <c r="AB50" s="37" t="str">
        <f>Z50</f>
        <v>ZulHi</v>
      </c>
      <c r="AC50" s="36">
        <f>AC49</f>
        <v>43687</v>
      </c>
      <c r="AD50" s="37" t="str">
        <f>AB50</f>
        <v>ZulHi</v>
      </c>
      <c r="AE50" s="8"/>
      <c r="AF50" s="23">
        <f>AF49</f>
        <v>43716</v>
      </c>
      <c r="AG50" s="24" t="str">
        <f>AS48</f>
        <v>Muhar</v>
      </c>
      <c r="AH50" s="23">
        <f>AH49</f>
        <v>43717</v>
      </c>
      <c r="AI50" s="24" t="str">
        <f>AG50</f>
        <v>Muhar</v>
      </c>
      <c r="AJ50" s="23">
        <f t="shared" ref="AJ50" si="58">AJ49</f>
        <v>43718</v>
      </c>
      <c r="AK50" s="24" t="str">
        <f>AI50</f>
        <v>Muhar</v>
      </c>
      <c r="AL50" s="23">
        <f>AL49</f>
        <v>43719</v>
      </c>
      <c r="AM50" s="24" t="str">
        <f>AK50</f>
        <v>Muhar</v>
      </c>
      <c r="AN50" s="23">
        <f>AN49</f>
        <v>43720</v>
      </c>
      <c r="AO50" s="24" t="str">
        <f>AM50</f>
        <v>Muhar</v>
      </c>
      <c r="AP50" s="23">
        <f>AP49</f>
        <v>43721</v>
      </c>
      <c r="AQ50" s="24" t="str">
        <f>AO50</f>
        <v>Muhar</v>
      </c>
      <c r="AR50" s="23">
        <f>AR49</f>
        <v>43722</v>
      </c>
      <c r="AS50" s="24" t="str">
        <f>AQ50</f>
        <v>Muhar</v>
      </c>
    </row>
    <row r="51" spans="2:45" s="17" customFormat="1" ht="17.100000000000001" customHeight="1" x14ac:dyDescent="0.25">
      <c r="B51" s="84">
        <f>N49+1</f>
        <v>43660</v>
      </c>
      <c r="C51" s="85"/>
      <c r="D51" s="84">
        <f>B51+1</f>
        <v>43661</v>
      </c>
      <c r="E51" s="85"/>
      <c r="F51" s="84">
        <f>D51+1</f>
        <v>43662</v>
      </c>
      <c r="G51" s="85"/>
      <c r="H51" s="84">
        <f>F51+1</f>
        <v>43663</v>
      </c>
      <c r="I51" s="85"/>
      <c r="J51" s="84">
        <f>H51+1</f>
        <v>43664</v>
      </c>
      <c r="K51" s="85"/>
      <c r="L51" s="84">
        <f>J51+1</f>
        <v>43665</v>
      </c>
      <c r="M51" s="85"/>
      <c r="N51" s="84">
        <f>L51+1</f>
        <v>43666</v>
      </c>
      <c r="O51" s="85"/>
      <c r="P51" s="16"/>
      <c r="Q51" s="84">
        <f>AC49+1</f>
        <v>43688</v>
      </c>
      <c r="R51" s="85"/>
      <c r="S51" s="84">
        <f>Q51+1</f>
        <v>43689</v>
      </c>
      <c r="T51" s="85"/>
      <c r="U51" s="84">
        <f>S51+1</f>
        <v>43690</v>
      </c>
      <c r="V51" s="85"/>
      <c r="W51" s="84">
        <f>U51+1</f>
        <v>43691</v>
      </c>
      <c r="X51" s="85"/>
      <c r="Y51" s="84">
        <f>W51+1</f>
        <v>43692</v>
      </c>
      <c r="Z51" s="85"/>
      <c r="AA51" s="84">
        <f>Y51+1</f>
        <v>43693</v>
      </c>
      <c r="AB51" s="85"/>
      <c r="AC51" s="84">
        <f>AA51+1</f>
        <v>43694</v>
      </c>
      <c r="AD51" s="85"/>
      <c r="AE51" s="16"/>
      <c r="AF51" s="84">
        <f>AR49+1</f>
        <v>43723</v>
      </c>
      <c r="AG51" s="85"/>
      <c r="AH51" s="84">
        <f>AF51+1</f>
        <v>43724</v>
      </c>
      <c r="AI51" s="85"/>
      <c r="AJ51" s="84">
        <f>AH51+1</f>
        <v>43725</v>
      </c>
      <c r="AK51" s="85"/>
      <c r="AL51" s="84">
        <f>AJ51+1</f>
        <v>43726</v>
      </c>
      <c r="AM51" s="85"/>
      <c r="AN51" s="84">
        <f>AL51+1</f>
        <v>43727</v>
      </c>
      <c r="AO51" s="85"/>
      <c r="AP51" s="84">
        <f>AN51+1</f>
        <v>43728</v>
      </c>
      <c r="AQ51" s="85"/>
      <c r="AR51" s="84">
        <f>AP51+1</f>
        <v>43729</v>
      </c>
      <c r="AS51" s="85"/>
    </row>
    <row r="52" spans="2:45" ht="17.100000000000001" customHeight="1" x14ac:dyDescent="0.25">
      <c r="B52" s="23">
        <f>B51</f>
        <v>43660</v>
      </c>
      <c r="C52" s="24" t="str">
        <f>O50</f>
        <v>ZulQ</v>
      </c>
      <c r="D52" s="23">
        <f>D51</f>
        <v>43661</v>
      </c>
      <c r="E52" s="24" t="str">
        <f>C52</f>
        <v>ZulQ</v>
      </c>
      <c r="F52" s="23">
        <f t="shared" ref="F52" si="59">F51</f>
        <v>43662</v>
      </c>
      <c r="G52" s="24" t="str">
        <f>E52</f>
        <v>ZulQ</v>
      </c>
      <c r="H52" s="23">
        <f>H51</f>
        <v>43663</v>
      </c>
      <c r="I52" s="24" t="str">
        <f>G52</f>
        <v>ZulQ</v>
      </c>
      <c r="J52" s="23">
        <f>J51</f>
        <v>43664</v>
      </c>
      <c r="K52" s="24" t="str">
        <f>I52</f>
        <v>ZulQ</v>
      </c>
      <c r="L52" s="23">
        <f>L51</f>
        <v>43665</v>
      </c>
      <c r="M52" s="24" t="str">
        <f>K52</f>
        <v>ZulQ</v>
      </c>
      <c r="N52" s="23">
        <f>N51</f>
        <v>43666</v>
      </c>
      <c r="O52" s="24" t="str">
        <f>M52</f>
        <v>ZulQ</v>
      </c>
      <c r="P52" s="8"/>
      <c r="Q52" s="36">
        <f>Q51</f>
        <v>43688</v>
      </c>
      <c r="R52" s="37" t="str">
        <f>AD50</f>
        <v>ZulHi</v>
      </c>
      <c r="S52" s="36">
        <f>S51</f>
        <v>43689</v>
      </c>
      <c r="T52" s="37" t="str">
        <f>R52</f>
        <v>ZulHi</v>
      </c>
      <c r="U52" s="36">
        <f t="shared" ref="U52" si="60">U51</f>
        <v>43690</v>
      </c>
      <c r="V52" s="37" t="str">
        <f>T52</f>
        <v>ZulHi</v>
      </c>
      <c r="W52" s="36">
        <f>W51</f>
        <v>43691</v>
      </c>
      <c r="X52" s="37" t="str">
        <f>V52</f>
        <v>ZulHi</v>
      </c>
      <c r="Y52" s="36">
        <f>Y51</f>
        <v>43692</v>
      </c>
      <c r="Z52" s="37" t="str">
        <f>X52</f>
        <v>ZulHi</v>
      </c>
      <c r="AA52" s="36">
        <f>AA51</f>
        <v>43693</v>
      </c>
      <c r="AB52" s="37" t="str">
        <f>Z52</f>
        <v>ZulHi</v>
      </c>
      <c r="AC52" s="36">
        <f>AC51</f>
        <v>43694</v>
      </c>
      <c r="AD52" s="37" t="str">
        <f>AB52</f>
        <v>ZulHi</v>
      </c>
      <c r="AE52" s="8"/>
      <c r="AF52" s="23">
        <f>AF51</f>
        <v>43723</v>
      </c>
      <c r="AG52" s="24" t="str">
        <f>AS50</f>
        <v>Muhar</v>
      </c>
      <c r="AH52" s="23">
        <f>AH51</f>
        <v>43724</v>
      </c>
      <c r="AI52" s="24" t="str">
        <f>AG52</f>
        <v>Muhar</v>
      </c>
      <c r="AJ52" s="23">
        <f t="shared" ref="AJ52" si="61">AJ51</f>
        <v>43725</v>
      </c>
      <c r="AK52" s="24" t="str">
        <f>AI52</f>
        <v>Muhar</v>
      </c>
      <c r="AL52" s="23">
        <f>AL51</f>
        <v>43726</v>
      </c>
      <c r="AM52" s="24" t="str">
        <f>AK52</f>
        <v>Muhar</v>
      </c>
      <c r="AN52" s="23">
        <f>AN51</f>
        <v>43727</v>
      </c>
      <c r="AO52" s="24" t="str">
        <f>AM52</f>
        <v>Muhar</v>
      </c>
      <c r="AP52" s="23">
        <f>AP51</f>
        <v>43728</v>
      </c>
      <c r="AQ52" s="24" t="str">
        <f>AO52</f>
        <v>Muhar</v>
      </c>
      <c r="AR52" s="23">
        <f>AR51</f>
        <v>43729</v>
      </c>
      <c r="AS52" s="24" t="str">
        <f>AQ52</f>
        <v>Muhar</v>
      </c>
    </row>
    <row r="53" spans="2:45" s="17" customFormat="1" ht="17.100000000000001" customHeight="1" x14ac:dyDescent="0.25">
      <c r="B53" s="84">
        <f>N51+1</f>
        <v>43667</v>
      </c>
      <c r="C53" s="85"/>
      <c r="D53" s="84">
        <f>B53+1</f>
        <v>43668</v>
      </c>
      <c r="E53" s="85"/>
      <c r="F53" s="84">
        <f>D53+1</f>
        <v>43669</v>
      </c>
      <c r="G53" s="85"/>
      <c r="H53" s="84">
        <f>F53+1</f>
        <v>43670</v>
      </c>
      <c r="I53" s="85"/>
      <c r="J53" s="84">
        <f>H53+1</f>
        <v>43671</v>
      </c>
      <c r="K53" s="85"/>
      <c r="L53" s="84">
        <f>J53+1</f>
        <v>43672</v>
      </c>
      <c r="M53" s="85"/>
      <c r="N53" s="84">
        <f>L53+1</f>
        <v>43673</v>
      </c>
      <c r="O53" s="85"/>
      <c r="P53" s="16"/>
      <c r="Q53" s="84">
        <f>AC51+1</f>
        <v>43695</v>
      </c>
      <c r="R53" s="85"/>
      <c r="S53" s="84">
        <f>Q53+1</f>
        <v>43696</v>
      </c>
      <c r="T53" s="85"/>
      <c r="U53" s="84">
        <f>S53+1</f>
        <v>43697</v>
      </c>
      <c r="V53" s="85"/>
      <c r="W53" s="84">
        <f>U53+1</f>
        <v>43698</v>
      </c>
      <c r="X53" s="85"/>
      <c r="Y53" s="84">
        <f>W53+1</f>
        <v>43699</v>
      </c>
      <c r="Z53" s="85"/>
      <c r="AA53" s="84">
        <f>Y53+1</f>
        <v>43700</v>
      </c>
      <c r="AB53" s="85"/>
      <c r="AC53" s="84">
        <f>AA53+1</f>
        <v>43701</v>
      </c>
      <c r="AD53" s="85"/>
      <c r="AE53" s="16"/>
      <c r="AF53" s="84">
        <f>AR51+1</f>
        <v>43730</v>
      </c>
      <c r="AG53" s="85"/>
      <c r="AH53" s="84">
        <f>AF53+1</f>
        <v>43731</v>
      </c>
      <c r="AI53" s="85"/>
      <c r="AJ53" s="84">
        <f>AH53+1</f>
        <v>43732</v>
      </c>
      <c r="AK53" s="85"/>
      <c r="AL53" s="84">
        <f>AJ53+1</f>
        <v>43733</v>
      </c>
      <c r="AM53" s="85"/>
      <c r="AN53" s="84">
        <f>AL53+1</f>
        <v>43734</v>
      </c>
      <c r="AO53" s="85"/>
      <c r="AP53" s="84">
        <f>AN53+1</f>
        <v>43735</v>
      </c>
      <c r="AQ53" s="85"/>
      <c r="AR53" s="84">
        <f>AP53+1</f>
        <v>43736</v>
      </c>
      <c r="AS53" s="85"/>
    </row>
    <row r="54" spans="2:45" ht="17.100000000000001" customHeight="1" x14ac:dyDescent="0.25">
      <c r="B54" s="23">
        <f>B53</f>
        <v>43667</v>
      </c>
      <c r="C54" s="24" t="str">
        <f>O52</f>
        <v>ZulQ</v>
      </c>
      <c r="D54" s="23">
        <f>D53</f>
        <v>43668</v>
      </c>
      <c r="E54" s="24" t="str">
        <f>C54</f>
        <v>ZulQ</v>
      </c>
      <c r="F54" s="23">
        <f t="shared" ref="F54" si="62">F53</f>
        <v>43669</v>
      </c>
      <c r="G54" s="24" t="str">
        <f>E54</f>
        <v>ZulQ</v>
      </c>
      <c r="H54" s="23">
        <f>H53</f>
        <v>43670</v>
      </c>
      <c r="I54" s="24" t="str">
        <f>G54</f>
        <v>ZulQ</v>
      </c>
      <c r="J54" s="23">
        <f>J53</f>
        <v>43671</v>
      </c>
      <c r="K54" s="24" t="str">
        <f>I54</f>
        <v>ZulQ</v>
      </c>
      <c r="L54" s="23">
        <f>L53</f>
        <v>43672</v>
      </c>
      <c r="M54" s="24" t="str">
        <f>K54</f>
        <v>ZulQ</v>
      </c>
      <c r="N54" s="23">
        <f>N53</f>
        <v>43673</v>
      </c>
      <c r="O54" s="24" t="str">
        <f>M54</f>
        <v>ZulQ</v>
      </c>
      <c r="P54" s="8"/>
      <c r="Q54" s="36">
        <f>Q53</f>
        <v>43695</v>
      </c>
      <c r="R54" s="37" t="str">
        <f>AD52</f>
        <v>ZulHi</v>
      </c>
      <c r="S54" s="36">
        <f>S53</f>
        <v>43696</v>
      </c>
      <c r="T54" s="37" t="str">
        <f>R54</f>
        <v>ZulHi</v>
      </c>
      <c r="U54" s="36">
        <f t="shared" ref="U54" si="63">U53</f>
        <v>43697</v>
      </c>
      <c r="V54" s="37" t="str">
        <f>T54</f>
        <v>ZulHi</v>
      </c>
      <c r="W54" s="36">
        <f>W53</f>
        <v>43698</v>
      </c>
      <c r="X54" s="37" t="str">
        <f>V54</f>
        <v>ZulHi</v>
      </c>
      <c r="Y54" s="36">
        <f>Y53</f>
        <v>43699</v>
      </c>
      <c r="Z54" s="37" t="str">
        <f>X54</f>
        <v>ZulHi</v>
      </c>
      <c r="AA54" s="36">
        <f>AA53</f>
        <v>43700</v>
      </c>
      <c r="AB54" s="37" t="str">
        <f>Z54</f>
        <v>ZulHi</v>
      </c>
      <c r="AC54" s="36">
        <f>AC53</f>
        <v>43701</v>
      </c>
      <c r="AD54" s="37" t="str">
        <f>AB54</f>
        <v>ZulHi</v>
      </c>
      <c r="AE54" s="8"/>
      <c r="AF54" s="23">
        <f>AF53</f>
        <v>43730</v>
      </c>
      <c r="AG54" s="24" t="str">
        <f>AS52</f>
        <v>Muhar</v>
      </c>
      <c r="AH54" s="23">
        <f>AH53</f>
        <v>43731</v>
      </c>
      <c r="AI54" s="24" t="str">
        <f>AG54</f>
        <v>Muhar</v>
      </c>
      <c r="AJ54" s="23">
        <f t="shared" ref="AJ54" si="64">AJ53</f>
        <v>43732</v>
      </c>
      <c r="AK54" s="24" t="str">
        <f>AI54</f>
        <v>Muhar</v>
      </c>
      <c r="AL54" s="23">
        <f>AL53</f>
        <v>43733</v>
      </c>
      <c r="AM54" s="24" t="str">
        <f>AK54</f>
        <v>Muhar</v>
      </c>
      <c r="AN54" s="23">
        <f>AN53</f>
        <v>43734</v>
      </c>
      <c r="AO54" s="24" t="str">
        <f>AM54</f>
        <v>Muhar</v>
      </c>
      <c r="AP54" s="23">
        <f>AP53</f>
        <v>43735</v>
      </c>
      <c r="AQ54" s="24" t="str">
        <f>AO54</f>
        <v>Muhar</v>
      </c>
      <c r="AR54" s="23">
        <f>AR53</f>
        <v>43736</v>
      </c>
      <c r="AS54" s="24" t="str">
        <f>AQ54</f>
        <v>Muhar</v>
      </c>
    </row>
    <row r="55" spans="2:45" s="17" customFormat="1" ht="17.100000000000001" customHeight="1" x14ac:dyDescent="0.25">
      <c r="B55" s="84">
        <f>N53+1</f>
        <v>43674</v>
      </c>
      <c r="C55" s="85"/>
      <c r="D55" s="84">
        <f>B55+1</f>
        <v>43675</v>
      </c>
      <c r="E55" s="85"/>
      <c r="F55" s="84">
        <f>D55+1</f>
        <v>43676</v>
      </c>
      <c r="G55" s="85"/>
      <c r="H55" s="84">
        <f>F55+1</f>
        <v>43677</v>
      </c>
      <c r="I55" s="85"/>
      <c r="J55" s="98"/>
      <c r="K55" s="96"/>
      <c r="L55" s="81"/>
      <c r="M55" s="81"/>
      <c r="N55" s="96"/>
      <c r="O55" s="97"/>
      <c r="P55" s="16"/>
      <c r="Q55" s="84">
        <f>AC53+1</f>
        <v>43702</v>
      </c>
      <c r="R55" s="85"/>
      <c r="S55" s="84">
        <f>Q55+1</f>
        <v>43703</v>
      </c>
      <c r="T55" s="85"/>
      <c r="U55" s="84">
        <f>S55+1</f>
        <v>43704</v>
      </c>
      <c r="V55" s="85"/>
      <c r="W55" s="84">
        <f>U55+1</f>
        <v>43705</v>
      </c>
      <c r="X55" s="85"/>
      <c r="Y55" s="84">
        <f>W55+1</f>
        <v>43706</v>
      </c>
      <c r="Z55" s="85"/>
      <c r="AA55" s="84">
        <f>Y55+1</f>
        <v>43707</v>
      </c>
      <c r="AB55" s="85"/>
      <c r="AC55" s="84">
        <f>AA55+1</f>
        <v>43708</v>
      </c>
      <c r="AD55" s="85"/>
      <c r="AE55" s="16"/>
      <c r="AF55" s="84">
        <f>AR53+1</f>
        <v>43737</v>
      </c>
      <c r="AG55" s="85"/>
      <c r="AH55" s="84">
        <f>AF55+1</f>
        <v>43738</v>
      </c>
      <c r="AI55" s="85"/>
      <c r="AJ55" s="81"/>
      <c r="AK55" s="81"/>
      <c r="AL55" s="81"/>
      <c r="AM55" s="81"/>
      <c r="AN55" s="81"/>
      <c r="AO55" s="81"/>
      <c r="AP55" s="81"/>
      <c r="AQ55" s="81"/>
      <c r="AR55" s="81"/>
      <c r="AS55" s="82"/>
    </row>
    <row r="56" spans="2:45" ht="17.100000000000001" customHeight="1" x14ac:dyDescent="0.25">
      <c r="B56" s="23">
        <f>B55</f>
        <v>43674</v>
      </c>
      <c r="C56" s="24" t="str">
        <f>O54</f>
        <v>ZulQ</v>
      </c>
      <c r="D56" s="23">
        <f>D55</f>
        <v>43675</v>
      </c>
      <c r="E56" s="24" t="str">
        <f>C56</f>
        <v>ZulQ</v>
      </c>
      <c r="F56" s="23">
        <f t="shared" ref="F56" si="65">F55</f>
        <v>43676</v>
      </c>
      <c r="G56" s="24" t="str">
        <f>E56</f>
        <v>ZulQ</v>
      </c>
      <c r="H56" s="23">
        <f t="shared" ref="H56" si="66">H55</f>
        <v>43677</v>
      </c>
      <c r="I56" s="24" t="str">
        <f>G56</f>
        <v>ZulQ</v>
      </c>
      <c r="J56" s="25"/>
      <c r="K56" s="19"/>
      <c r="L56" s="81"/>
      <c r="M56" s="81"/>
      <c r="N56" s="18"/>
      <c r="O56" s="28"/>
      <c r="P56" s="8"/>
      <c r="Q56" s="36">
        <f>Q55</f>
        <v>43702</v>
      </c>
      <c r="R56" s="37" t="str">
        <f>AD54</f>
        <v>ZulHi</v>
      </c>
      <c r="S56" s="36">
        <f>S55</f>
        <v>43703</v>
      </c>
      <c r="T56" s="37" t="str">
        <f>R56</f>
        <v>ZulHi</v>
      </c>
      <c r="U56" s="36">
        <f t="shared" ref="U56" si="67">U55</f>
        <v>43704</v>
      </c>
      <c r="V56" s="37" t="str">
        <f>T56</f>
        <v>ZulHi</v>
      </c>
      <c r="W56" s="36">
        <f t="shared" ref="W56" si="68">W55</f>
        <v>43705</v>
      </c>
      <c r="X56" s="37" t="str">
        <f>V56</f>
        <v>ZulHi</v>
      </c>
      <c r="Y56" s="36">
        <f>Y55</f>
        <v>43706</v>
      </c>
      <c r="Z56" s="37" t="str">
        <f>X56</f>
        <v>ZulHi</v>
      </c>
      <c r="AA56" s="36">
        <f t="shared" ref="AA56" si="69">AA55</f>
        <v>43707</v>
      </c>
      <c r="AB56" s="37" t="str">
        <f>Z56</f>
        <v>ZulHi</v>
      </c>
      <c r="AC56" s="23">
        <f t="shared" ref="AC56" si="70">AC55</f>
        <v>43708</v>
      </c>
      <c r="AD56" s="24" t="s">
        <v>49</v>
      </c>
      <c r="AE56" s="8"/>
      <c r="AF56" s="23">
        <f>AF55</f>
        <v>43737</v>
      </c>
      <c r="AG56" s="24" t="str">
        <f>AS54</f>
        <v>Muhar</v>
      </c>
      <c r="AH56" s="36">
        <f>AH55</f>
        <v>43738</v>
      </c>
      <c r="AI56" s="37" t="s">
        <v>25</v>
      </c>
      <c r="AJ56" s="81"/>
      <c r="AK56" s="81"/>
      <c r="AL56" s="81"/>
      <c r="AM56" s="81"/>
      <c r="AN56" s="81"/>
      <c r="AO56" s="81"/>
      <c r="AP56" s="81"/>
      <c r="AQ56" s="81"/>
      <c r="AR56" s="81"/>
      <c r="AS56" s="82"/>
    </row>
    <row r="57" spans="2:45" s="17" customFormat="1" ht="17.100000000000001" customHeight="1" x14ac:dyDescent="0.25">
      <c r="B57" s="93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2"/>
      <c r="P57" s="16"/>
      <c r="Q57" s="93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2"/>
      <c r="AE57" s="16"/>
      <c r="AF57" s="93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2"/>
    </row>
    <row r="58" spans="2:45" ht="17.100000000000001" customHeight="1" x14ac:dyDescent="0.25">
      <c r="B58" s="20"/>
      <c r="C58" s="29"/>
      <c r="D58" s="30"/>
      <c r="E58" s="29"/>
      <c r="F58" s="30"/>
      <c r="G58" s="29"/>
      <c r="H58" s="30"/>
      <c r="I58" s="29"/>
      <c r="J58" s="30"/>
      <c r="K58" s="29"/>
      <c r="L58" s="30"/>
      <c r="M58" s="29"/>
      <c r="N58" s="30"/>
      <c r="O58" s="21"/>
      <c r="P58" s="8"/>
      <c r="Q58" s="20"/>
      <c r="R58" s="29"/>
      <c r="S58" s="30"/>
      <c r="T58" s="29"/>
      <c r="U58" s="30"/>
      <c r="V58" s="29"/>
      <c r="W58" s="30"/>
      <c r="X58" s="29"/>
      <c r="Y58" s="30"/>
      <c r="Z58" s="29"/>
      <c r="AA58" s="30"/>
      <c r="AB58" s="29"/>
      <c r="AC58" s="30"/>
      <c r="AD58" s="21"/>
      <c r="AE58" s="8"/>
      <c r="AF58" s="20"/>
      <c r="AG58" s="29"/>
      <c r="AH58" s="30"/>
      <c r="AI58" s="29"/>
      <c r="AJ58" s="30"/>
      <c r="AK58" s="29"/>
      <c r="AL58" s="30"/>
      <c r="AM58" s="29"/>
      <c r="AN58" s="30"/>
      <c r="AO58" s="29"/>
      <c r="AP58" s="30"/>
      <c r="AQ58" s="29"/>
      <c r="AR58" s="30"/>
      <c r="AS58" s="21"/>
    </row>
    <row r="59" spans="2:45" ht="17.100000000000001" customHeight="1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2:45" ht="17.100000000000001" hidden="1" customHeight="1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 spans="2:45" s="3" customFormat="1" ht="17.100000000000001" customHeight="1" x14ac:dyDescent="0.25">
      <c r="B61" s="86" t="s">
        <v>9</v>
      </c>
      <c r="C61" s="87"/>
      <c r="D61" s="87"/>
      <c r="E61" s="87"/>
      <c r="F61" s="87"/>
      <c r="G61" s="87"/>
      <c r="H61" s="87"/>
      <c r="I61" s="9"/>
      <c r="J61" s="10"/>
      <c r="K61" s="11"/>
      <c r="L61" s="38"/>
      <c r="M61" s="39"/>
      <c r="N61" s="38"/>
      <c r="O61" s="40" t="s">
        <v>25</v>
      </c>
      <c r="P61" s="6"/>
      <c r="Q61" s="86" t="s">
        <v>10</v>
      </c>
      <c r="R61" s="87"/>
      <c r="S61" s="87"/>
      <c r="T61" s="87"/>
      <c r="U61" s="87"/>
      <c r="V61" s="87"/>
      <c r="W61" s="87"/>
      <c r="X61" s="9"/>
      <c r="Y61" s="10"/>
      <c r="Z61" s="11"/>
      <c r="AA61" s="43"/>
      <c r="AB61" s="44"/>
      <c r="AC61" s="43"/>
      <c r="AD61" s="45" t="s">
        <v>26</v>
      </c>
      <c r="AE61" s="6"/>
      <c r="AF61" s="86" t="s">
        <v>11</v>
      </c>
      <c r="AG61" s="87"/>
      <c r="AH61" s="87"/>
      <c r="AI61" s="87"/>
      <c r="AJ61" s="87"/>
      <c r="AK61" s="87"/>
      <c r="AL61" s="87"/>
      <c r="AM61" s="9"/>
      <c r="AN61" s="10"/>
      <c r="AO61" s="11"/>
      <c r="AP61" s="38"/>
      <c r="AQ61" s="39"/>
      <c r="AR61" s="38"/>
      <c r="AS61" s="40" t="s">
        <v>27</v>
      </c>
    </row>
    <row r="62" spans="2:45" s="3" customFormat="1" ht="17.100000000000001" customHeight="1" x14ac:dyDescent="0.25">
      <c r="B62" s="88"/>
      <c r="C62" s="89"/>
      <c r="D62" s="89"/>
      <c r="E62" s="89"/>
      <c r="F62" s="89"/>
      <c r="G62" s="89"/>
      <c r="H62" s="89"/>
      <c r="I62" s="12"/>
      <c r="J62" s="13"/>
      <c r="K62" s="14"/>
      <c r="L62" s="33"/>
      <c r="M62" s="34"/>
      <c r="N62" s="33"/>
      <c r="O62" s="35" t="s">
        <v>26</v>
      </c>
      <c r="P62" s="6"/>
      <c r="Q62" s="88"/>
      <c r="R62" s="89"/>
      <c r="S62" s="89"/>
      <c r="T62" s="89"/>
      <c r="U62" s="89"/>
      <c r="V62" s="89"/>
      <c r="W62" s="89"/>
      <c r="X62" s="12"/>
      <c r="Y62" s="13"/>
      <c r="Z62" s="14"/>
      <c r="AA62" s="41"/>
      <c r="AB62" s="42"/>
      <c r="AC62" s="41"/>
      <c r="AD62" s="46" t="s">
        <v>27</v>
      </c>
      <c r="AE62" s="6"/>
      <c r="AF62" s="88"/>
      <c r="AG62" s="89"/>
      <c r="AH62" s="89"/>
      <c r="AI62" s="89"/>
      <c r="AJ62" s="89"/>
      <c r="AK62" s="89"/>
      <c r="AL62" s="89"/>
      <c r="AM62" s="12"/>
      <c r="AN62" s="13"/>
      <c r="AO62" s="14"/>
      <c r="AP62" s="33"/>
      <c r="AQ62" s="34"/>
      <c r="AR62" s="33"/>
      <c r="AS62" s="35" t="s">
        <v>28</v>
      </c>
    </row>
    <row r="63" spans="2:45" s="3" customFormat="1" ht="17.100000000000001" customHeight="1" x14ac:dyDescent="0.25">
      <c r="B63" s="6"/>
      <c r="C63" s="7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7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2:45" s="3" customFormat="1" ht="17.100000000000001" customHeight="1" x14ac:dyDescent="0.25">
      <c r="B64" s="90" t="s">
        <v>16</v>
      </c>
      <c r="C64" s="90"/>
      <c r="D64" s="90" t="s">
        <v>17</v>
      </c>
      <c r="E64" s="90"/>
      <c r="F64" s="90" t="s">
        <v>18</v>
      </c>
      <c r="G64" s="90"/>
      <c r="H64" s="90" t="s">
        <v>19</v>
      </c>
      <c r="I64" s="90"/>
      <c r="J64" s="90" t="s">
        <v>20</v>
      </c>
      <c r="K64" s="90"/>
      <c r="L64" s="90" t="s">
        <v>21</v>
      </c>
      <c r="M64" s="90"/>
      <c r="N64" s="90" t="s">
        <v>22</v>
      </c>
      <c r="O64" s="90"/>
      <c r="P64" s="6"/>
      <c r="Q64" s="90" t="s">
        <v>16</v>
      </c>
      <c r="R64" s="90"/>
      <c r="S64" s="90" t="s">
        <v>17</v>
      </c>
      <c r="T64" s="90"/>
      <c r="U64" s="90" t="s">
        <v>18</v>
      </c>
      <c r="V64" s="90"/>
      <c r="W64" s="90" t="s">
        <v>19</v>
      </c>
      <c r="X64" s="90"/>
      <c r="Y64" s="90" t="s">
        <v>20</v>
      </c>
      <c r="Z64" s="90"/>
      <c r="AA64" s="90" t="s">
        <v>21</v>
      </c>
      <c r="AB64" s="90"/>
      <c r="AC64" s="90" t="s">
        <v>22</v>
      </c>
      <c r="AD64" s="90"/>
      <c r="AE64" s="6"/>
      <c r="AF64" s="94" t="s">
        <v>16</v>
      </c>
      <c r="AG64" s="95"/>
      <c r="AH64" s="95" t="s">
        <v>17</v>
      </c>
      <c r="AI64" s="95"/>
      <c r="AJ64" s="95" t="s">
        <v>18</v>
      </c>
      <c r="AK64" s="95"/>
      <c r="AL64" s="95" t="s">
        <v>19</v>
      </c>
      <c r="AM64" s="95"/>
      <c r="AN64" s="95" t="s">
        <v>20</v>
      </c>
      <c r="AO64" s="95"/>
      <c r="AP64" s="95" t="s">
        <v>21</v>
      </c>
      <c r="AQ64" s="95"/>
      <c r="AR64" s="95" t="s">
        <v>22</v>
      </c>
      <c r="AS64" s="99"/>
    </row>
    <row r="65" spans="2:45" s="17" customFormat="1" ht="17.100000000000001" customHeight="1" x14ac:dyDescent="0.25">
      <c r="B65" s="91"/>
      <c r="C65" s="92"/>
      <c r="D65" s="92"/>
      <c r="E65" s="102"/>
      <c r="F65" s="84">
        <v>43739</v>
      </c>
      <c r="G65" s="85"/>
      <c r="H65" s="84">
        <f t="shared" ref="H65" si="71">F65+1</f>
        <v>43740</v>
      </c>
      <c r="I65" s="85"/>
      <c r="J65" s="84">
        <f t="shared" ref="J65" si="72">H65+1</f>
        <v>43741</v>
      </c>
      <c r="K65" s="85"/>
      <c r="L65" s="84">
        <f t="shared" ref="L65" si="73">J65+1</f>
        <v>43742</v>
      </c>
      <c r="M65" s="85"/>
      <c r="N65" s="84">
        <f t="shared" ref="N65" si="74">L65+1</f>
        <v>43743</v>
      </c>
      <c r="O65" s="85"/>
      <c r="P65" s="16"/>
      <c r="Q65" s="91"/>
      <c r="R65" s="92"/>
      <c r="S65" s="92"/>
      <c r="T65" s="92"/>
      <c r="U65" s="92"/>
      <c r="V65" s="92"/>
      <c r="W65" s="92"/>
      <c r="X65" s="92"/>
      <c r="Y65" s="92"/>
      <c r="Z65" s="92"/>
      <c r="AA65" s="84">
        <v>43770</v>
      </c>
      <c r="AB65" s="85"/>
      <c r="AC65" s="84">
        <f t="shared" ref="AC65" si="75">AA65+1</f>
        <v>43771</v>
      </c>
      <c r="AD65" s="85"/>
      <c r="AE65" s="16"/>
      <c r="AF65" s="84">
        <v>43800</v>
      </c>
      <c r="AG65" s="85"/>
      <c r="AH65" s="84">
        <f>AF65+1</f>
        <v>43801</v>
      </c>
      <c r="AI65" s="85"/>
      <c r="AJ65" s="84">
        <f t="shared" ref="AJ65" si="76">AH65+1</f>
        <v>43802</v>
      </c>
      <c r="AK65" s="85"/>
      <c r="AL65" s="84">
        <f t="shared" ref="AL65" si="77">AJ65+1</f>
        <v>43803</v>
      </c>
      <c r="AM65" s="85"/>
      <c r="AN65" s="84">
        <f t="shared" ref="AN65" si="78">AL65+1</f>
        <v>43804</v>
      </c>
      <c r="AO65" s="85"/>
      <c r="AP65" s="84">
        <f t="shared" ref="AP65" si="79">AN65+1</f>
        <v>43805</v>
      </c>
      <c r="AQ65" s="85"/>
      <c r="AR65" s="84">
        <f t="shared" ref="AR65" si="80">AP65+1</f>
        <v>43806</v>
      </c>
      <c r="AS65" s="85"/>
    </row>
    <row r="66" spans="2:45" ht="17.100000000000001" customHeight="1" x14ac:dyDescent="0.25">
      <c r="B66" s="49"/>
      <c r="C66" s="29"/>
      <c r="D66" s="50"/>
      <c r="E66" s="21"/>
      <c r="F66" s="36">
        <f>F65</f>
        <v>43739</v>
      </c>
      <c r="G66" s="37" t="s">
        <v>25</v>
      </c>
      <c r="H66" s="36">
        <f>H65</f>
        <v>43740</v>
      </c>
      <c r="I66" s="37" t="str">
        <f>G66</f>
        <v>Safar</v>
      </c>
      <c r="J66" s="36">
        <f>J65</f>
        <v>43741</v>
      </c>
      <c r="K66" s="37" t="str">
        <f>I66</f>
        <v>Safar</v>
      </c>
      <c r="L66" s="36">
        <f>L65</f>
        <v>43742</v>
      </c>
      <c r="M66" s="37" t="str">
        <f>K66</f>
        <v>Safar</v>
      </c>
      <c r="N66" s="36">
        <f>N65</f>
        <v>43743</v>
      </c>
      <c r="O66" s="37" t="str">
        <f>M66</f>
        <v>Safar</v>
      </c>
      <c r="P66" s="8"/>
      <c r="Q66" s="27"/>
      <c r="R66" s="19"/>
      <c r="S66" s="26"/>
      <c r="T66" s="19"/>
      <c r="U66" s="26"/>
      <c r="V66" s="19"/>
      <c r="W66" s="26"/>
      <c r="X66" s="19"/>
      <c r="Y66" s="26"/>
      <c r="Z66" s="19"/>
      <c r="AA66" s="23">
        <f>AA65</f>
        <v>43770</v>
      </c>
      <c r="AB66" s="24" t="s">
        <v>40</v>
      </c>
      <c r="AC66" s="23">
        <f>AC65</f>
        <v>43771</v>
      </c>
      <c r="AD66" s="24" t="str">
        <f>AB66</f>
        <v>Rab I</v>
      </c>
      <c r="AE66" s="8"/>
      <c r="AF66" s="36">
        <f t="shared" ref="AF66" si="81">AF65</f>
        <v>43800</v>
      </c>
      <c r="AG66" s="37" t="s">
        <v>41</v>
      </c>
      <c r="AH66" s="36">
        <f t="shared" ref="AH66" si="82">AH65</f>
        <v>43801</v>
      </c>
      <c r="AI66" s="37" t="str">
        <f>AG66</f>
        <v>Rab II</v>
      </c>
      <c r="AJ66" s="36">
        <f t="shared" ref="AJ66" si="83">AJ65</f>
        <v>43802</v>
      </c>
      <c r="AK66" s="37" t="str">
        <f>AI66</f>
        <v>Rab II</v>
      </c>
      <c r="AL66" s="36">
        <f t="shared" ref="AL66" si="84">AL65</f>
        <v>43803</v>
      </c>
      <c r="AM66" s="37" t="str">
        <f>AK66</f>
        <v>Rab II</v>
      </c>
      <c r="AN66" s="36">
        <f t="shared" ref="AN66" si="85">AN65</f>
        <v>43804</v>
      </c>
      <c r="AO66" s="37" t="str">
        <f>AM66</f>
        <v>Rab II</v>
      </c>
      <c r="AP66" s="36">
        <f>AP65</f>
        <v>43805</v>
      </c>
      <c r="AQ66" s="37" t="str">
        <f>AO66</f>
        <v>Rab II</v>
      </c>
      <c r="AR66" s="36">
        <f>AR65</f>
        <v>43806</v>
      </c>
      <c r="AS66" s="37" t="str">
        <f>AQ66</f>
        <v>Rab II</v>
      </c>
    </row>
    <row r="67" spans="2:45" s="17" customFormat="1" ht="17.100000000000001" customHeight="1" x14ac:dyDescent="0.25">
      <c r="B67" s="84">
        <f>N65+1</f>
        <v>43744</v>
      </c>
      <c r="C67" s="85"/>
      <c r="D67" s="84">
        <f>B67+1</f>
        <v>43745</v>
      </c>
      <c r="E67" s="85"/>
      <c r="F67" s="84">
        <f>D67+1</f>
        <v>43746</v>
      </c>
      <c r="G67" s="85"/>
      <c r="H67" s="84">
        <f>F67+1</f>
        <v>43747</v>
      </c>
      <c r="I67" s="85"/>
      <c r="J67" s="84">
        <f>H67+1</f>
        <v>43748</v>
      </c>
      <c r="K67" s="85"/>
      <c r="L67" s="84">
        <f>J67+1</f>
        <v>43749</v>
      </c>
      <c r="M67" s="85"/>
      <c r="N67" s="84">
        <f>L67+1</f>
        <v>43750</v>
      </c>
      <c r="O67" s="85"/>
      <c r="P67" s="16"/>
      <c r="Q67" s="84">
        <f>AC65+1</f>
        <v>43772</v>
      </c>
      <c r="R67" s="85"/>
      <c r="S67" s="84">
        <f>Q67+1</f>
        <v>43773</v>
      </c>
      <c r="T67" s="85"/>
      <c r="U67" s="84">
        <f>S67+1</f>
        <v>43774</v>
      </c>
      <c r="V67" s="85"/>
      <c r="W67" s="84">
        <f>U67+1</f>
        <v>43775</v>
      </c>
      <c r="X67" s="85"/>
      <c r="Y67" s="84">
        <f>W67+1</f>
        <v>43776</v>
      </c>
      <c r="Z67" s="85"/>
      <c r="AA67" s="84">
        <f>Y67+1</f>
        <v>43777</v>
      </c>
      <c r="AB67" s="85"/>
      <c r="AC67" s="84">
        <f>AA67+1</f>
        <v>43778</v>
      </c>
      <c r="AD67" s="85"/>
      <c r="AE67" s="16"/>
      <c r="AF67" s="84">
        <f>AR65+1</f>
        <v>43807</v>
      </c>
      <c r="AG67" s="85"/>
      <c r="AH67" s="84">
        <f>AF67+1</f>
        <v>43808</v>
      </c>
      <c r="AI67" s="85"/>
      <c r="AJ67" s="84">
        <f>AH67+1</f>
        <v>43809</v>
      </c>
      <c r="AK67" s="85"/>
      <c r="AL67" s="84">
        <f>AJ67+1</f>
        <v>43810</v>
      </c>
      <c r="AM67" s="85"/>
      <c r="AN67" s="84">
        <f>AL67+1</f>
        <v>43811</v>
      </c>
      <c r="AO67" s="85"/>
      <c r="AP67" s="84">
        <f>AN67+1</f>
        <v>43812</v>
      </c>
      <c r="AQ67" s="85"/>
      <c r="AR67" s="84">
        <f>AP67+1</f>
        <v>43813</v>
      </c>
      <c r="AS67" s="85"/>
    </row>
    <row r="68" spans="2:45" ht="17.100000000000001" customHeight="1" x14ac:dyDescent="0.25">
      <c r="B68" s="36">
        <f>B67</f>
        <v>43744</v>
      </c>
      <c r="C68" s="37" t="str">
        <f>O66</f>
        <v>Safar</v>
      </c>
      <c r="D68" s="36">
        <f>D67</f>
        <v>43745</v>
      </c>
      <c r="E68" s="37" t="str">
        <f>C68</f>
        <v>Safar</v>
      </c>
      <c r="F68" s="36">
        <f t="shared" ref="F68" si="86">F67</f>
        <v>43746</v>
      </c>
      <c r="G68" s="37" t="str">
        <f>E68</f>
        <v>Safar</v>
      </c>
      <c r="H68" s="36">
        <f>H67</f>
        <v>43747</v>
      </c>
      <c r="I68" s="37" t="str">
        <f>G68</f>
        <v>Safar</v>
      </c>
      <c r="J68" s="36">
        <f>J67</f>
        <v>43748</v>
      </c>
      <c r="K68" s="37" t="str">
        <f>I68</f>
        <v>Safar</v>
      </c>
      <c r="L68" s="36">
        <f>L67</f>
        <v>43749</v>
      </c>
      <c r="M68" s="37" t="str">
        <f>K68</f>
        <v>Safar</v>
      </c>
      <c r="N68" s="36">
        <f>N67</f>
        <v>43750</v>
      </c>
      <c r="O68" s="37" t="str">
        <f>M68</f>
        <v>Safar</v>
      </c>
      <c r="P68" s="8"/>
      <c r="Q68" s="23">
        <f>Q67</f>
        <v>43772</v>
      </c>
      <c r="R68" s="24" t="str">
        <f>AD66</f>
        <v>Rab I</v>
      </c>
      <c r="S68" s="23">
        <f>S67</f>
        <v>43773</v>
      </c>
      <c r="T68" s="24" t="str">
        <f>R68</f>
        <v>Rab I</v>
      </c>
      <c r="U68" s="23">
        <f t="shared" ref="U68" si="87">U67</f>
        <v>43774</v>
      </c>
      <c r="V68" s="24" t="str">
        <f>T68</f>
        <v>Rab I</v>
      </c>
      <c r="W68" s="23">
        <f>W67</f>
        <v>43775</v>
      </c>
      <c r="X68" s="24" t="str">
        <f>V68</f>
        <v>Rab I</v>
      </c>
      <c r="Y68" s="23">
        <f>Y67</f>
        <v>43776</v>
      </c>
      <c r="Z68" s="24" t="str">
        <f>X68</f>
        <v>Rab I</v>
      </c>
      <c r="AA68" s="23">
        <f>AA67</f>
        <v>43777</v>
      </c>
      <c r="AB68" s="24" t="str">
        <f>Z68</f>
        <v>Rab I</v>
      </c>
      <c r="AC68" s="23">
        <f>AC67</f>
        <v>43778</v>
      </c>
      <c r="AD68" s="24" t="str">
        <f>AB68</f>
        <v>Rab I</v>
      </c>
      <c r="AE68" s="8"/>
      <c r="AF68" s="36">
        <f>AF67</f>
        <v>43807</v>
      </c>
      <c r="AG68" s="37" t="str">
        <f>AS66</f>
        <v>Rab II</v>
      </c>
      <c r="AH68" s="36">
        <f>AH67</f>
        <v>43808</v>
      </c>
      <c r="AI68" s="37" t="str">
        <f>AG68</f>
        <v>Rab II</v>
      </c>
      <c r="AJ68" s="36">
        <f t="shared" ref="AJ68" si="88">AJ67</f>
        <v>43809</v>
      </c>
      <c r="AK68" s="37" t="str">
        <f>AI68</f>
        <v>Rab II</v>
      </c>
      <c r="AL68" s="36">
        <f>AL67</f>
        <v>43810</v>
      </c>
      <c r="AM68" s="37" t="str">
        <f>AK68</f>
        <v>Rab II</v>
      </c>
      <c r="AN68" s="36">
        <f>AN67</f>
        <v>43811</v>
      </c>
      <c r="AO68" s="37" t="str">
        <f>AM68</f>
        <v>Rab II</v>
      </c>
      <c r="AP68" s="36">
        <f>AP67</f>
        <v>43812</v>
      </c>
      <c r="AQ68" s="37" t="str">
        <f>AO68</f>
        <v>Rab II</v>
      </c>
      <c r="AR68" s="36">
        <f>AR67</f>
        <v>43813</v>
      </c>
      <c r="AS68" s="37" t="str">
        <f>AQ68</f>
        <v>Rab II</v>
      </c>
    </row>
    <row r="69" spans="2:45" s="17" customFormat="1" ht="17.100000000000001" customHeight="1" x14ac:dyDescent="0.25">
      <c r="B69" s="84">
        <f>N67+1</f>
        <v>43751</v>
      </c>
      <c r="C69" s="85"/>
      <c r="D69" s="84">
        <f>B69+1</f>
        <v>43752</v>
      </c>
      <c r="E69" s="85"/>
      <c r="F69" s="84">
        <f>D69+1</f>
        <v>43753</v>
      </c>
      <c r="G69" s="85"/>
      <c r="H69" s="84">
        <f>F69+1</f>
        <v>43754</v>
      </c>
      <c r="I69" s="85"/>
      <c r="J69" s="84">
        <f>H69+1</f>
        <v>43755</v>
      </c>
      <c r="K69" s="85"/>
      <c r="L69" s="84">
        <f>J69+1</f>
        <v>43756</v>
      </c>
      <c r="M69" s="85"/>
      <c r="N69" s="84">
        <f>L69+1</f>
        <v>43757</v>
      </c>
      <c r="O69" s="85"/>
      <c r="P69" s="16"/>
      <c r="Q69" s="84">
        <f>AC67+1</f>
        <v>43779</v>
      </c>
      <c r="R69" s="85"/>
      <c r="S69" s="84">
        <f>Q69+1</f>
        <v>43780</v>
      </c>
      <c r="T69" s="85"/>
      <c r="U69" s="84">
        <f>S69+1</f>
        <v>43781</v>
      </c>
      <c r="V69" s="85"/>
      <c r="W69" s="84">
        <f>U69+1</f>
        <v>43782</v>
      </c>
      <c r="X69" s="85"/>
      <c r="Y69" s="84">
        <f>W69+1</f>
        <v>43783</v>
      </c>
      <c r="Z69" s="85"/>
      <c r="AA69" s="84">
        <f>Y69+1</f>
        <v>43784</v>
      </c>
      <c r="AB69" s="85"/>
      <c r="AC69" s="84">
        <f>AA69+1</f>
        <v>43785</v>
      </c>
      <c r="AD69" s="85"/>
      <c r="AE69" s="16"/>
      <c r="AF69" s="84">
        <f>AR67+1</f>
        <v>43814</v>
      </c>
      <c r="AG69" s="85"/>
      <c r="AH69" s="84">
        <f>AF69+1</f>
        <v>43815</v>
      </c>
      <c r="AI69" s="85"/>
      <c r="AJ69" s="84">
        <f>AH69+1</f>
        <v>43816</v>
      </c>
      <c r="AK69" s="85"/>
      <c r="AL69" s="84">
        <f>AJ69+1</f>
        <v>43817</v>
      </c>
      <c r="AM69" s="85"/>
      <c r="AN69" s="84">
        <f>AL69+1</f>
        <v>43818</v>
      </c>
      <c r="AO69" s="85"/>
      <c r="AP69" s="84">
        <f>AN69+1</f>
        <v>43819</v>
      </c>
      <c r="AQ69" s="85"/>
      <c r="AR69" s="84">
        <f>AP69+1</f>
        <v>43820</v>
      </c>
      <c r="AS69" s="85"/>
    </row>
    <row r="70" spans="2:45" ht="17.100000000000001" customHeight="1" x14ac:dyDescent="0.25">
      <c r="B70" s="36">
        <f>B69</f>
        <v>43751</v>
      </c>
      <c r="C70" s="37" t="str">
        <f>O68</f>
        <v>Safar</v>
      </c>
      <c r="D70" s="36">
        <f>D69</f>
        <v>43752</v>
      </c>
      <c r="E70" s="37" t="str">
        <f>C70</f>
        <v>Safar</v>
      </c>
      <c r="F70" s="36">
        <f t="shared" ref="F70" si="89">F69</f>
        <v>43753</v>
      </c>
      <c r="G70" s="37" t="str">
        <f>E70</f>
        <v>Safar</v>
      </c>
      <c r="H70" s="36">
        <f>H69</f>
        <v>43754</v>
      </c>
      <c r="I70" s="37" t="str">
        <f>G70</f>
        <v>Safar</v>
      </c>
      <c r="J70" s="36">
        <f>J69</f>
        <v>43755</v>
      </c>
      <c r="K70" s="37" t="str">
        <f>I70</f>
        <v>Safar</v>
      </c>
      <c r="L70" s="36">
        <f>L69</f>
        <v>43756</v>
      </c>
      <c r="M70" s="37" t="str">
        <f>K70</f>
        <v>Safar</v>
      </c>
      <c r="N70" s="36">
        <f>N69</f>
        <v>43757</v>
      </c>
      <c r="O70" s="37" t="str">
        <f>M70</f>
        <v>Safar</v>
      </c>
      <c r="P70" s="8"/>
      <c r="Q70" s="23">
        <f>Q69</f>
        <v>43779</v>
      </c>
      <c r="R70" s="24" t="str">
        <f>AD68</f>
        <v>Rab I</v>
      </c>
      <c r="S70" s="23">
        <f>S69</f>
        <v>43780</v>
      </c>
      <c r="T70" s="24" t="str">
        <f>R70</f>
        <v>Rab I</v>
      </c>
      <c r="U70" s="23">
        <f t="shared" ref="U70" si="90">U69</f>
        <v>43781</v>
      </c>
      <c r="V70" s="24" t="str">
        <f>T70</f>
        <v>Rab I</v>
      </c>
      <c r="W70" s="23">
        <f>W69</f>
        <v>43782</v>
      </c>
      <c r="X70" s="24" t="str">
        <f>V70</f>
        <v>Rab I</v>
      </c>
      <c r="Y70" s="23">
        <f>Y69</f>
        <v>43783</v>
      </c>
      <c r="Z70" s="24" t="str">
        <f>X70</f>
        <v>Rab I</v>
      </c>
      <c r="AA70" s="23">
        <f>AA69</f>
        <v>43784</v>
      </c>
      <c r="AB70" s="24" t="str">
        <f>Z70</f>
        <v>Rab I</v>
      </c>
      <c r="AC70" s="23">
        <f>AC69</f>
        <v>43785</v>
      </c>
      <c r="AD70" s="24" t="str">
        <f>AB70</f>
        <v>Rab I</v>
      </c>
      <c r="AE70" s="8"/>
      <c r="AF70" s="36">
        <f>AF69</f>
        <v>43814</v>
      </c>
      <c r="AG70" s="37" t="str">
        <f>AS68</f>
        <v>Rab II</v>
      </c>
      <c r="AH70" s="36">
        <f>AH69</f>
        <v>43815</v>
      </c>
      <c r="AI70" s="37" t="str">
        <f>AG70</f>
        <v>Rab II</v>
      </c>
      <c r="AJ70" s="36">
        <f t="shared" ref="AJ70" si="91">AJ69</f>
        <v>43816</v>
      </c>
      <c r="AK70" s="37" t="str">
        <f>AI70</f>
        <v>Rab II</v>
      </c>
      <c r="AL70" s="36">
        <f>AL69</f>
        <v>43817</v>
      </c>
      <c r="AM70" s="37" t="str">
        <f>AK70</f>
        <v>Rab II</v>
      </c>
      <c r="AN70" s="36">
        <f>AN69</f>
        <v>43818</v>
      </c>
      <c r="AO70" s="37" t="str">
        <f>AM70</f>
        <v>Rab II</v>
      </c>
      <c r="AP70" s="36">
        <f>AP69</f>
        <v>43819</v>
      </c>
      <c r="AQ70" s="37" t="str">
        <f>AO70</f>
        <v>Rab II</v>
      </c>
      <c r="AR70" s="36">
        <f>AR69</f>
        <v>43820</v>
      </c>
      <c r="AS70" s="37" t="str">
        <f>AQ70</f>
        <v>Rab II</v>
      </c>
    </row>
    <row r="71" spans="2:45" s="17" customFormat="1" ht="17.100000000000001" customHeight="1" x14ac:dyDescent="0.25">
      <c r="B71" s="84">
        <f>N69+1</f>
        <v>43758</v>
      </c>
      <c r="C71" s="85"/>
      <c r="D71" s="84">
        <f>B71+1</f>
        <v>43759</v>
      </c>
      <c r="E71" s="85"/>
      <c r="F71" s="84">
        <f>D71+1</f>
        <v>43760</v>
      </c>
      <c r="G71" s="85"/>
      <c r="H71" s="84">
        <f>F71+1</f>
        <v>43761</v>
      </c>
      <c r="I71" s="85"/>
      <c r="J71" s="84">
        <f>H71+1</f>
        <v>43762</v>
      </c>
      <c r="K71" s="85"/>
      <c r="L71" s="84">
        <f>J71+1</f>
        <v>43763</v>
      </c>
      <c r="M71" s="85"/>
      <c r="N71" s="84">
        <f>L71+1</f>
        <v>43764</v>
      </c>
      <c r="O71" s="85"/>
      <c r="P71" s="16"/>
      <c r="Q71" s="84">
        <f>AC69+1</f>
        <v>43786</v>
      </c>
      <c r="R71" s="85"/>
      <c r="S71" s="84">
        <f>Q71+1</f>
        <v>43787</v>
      </c>
      <c r="T71" s="85"/>
      <c r="U71" s="84">
        <f>S71+1</f>
        <v>43788</v>
      </c>
      <c r="V71" s="85"/>
      <c r="W71" s="84">
        <f>U71+1</f>
        <v>43789</v>
      </c>
      <c r="X71" s="85"/>
      <c r="Y71" s="84">
        <f>W71+1</f>
        <v>43790</v>
      </c>
      <c r="Z71" s="85"/>
      <c r="AA71" s="84">
        <f>Y71+1</f>
        <v>43791</v>
      </c>
      <c r="AB71" s="85"/>
      <c r="AC71" s="84">
        <f>AA71+1</f>
        <v>43792</v>
      </c>
      <c r="AD71" s="85"/>
      <c r="AE71" s="16"/>
      <c r="AF71" s="84">
        <f>AR69+1</f>
        <v>43821</v>
      </c>
      <c r="AG71" s="85"/>
      <c r="AH71" s="84">
        <f>AF71+1</f>
        <v>43822</v>
      </c>
      <c r="AI71" s="85"/>
      <c r="AJ71" s="84">
        <f>AH71+1</f>
        <v>43823</v>
      </c>
      <c r="AK71" s="85"/>
      <c r="AL71" s="84">
        <f>AJ71+1</f>
        <v>43824</v>
      </c>
      <c r="AM71" s="85"/>
      <c r="AN71" s="84">
        <f>AL71+1</f>
        <v>43825</v>
      </c>
      <c r="AO71" s="85"/>
      <c r="AP71" s="84">
        <f>AN71+1</f>
        <v>43826</v>
      </c>
      <c r="AQ71" s="85"/>
      <c r="AR71" s="84">
        <f>AP71+1</f>
        <v>43827</v>
      </c>
      <c r="AS71" s="85"/>
    </row>
    <row r="72" spans="2:45" ht="17.100000000000001" customHeight="1" x14ac:dyDescent="0.25">
      <c r="B72" s="36">
        <f>B71</f>
        <v>43758</v>
      </c>
      <c r="C72" s="37" t="str">
        <f>O70</f>
        <v>Safar</v>
      </c>
      <c r="D72" s="36">
        <f>D71</f>
        <v>43759</v>
      </c>
      <c r="E72" s="37" t="str">
        <f>C72</f>
        <v>Safar</v>
      </c>
      <c r="F72" s="36">
        <f t="shared" ref="F72" si="92">F71</f>
        <v>43760</v>
      </c>
      <c r="G72" s="37" t="str">
        <f>E72</f>
        <v>Safar</v>
      </c>
      <c r="H72" s="36">
        <f>H71</f>
        <v>43761</v>
      </c>
      <c r="I72" s="37" t="str">
        <f>G72</f>
        <v>Safar</v>
      </c>
      <c r="J72" s="36">
        <f>J71</f>
        <v>43762</v>
      </c>
      <c r="K72" s="37" t="str">
        <f>I72</f>
        <v>Safar</v>
      </c>
      <c r="L72" s="36">
        <f>L71</f>
        <v>43763</v>
      </c>
      <c r="M72" s="37" t="str">
        <f>K72</f>
        <v>Safar</v>
      </c>
      <c r="N72" s="36">
        <f>N71</f>
        <v>43764</v>
      </c>
      <c r="O72" s="37" t="str">
        <f>M72</f>
        <v>Safar</v>
      </c>
      <c r="P72" s="8"/>
      <c r="Q72" s="23">
        <f>Q71</f>
        <v>43786</v>
      </c>
      <c r="R72" s="24" t="str">
        <f>AD70</f>
        <v>Rab I</v>
      </c>
      <c r="S72" s="23">
        <f>S71</f>
        <v>43787</v>
      </c>
      <c r="T72" s="24" t="str">
        <f>R72</f>
        <v>Rab I</v>
      </c>
      <c r="U72" s="23">
        <f t="shared" ref="U72" si="93">U71</f>
        <v>43788</v>
      </c>
      <c r="V72" s="24" t="str">
        <f>T72</f>
        <v>Rab I</v>
      </c>
      <c r="W72" s="23">
        <f>W71</f>
        <v>43789</v>
      </c>
      <c r="X72" s="24" t="str">
        <f>V72</f>
        <v>Rab I</v>
      </c>
      <c r="Y72" s="23">
        <f>Y71</f>
        <v>43790</v>
      </c>
      <c r="Z72" s="24" t="str">
        <f>X72</f>
        <v>Rab I</v>
      </c>
      <c r="AA72" s="23">
        <f>AA71</f>
        <v>43791</v>
      </c>
      <c r="AB72" s="24" t="str">
        <f>Z72</f>
        <v>Rab I</v>
      </c>
      <c r="AC72" s="23">
        <f>AC71</f>
        <v>43792</v>
      </c>
      <c r="AD72" s="24" t="str">
        <f>AB72</f>
        <v>Rab I</v>
      </c>
      <c r="AE72" s="8"/>
      <c r="AF72" s="36">
        <f>AF71</f>
        <v>43821</v>
      </c>
      <c r="AG72" s="37" t="str">
        <f>AS70</f>
        <v>Rab II</v>
      </c>
      <c r="AH72" s="36">
        <f>AH71</f>
        <v>43822</v>
      </c>
      <c r="AI72" s="37" t="str">
        <f>AG72</f>
        <v>Rab II</v>
      </c>
      <c r="AJ72" s="36">
        <f t="shared" ref="AJ72" si="94">AJ71</f>
        <v>43823</v>
      </c>
      <c r="AK72" s="37" t="str">
        <f>AI72</f>
        <v>Rab II</v>
      </c>
      <c r="AL72" s="36">
        <f>AL71</f>
        <v>43824</v>
      </c>
      <c r="AM72" s="37" t="str">
        <f>AK72</f>
        <v>Rab II</v>
      </c>
      <c r="AN72" s="36">
        <f>AN71</f>
        <v>43825</v>
      </c>
      <c r="AO72" s="37" t="str">
        <f>AM72</f>
        <v>Rab II</v>
      </c>
      <c r="AP72" s="23">
        <f>AP71</f>
        <v>43826</v>
      </c>
      <c r="AQ72" s="24" t="s">
        <v>42</v>
      </c>
      <c r="AR72" s="23">
        <f>AR71</f>
        <v>43827</v>
      </c>
      <c r="AS72" s="24" t="str">
        <f>AQ72</f>
        <v>Jum I</v>
      </c>
    </row>
    <row r="73" spans="2:45" s="17" customFormat="1" ht="17.100000000000001" customHeight="1" x14ac:dyDescent="0.25">
      <c r="B73" s="84">
        <f>N71+1</f>
        <v>43765</v>
      </c>
      <c r="C73" s="85"/>
      <c r="D73" s="84">
        <f>B73+1</f>
        <v>43766</v>
      </c>
      <c r="E73" s="85"/>
      <c r="F73" s="84">
        <f>D73+1</f>
        <v>43767</v>
      </c>
      <c r="G73" s="85"/>
      <c r="H73" s="84">
        <f>F73+1</f>
        <v>43768</v>
      </c>
      <c r="I73" s="85"/>
      <c r="J73" s="84">
        <f>H73+1</f>
        <v>43769</v>
      </c>
      <c r="K73" s="85"/>
      <c r="L73" s="81"/>
      <c r="M73" s="81"/>
      <c r="N73" s="96"/>
      <c r="O73" s="97"/>
      <c r="P73" s="16"/>
      <c r="Q73" s="84">
        <f>AC71+1</f>
        <v>43793</v>
      </c>
      <c r="R73" s="85"/>
      <c r="S73" s="84">
        <f>Q73+1</f>
        <v>43794</v>
      </c>
      <c r="T73" s="85"/>
      <c r="U73" s="84">
        <f>S73+1</f>
        <v>43795</v>
      </c>
      <c r="V73" s="85"/>
      <c r="W73" s="84">
        <f>U73+1</f>
        <v>43796</v>
      </c>
      <c r="X73" s="85"/>
      <c r="Y73" s="84">
        <f>W73+1</f>
        <v>43797</v>
      </c>
      <c r="Z73" s="85"/>
      <c r="AA73" s="84">
        <f>Y73+1</f>
        <v>43798</v>
      </c>
      <c r="AB73" s="85"/>
      <c r="AC73" s="84">
        <f>AA73+1</f>
        <v>43799</v>
      </c>
      <c r="AD73" s="85"/>
      <c r="AE73" s="16"/>
      <c r="AF73" s="84">
        <f>AR71+1</f>
        <v>43828</v>
      </c>
      <c r="AG73" s="85"/>
      <c r="AH73" s="84">
        <f>AF73+1</f>
        <v>43829</v>
      </c>
      <c r="AI73" s="85"/>
      <c r="AJ73" s="84">
        <f>AH73+1</f>
        <v>43830</v>
      </c>
      <c r="AK73" s="85"/>
      <c r="AL73" s="81"/>
      <c r="AM73" s="81"/>
      <c r="AN73" s="81"/>
      <c r="AO73" s="81"/>
      <c r="AP73" s="81"/>
      <c r="AQ73" s="81"/>
      <c r="AR73" s="81"/>
      <c r="AS73" s="82"/>
    </row>
    <row r="74" spans="2:45" ht="17.100000000000001" customHeight="1" x14ac:dyDescent="0.25">
      <c r="B74" s="36">
        <f>B73</f>
        <v>43765</v>
      </c>
      <c r="C74" s="37" t="str">
        <f>O72</f>
        <v>Safar</v>
      </c>
      <c r="D74" s="36">
        <f>D73</f>
        <v>43766</v>
      </c>
      <c r="E74" s="37" t="str">
        <f>C74</f>
        <v>Safar</v>
      </c>
      <c r="F74" s="23">
        <f t="shared" ref="F74" si="95">F73</f>
        <v>43767</v>
      </c>
      <c r="G74" s="24" t="s">
        <v>40</v>
      </c>
      <c r="H74" s="23">
        <f t="shared" ref="H74" si="96">H73</f>
        <v>43768</v>
      </c>
      <c r="I74" s="24" t="str">
        <f>G74</f>
        <v>Rab I</v>
      </c>
      <c r="J74" s="23">
        <f t="shared" ref="J74" si="97">J73</f>
        <v>43769</v>
      </c>
      <c r="K74" s="24" t="str">
        <f>I74</f>
        <v>Rab I</v>
      </c>
      <c r="L74" s="81"/>
      <c r="M74" s="81"/>
      <c r="N74" s="18"/>
      <c r="O74" s="28"/>
      <c r="P74" s="8"/>
      <c r="Q74" s="23">
        <f>Q73</f>
        <v>43793</v>
      </c>
      <c r="R74" s="24" t="str">
        <f>AD72</f>
        <v>Rab I</v>
      </c>
      <c r="S74" s="23">
        <f>S73</f>
        <v>43794</v>
      </c>
      <c r="T74" s="24" t="str">
        <f>R74</f>
        <v>Rab I</v>
      </c>
      <c r="U74" s="23">
        <f t="shared" ref="U74" si="98">U73</f>
        <v>43795</v>
      </c>
      <c r="V74" s="24" t="str">
        <f>T74</f>
        <v>Rab I</v>
      </c>
      <c r="W74" s="23">
        <f t="shared" ref="W74" si="99">W73</f>
        <v>43796</v>
      </c>
      <c r="X74" s="24" t="str">
        <f>V74</f>
        <v>Rab I</v>
      </c>
      <c r="Y74" s="36">
        <f t="shared" ref="Y74" si="100">Y73</f>
        <v>43797</v>
      </c>
      <c r="Z74" s="37" t="s">
        <v>41</v>
      </c>
      <c r="AA74" s="36">
        <f t="shared" ref="AA74" si="101">AA73</f>
        <v>43798</v>
      </c>
      <c r="AB74" s="37" t="str">
        <f>Z74</f>
        <v>Rab II</v>
      </c>
      <c r="AC74" s="36">
        <f t="shared" ref="AC74" si="102">AC73</f>
        <v>43799</v>
      </c>
      <c r="AD74" s="37" t="str">
        <f>AB74</f>
        <v>Rab II</v>
      </c>
      <c r="AE74" s="8"/>
      <c r="AF74" s="23">
        <f>AF73</f>
        <v>43828</v>
      </c>
      <c r="AG74" s="24" t="str">
        <f>AS72</f>
        <v>Jum I</v>
      </c>
      <c r="AH74" s="23">
        <f>AH73</f>
        <v>43829</v>
      </c>
      <c r="AI74" s="24" t="str">
        <f>AG74</f>
        <v>Jum I</v>
      </c>
      <c r="AJ74" s="23">
        <f t="shared" ref="AJ74" si="103">AJ73</f>
        <v>43830</v>
      </c>
      <c r="AK74" s="24" t="str">
        <f>AI74</f>
        <v>Jum I</v>
      </c>
      <c r="AL74" s="81"/>
      <c r="AM74" s="81"/>
      <c r="AN74" s="81"/>
      <c r="AO74" s="81"/>
      <c r="AP74" s="81"/>
      <c r="AQ74" s="81"/>
      <c r="AR74" s="81"/>
      <c r="AS74" s="82"/>
    </row>
    <row r="75" spans="2:45" s="17" customFormat="1" ht="17.100000000000001" customHeight="1" x14ac:dyDescent="0.25">
      <c r="B75" s="93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2"/>
      <c r="P75" s="16"/>
      <c r="Q75" s="93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2"/>
      <c r="AE75" s="16"/>
      <c r="AF75" s="93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2"/>
    </row>
    <row r="76" spans="2:45" ht="17.100000000000001" customHeight="1" x14ac:dyDescent="0.25">
      <c r="B76" s="20"/>
      <c r="C76" s="29"/>
      <c r="D76" s="30"/>
      <c r="E76" s="29"/>
      <c r="F76" s="30"/>
      <c r="G76" s="29"/>
      <c r="H76" s="30"/>
      <c r="I76" s="29"/>
      <c r="J76" s="30"/>
      <c r="K76" s="29"/>
      <c r="L76" s="30"/>
      <c r="M76" s="29"/>
      <c r="N76" s="30"/>
      <c r="O76" s="21"/>
      <c r="P76" s="8"/>
      <c r="Q76" s="20"/>
      <c r="R76" s="29"/>
      <c r="S76" s="30"/>
      <c r="T76" s="29"/>
      <c r="U76" s="30"/>
      <c r="V76" s="29"/>
      <c r="W76" s="30"/>
      <c r="X76" s="29"/>
      <c r="Y76" s="30"/>
      <c r="Z76" s="29"/>
      <c r="AA76" s="30"/>
      <c r="AB76" s="29"/>
      <c r="AC76" s="30"/>
      <c r="AD76" s="21"/>
      <c r="AE76" s="8"/>
      <c r="AF76" s="20"/>
      <c r="AG76" s="29"/>
      <c r="AH76" s="30"/>
      <c r="AI76" s="29"/>
      <c r="AJ76" s="30"/>
      <c r="AK76" s="29"/>
      <c r="AL76" s="30"/>
      <c r="AM76" s="29"/>
      <c r="AN76" s="30"/>
      <c r="AO76" s="29"/>
      <c r="AP76" s="30"/>
      <c r="AQ76" s="29"/>
      <c r="AR76" s="30"/>
      <c r="AS76" s="21"/>
    </row>
    <row r="77" spans="2:45" ht="17.100000000000001" customHeight="1" x14ac:dyDescent="0.25"/>
    <row r="78" spans="2:45" ht="17.100000000000001" customHeight="1" x14ac:dyDescent="0.25">
      <c r="B78" s="52" t="s">
        <v>58</v>
      </c>
    </row>
    <row r="79" spans="2:45" ht="17.100000000000001" customHeight="1" x14ac:dyDescent="0.25"/>
    <row r="80" spans="2:45" ht="16.5" hidden="1" customHeight="1" x14ac:dyDescent="0.25"/>
    <row r="81" ht="17.100000000000001" hidden="1" customHeight="1" x14ac:dyDescent="0.25"/>
    <row r="82" ht="17.100000000000001" hidden="1" customHeight="1" x14ac:dyDescent="0.25"/>
    <row r="83" ht="17.100000000000001" hidden="1" customHeight="1" x14ac:dyDescent="0.25"/>
    <row r="84" ht="17.100000000000001" hidden="1" customHeight="1" x14ac:dyDescent="0.25"/>
    <row r="85" ht="17.100000000000001" hidden="1" customHeight="1" x14ac:dyDescent="0.25"/>
    <row r="86" ht="17.100000000000001" hidden="1" customHeight="1" x14ac:dyDescent="0.25"/>
    <row r="87" ht="17.100000000000001" hidden="1" customHeight="1" x14ac:dyDescent="0.25"/>
    <row r="88" ht="17.100000000000001" hidden="1" customHeight="1" x14ac:dyDescent="0.25"/>
    <row r="89" ht="17.100000000000001" hidden="1" customHeight="1" x14ac:dyDescent="0.25"/>
    <row r="90" ht="17.100000000000001" hidden="1" customHeight="1" x14ac:dyDescent="0.25"/>
    <row r="91" ht="17.100000000000001" hidden="1" customHeight="1" x14ac:dyDescent="0.25"/>
    <row r="92" ht="17.100000000000001" hidden="1" customHeight="1" x14ac:dyDescent="0.25"/>
    <row r="93" ht="17.100000000000001" hidden="1" customHeight="1" x14ac:dyDescent="0.25"/>
    <row r="94" ht="17.100000000000001" hidden="1" customHeight="1" x14ac:dyDescent="0.25"/>
    <row r="95" ht="17.100000000000001" hidden="1" customHeight="1" x14ac:dyDescent="0.25"/>
    <row r="96" ht="17.100000000000001" hidden="1" customHeight="1" x14ac:dyDescent="0.25"/>
    <row r="97" ht="17.100000000000001" hidden="1" customHeight="1" x14ac:dyDescent="0.25"/>
    <row r="98" ht="17.100000000000001" hidden="1" customHeight="1" x14ac:dyDescent="0.25"/>
    <row r="99" ht="17.100000000000001" hidden="1" customHeight="1" x14ac:dyDescent="0.25"/>
    <row r="100" ht="17.100000000000001" hidden="1" customHeight="1" x14ac:dyDescent="0.25"/>
    <row r="101" ht="17.100000000000001" hidden="1" customHeight="1" x14ac:dyDescent="0.25"/>
    <row r="102" ht="17.100000000000001" hidden="1" customHeight="1" x14ac:dyDescent="0.25"/>
    <row r="103" ht="17.100000000000001" hidden="1" customHeight="1" x14ac:dyDescent="0.25"/>
    <row r="104" ht="17.100000000000001" hidden="1" customHeight="1" x14ac:dyDescent="0.25"/>
    <row r="105" ht="17.100000000000001" hidden="1" customHeight="1" x14ac:dyDescent="0.25"/>
    <row r="106" ht="17.100000000000001" hidden="1" customHeight="1" x14ac:dyDescent="0.25"/>
    <row r="107" ht="17.100000000000001" hidden="1" customHeight="1" x14ac:dyDescent="0.25"/>
    <row r="108" ht="17.100000000000001" hidden="1" customHeight="1" x14ac:dyDescent="0.25"/>
    <row r="109" ht="17.100000000000001" hidden="1" customHeight="1" x14ac:dyDescent="0.25"/>
    <row r="110" ht="17.100000000000001" hidden="1" customHeight="1" x14ac:dyDescent="0.25"/>
    <row r="111" ht="17.100000000000001" hidden="1" customHeight="1" x14ac:dyDescent="0.25"/>
    <row r="112" ht="17.100000000000001" hidden="1" customHeight="1" x14ac:dyDescent="0.25"/>
    <row r="113" ht="17.100000000000001" hidden="1" customHeight="1" x14ac:dyDescent="0.25"/>
    <row r="114" ht="17.100000000000001" hidden="1" customHeight="1" x14ac:dyDescent="0.25"/>
    <row r="115" ht="17.100000000000001" hidden="1" customHeight="1" x14ac:dyDescent="0.25"/>
    <row r="116" ht="17.100000000000001" hidden="1" customHeight="1" x14ac:dyDescent="0.25"/>
    <row r="117" ht="17.100000000000001" hidden="1" customHeight="1" x14ac:dyDescent="0.25"/>
    <row r="118" ht="17.100000000000001" hidden="1" customHeight="1" x14ac:dyDescent="0.25"/>
    <row r="119" ht="17.100000000000001" hidden="1" customHeight="1" x14ac:dyDescent="0.25"/>
    <row r="120" ht="17.100000000000001" hidden="1" customHeight="1" x14ac:dyDescent="0.25"/>
    <row r="121" ht="17.100000000000001" hidden="1" customHeight="1" x14ac:dyDescent="0.25"/>
    <row r="122" ht="17.100000000000001" hidden="1" customHeight="1" x14ac:dyDescent="0.25"/>
    <row r="123" ht="17.100000000000001" hidden="1" customHeight="1" x14ac:dyDescent="0.25"/>
    <row r="124" ht="17.100000000000001" hidden="1" customHeight="1" x14ac:dyDescent="0.25"/>
    <row r="125" ht="17.100000000000001" hidden="1" customHeight="1" x14ac:dyDescent="0.25"/>
    <row r="126" ht="17.100000000000001" hidden="1" customHeight="1" x14ac:dyDescent="0.25"/>
    <row r="127" ht="17.100000000000001" hidden="1" customHeight="1" x14ac:dyDescent="0.25"/>
    <row r="128" ht="17.100000000000001" hidden="1" customHeight="1" x14ac:dyDescent="0.25"/>
    <row r="129" ht="17.100000000000001" hidden="1" customHeight="1" x14ac:dyDescent="0.25"/>
    <row r="130" ht="17.100000000000001" hidden="1" customHeight="1" x14ac:dyDescent="0.25"/>
    <row r="131" ht="17.100000000000001" hidden="1" customHeight="1" x14ac:dyDescent="0.25"/>
    <row r="132" ht="17.100000000000001" hidden="1" customHeight="1" x14ac:dyDescent="0.25"/>
    <row r="133" ht="17.100000000000001" hidden="1" customHeight="1" x14ac:dyDescent="0.25"/>
    <row r="134" ht="17.100000000000001" hidden="1" customHeight="1" x14ac:dyDescent="0.25"/>
    <row r="135" ht="17.100000000000001" hidden="1" customHeight="1" x14ac:dyDescent="0.25"/>
    <row r="136" ht="17.100000000000001" hidden="1" customHeight="1" x14ac:dyDescent="0.25"/>
    <row r="137" ht="17.100000000000001" hidden="1" customHeight="1" x14ac:dyDescent="0.25"/>
    <row r="138" ht="17.100000000000001" hidden="1" customHeight="1" x14ac:dyDescent="0.25"/>
    <row r="139" ht="17.100000000000001" hidden="1" customHeight="1" x14ac:dyDescent="0.25"/>
    <row r="140" ht="17.100000000000001" hidden="1" customHeight="1" x14ac:dyDescent="0.25"/>
    <row r="141" ht="17.100000000000001" hidden="1" customHeight="1" x14ac:dyDescent="0.25"/>
    <row r="142" ht="17.100000000000001" hidden="1" customHeight="1" x14ac:dyDescent="0.25"/>
    <row r="143" ht="17.100000000000001" hidden="1" customHeight="1" x14ac:dyDescent="0.25"/>
    <row r="144" ht="17.100000000000001" hidden="1" customHeight="1" x14ac:dyDescent="0.25"/>
    <row r="145" ht="17.100000000000001" hidden="1" customHeight="1" x14ac:dyDescent="0.25"/>
    <row r="146" ht="17.100000000000001" hidden="1" customHeight="1" x14ac:dyDescent="0.25"/>
    <row r="147" ht="17.100000000000001" hidden="1" customHeight="1" x14ac:dyDescent="0.25"/>
    <row r="148" ht="17.100000000000001" hidden="1" customHeight="1" x14ac:dyDescent="0.25"/>
    <row r="149" ht="17.100000000000001" hidden="1" customHeight="1" x14ac:dyDescent="0.25"/>
    <row r="150" ht="17.100000000000001" hidden="1" customHeight="1" x14ac:dyDescent="0.25"/>
    <row r="151" ht="17.100000000000001" hidden="1" customHeight="1" x14ac:dyDescent="0.25"/>
    <row r="152" ht="17.100000000000001" hidden="1" customHeight="1" x14ac:dyDescent="0.25"/>
    <row r="153" ht="17.100000000000001" hidden="1" customHeight="1" x14ac:dyDescent="0.25"/>
    <row r="154" ht="17.100000000000001" hidden="1" customHeight="1" x14ac:dyDescent="0.25"/>
    <row r="155" ht="17.100000000000001" hidden="1" customHeight="1" x14ac:dyDescent="0.25"/>
    <row r="156" ht="17.100000000000001" hidden="1" customHeight="1" x14ac:dyDescent="0.25"/>
    <row r="157" ht="17.100000000000001" hidden="1" customHeight="1" x14ac:dyDescent="0.25"/>
    <row r="158" ht="17.100000000000001" hidden="1" customHeight="1" x14ac:dyDescent="0.25"/>
    <row r="159" ht="17.100000000000001" hidden="1" customHeight="1" x14ac:dyDescent="0.25"/>
    <row r="160" ht="17.100000000000001" hidden="1" customHeight="1" x14ac:dyDescent="0.25"/>
    <row r="161" ht="17.100000000000001" hidden="1" customHeight="1" x14ac:dyDescent="0.25"/>
    <row r="162" ht="17.100000000000001" hidden="1" customHeight="1" x14ac:dyDescent="0.25"/>
    <row r="163" ht="17.100000000000001" hidden="1" customHeight="1" x14ac:dyDescent="0.25"/>
    <row r="164" ht="17.100000000000001" hidden="1" customHeight="1" x14ac:dyDescent="0.25"/>
    <row r="165" ht="17.100000000000001" hidden="1" customHeight="1" x14ac:dyDescent="0.25"/>
    <row r="166" ht="17.100000000000001" hidden="1" customHeight="1" x14ac:dyDescent="0.25"/>
    <row r="167" ht="17.100000000000001" hidden="1" customHeight="1" x14ac:dyDescent="0.25"/>
    <row r="168" ht="17.100000000000001" hidden="1" customHeight="1" x14ac:dyDescent="0.25"/>
    <row r="169" ht="17.100000000000001" hidden="1" customHeight="1" x14ac:dyDescent="0.25"/>
    <row r="170" ht="17.100000000000001" hidden="1" customHeight="1" x14ac:dyDescent="0.25"/>
    <row r="171" ht="17.100000000000001" hidden="1" customHeight="1" x14ac:dyDescent="0.25"/>
    <row r="172" ht="17.100000000000001" hidden="1" customHeight="1" x14ac:dyDescent="0.25"/>
    <row r="173" ht="17.100000000000001" hidden="1" customHeight="1" x14ac:dyDescent="0.25"/>
    <row r="174" ht="17.100000000000001" hidden="1" customHeight="1" x14ac:dyDescent="0.25"/>
    <row r="175" ht="17.100000000000001" hidden="1" customHeight="1" x14ac:dyDescent="0.25"/>
    <row r="176" ht="17.100000000000001" hidden="1" customHeight="1" x14ac:dyDescent="0.25"/>
    <row r="177" ht="17.100000000000001" hidden="1" customHeight="1" x14ac:dyDescent="0.25"/>
    <row r="178" ht="17.100000000000001" hidden="1" customHeight="1" x14ac:dyDescent="0.25"/>
    <row r="179" ht="17.100000000000001" hidden="1" customHeight="1" x14ac:dyDescent="0.25"/>
    <row r="180" ht="17.100000000000001" hidden="1" customHeight="1" x14ac:dyDescent="0.25"/>
    <row r="181" ht="17.100000000000001" hidden="1" customHeight="1" x14ac:dyDescent="0.25"/>
    <row r="182" ht="17.100000000000001" hidden="1" customHeight="1" x14ac:dyDescent="0.25"/>
    <row r="183" ht="17.100000000000001" hidden="1" customHeight="1" x14ac:dyDescent="0.25"/>
    <row r="184" ht="17.100000000000001" hidden="1" customHeight="1" x14ac:dyDescent="0.25"/>
    <row r="185" ht="17.100000000000001" hidden="1" customHeight="1" x14ac:dyDescent="0.25"/>
    <row r="186" ht="17.100000000000001" hidden="1" customHeight="1" x14ac:dyDescent="0.25"/>
    <row r="187" ht="17.100000000000001" hidden="1" customHeight="1" x14ac:dyDescent="0.25"/>
    <row r="188" ht="17.100000000000001" hidden="1" customHeight="1" x14ac:dyDescent="0.25"/>
    <row r="189" ht="17.100000000000001" hidden="1" customHeight="1" x14ac:dyDescent="0.25"/>
    <row r="190" ht="17.100000000000001" hidden="1" customHeight="1" x14ac:dyDescent="0.25"/>
    <row r="191" ht="17.100000000000001" hidden="1" customHeight="1" x14ac:dyDescent="0.25"/>
    <row r="192" ht="17.100000000000001" hidden="1" customHeight="1" x14ac:dyDescent="0.25"/>
    <row r="193" ht="17.100000000000001" hidden="1" customHeight="1" x14ac:dyDescent="0.25"/>
    <row r="194" ht="17.100000000000001" hidden="1" customHeight="1" x14ac:dyDescent="0.25"/>
    <row r="195" ht="17.100000000000001" hidden="1" customHeight="1" x14ac:dyDescent="0.25"/>
    <row r="196" ht="17.100000000000001" hidden="1" customHeight="1" x14ac:dyDescent="0.25"/>
    <row r="197" ht="17.100000000000001" hidden="1" customHeight="1" x14ac:dyDescent="0.25"/>
    <row r="198" ht="17.100000000000001" hidden="1" customHeight="1" x14ac:dyDescent="0.25"/>
    <row r="199" ht="17.100000000000001" hidden="1" customHeight="1" x14ac:dyDescent="0.25"/>
    <row r="200" ht="17.100000000000001" hidden="1" customHeight="1" x14ac:dyDescent="0.25"/>
    <row r="201" ht="17.100000000000001" hidden="1" customHeight="1" x14ac:dyDescent="0.25"/>
    <row r="202" ht="17.100000000000001" hidden="1" customHeight="1" x14ac:dyDescent="0.25"/>
    <row r="203" ht="17.100000000000001" hidden="1" customHeight="1" x14ac:dyDescent="0.25"/>
    <row r="204" ht="17.100000000000001" hidden="1" customHeight="1" x14ac:dyDescent="0.25"/>
    <row r="205" ht="17.100000000000001" hidden="1" customHeight="1" x14ac:dyDescent="0.25"/>
    <row r="206" ht="17.100000000000001" hidden="1" customHeight="1" x14ac:dyDescent="0.25"/>
    <row r="207" ht="17.100000000000001" hidden="1" customHeight="1" x14ac:dyDescent="0.25"/>
    <row r="208" ht="17.100000000000001" hidden="1" customHeight="1" x14ac:dyDescent="0.25"/>
    <row r="209" ht="17.100000000000001" hidden="1" customHeight="1" x14ac:dyDescent="0.25"/>
    <row r="210" ht="17.100000000000001" hidden="1" customHeight="1" x14ac:dyDescent="0.25"/>
    <row r="211" ht="17.100000000000001" hidden="1" customHeight="1" x14ac:dyDescent="0.25"/>
    <row r="212" ht="17.100000000000001" hidden="1" customHeight="1" x14ac:dyDescent="0.25"/>
    <row r="213" ht="17.100000000000001" hidden="1" customHeight="1" x14ac:dyDescent="0.25"/>
    <row r="214" ht="17.100000000000001" hidden="1" customHeight="1" x14ac:dyDescent="0.25"/>
    <row r="215" ht="17.100000000000001" hidden="1" customHeight="1" x14ac:dyDescent="0.25"/>
    <row r="216" ht="17.100000000000001" hidden="1" customHeight="1" x14ac:dyDescent="0.25"/>
    <row r="217" ht="17.100000000000001" hidden="1" customHeight="1" x14ac:dyDescent="0.25"/>
    <row r="218" ht="17.100000000000001" hidden="1" customHeight="1" x14ac:dyDescent="0.25"/>
    <row r="219" ht="17.100000000000001" hidden="1" customHeight="1" x14ac:dyDescent="0.25"/>
    <row r="220" ht="17.100000000000001" hidden="1" customHeight="1" x14ac:dyDescent="0.25"/>
    <row r="221" ht="17.100000000000001" hidden="1" customHeight="1" x14ac:dyDescent="0.25"/>
    <row r="222" ht="17.100000000000001" hidden="1" customHeight="1" x14ac:dyDescent="0.25"/>
    <row r="223" ht="17.100000000000001" hidden="1" customHeight="1" x14ac:dyDescent="0.25"/>
    <row r="224" ht="17.100000000000001" hidden="1" customHeight="1" x14ac:dyDescent="0.25"/>
    <row r="225" ht="17.100000000000001" hidden="1" customHeight="1" x14ac:dyDescent="0.25"/>
    <row r="226" ht="17.100000000000001" hidden="1" customHeight="1" x14ac:dyDescent="0.25"/>
    <row r="227" ht="17.100000000000001" hidden="1" customHeight="1" x14ac:dyDescent="0.25"/>
    <row r="228" ht="17.100000000000001" hidden="1" customHeight="1" x14ac:dyDescent="0.25"/>
    <row r="229" ht="17.100000000000001" hidden="1" customHeight="1" x14ac:dyDescent="0.25"/>
    <row r="230" ht="17.100000000000001" hidden="1" customHeight="1" x14ac:dyDescent="0.25"/>
    <row r="231" ht="17.100000000000001" hidden="1" customHeight="1" x14ac:dyDescent="0.25"/>
    <row r="232" ht="17.100000000000001" hidden="1" customHeight="1" x14ac:dyDescent="0.25"/>
    <row r="233" ht="17.100000000000001" hidden="1" customHeight="1" x14ac:dyDescent="0.25"/>
    <row r="234" ht="17.100000000000001" hidden="1" customHeight="1" x14ac:dyDescent="0.25"/>
    <row r="235" ht="17.100000000000001" hidden="1" customHeight="1" x14ac:dyDescent="0.25"/>
    <row r="236" ht="17.100000000000001" hidden="1" customHeight="1" x14ac:dyDescent="0.25"/>
    <row r="237" ht="17.100000000000001" hidden="1" customHeight="1" x14ac:dyDescent="0.25"/>
    <row r="238" ht="17.100000000000001" hidden="1" customHeight="1" x14ac:dyDescent="0.25"/>
    <row r="239" ht="17.100000000000001" hidden="1" customHeight="1" x14ac:dyDescent="0.25"/>
    <row r="240" ht="17.100000000000001" hidden="1" customHeight="1" x14ac:dyDescent="0.25"/>
    <row r="241" ht="17.100000000000001" hidden="1" customHeight="1" x14ac:dyDescent="0.25"/>
    <row r="242" ht="17.100000000000001" hidden="1" customHeight="1" x14ac:dyDescent="0.25"/>
    <row r="243" ht="17.100000000000001" hidden="1" customHeight="1" x14ac:dyDescent="0.25"/>
    <row r="244" ht="17.100000000000001" hidden="1" customHeight="1" x14ac:dyDescent="0.25"/>
    <row r="245" ht="17.100000000000001" hidden="1" customHeight="1" x14ac:dyDescent="0.25"/>
    <row r="246" ht="17.100000000000001" hidden="1" customHeight="1" x14ac:dyDescent="0.25"/>
    <row r="247" ht="17.100000000000001" hidden="1" customHeight="1" x14ac:dyDescent="0.25"/>
    <row r="248" ht="17.100000000000001" hidden="1" customHeight="1" x14ac:dyDescent="0.25"/>
    <row r="249" ht="17.100000000000001" hidden="1" customHeight="1" x14ac:dyDescent="0.25"/>
    <row r="250" ht="17.100000000000001" hidden="1" customHeight="1" x14ac:dyDescent="0.25"/>
    <row r="251" ht="17.100000000000001" hidden="1" customHeight="1" x14ac:dyDescent="0.25"/>
    <row r="252" ht="17.100000000000001" hidden="1" customHeight="1" x14ac:dyDescent="0.25"/>
    <row r="253" ht="17.100000000000001" hidden="1" customHeight="1" x14ac:dyDescent="0.25"/>
    <row r="254" ht="17.100000000000001" hidden="1" customHeight="1" x14ac:dyDescent="0.25"/>
    <row r="255" ht="17.100000000000001" hidden="1" customHeight="1" x14ac:dyDescent="0.25"/>
    <row r="256" ht="17.100000000000001" hidden="1" customHeight="1" x14ac:dyDescent="0.25"/>
    <row r="257" ht="17.100000000000001" hidden="1" customHeight="1" x14ac:dyDescent="0.25"/>
    <row r="258" ht="17.100000000000001" hidden="1" customHeight="1" x14ac:dyDescent="0.25"/>
    <row r="259" ht="17.100000000000001" hidden="1" customHeight="1" x14ac:dyDescent="0.25"/>
    <row r="260" ht="17.100000000000001" hidden="1" customHeight="1" x14ac:dyDescent="0.25"/>
    <row r="261" ht="17.100000000000001" hidden="1" customHeight="1" x14ac:dyDescent="0.25"/>
    <row r="262" ht="17.100000000000001" hidden="1" customHeight="1" x14ac:dyDescent="0.25"/>
    <row r="263" ht="17.100000000000001" hidden="1" customHeight="1" x14ac:dyDescent="0.25"/>
    <row r="264" ht="17.100000000000001" hidden="1" customHeight="1" x14ac:dyDescent="0.25"/>
    <row r="265" ht="17.100000000000001" hidden="1" customHeight="1" x14ac:dyDescent="0.25"/>
    <row r="266" ht="17.100000000000001" hidden="1" customHeight="1" x14ac:dyDescent="0.25"/>
    <row r="267" ht="17.100000000000001" hidden="1" customHeight="1" x14ac:dyDescent="0.25"/>
    <row r="268" ht="17.100000000000001" hidden="1" customHeight="1" x14ac:dyDescent="0.25"/>
    <row r="269" ht="17.100000000000001" hidden="1" customHeight="1" x14ac:dyDescent="0.25"/>
    <row r="270" ht="17.100000000000001" hidden="1" customHeight="1" x14ac:dyDescent="0.25"/>
    <row r="271" ht="17.100000000000001" hidden="1" customHeight="1" x14ac:dyDescent="0.25"/>
    <row r="272" ht="17.100000000000001" hidden="1" customHeight="1" x14ac:dyDescent="0.25"/>
    <row r="273" ht="17.100000000000001" hidden="1" customHeight="1" x14ac:dyDescent="0.25"/>
    <row r="274" ht="17.100000000000001" hidden="1" customHeight="1" x14ac:dyDescent="0.25"/>
    <row r="275" ht="17.100000000000001" hidden="1" customHeight="1" x14ac:dyDescent="0.25"/>
    <row r="276" ht="17.100000000000001" hidden="1" customHeight="1" x14ac:dyDescent="0.25"/>
    <row r="277" ht="17.100000000000001" hidden="1" customHeight="1" x14ac:dyDescent="0.25"/>
    <row r="278" ht="17.100000000000001" hidden="1" customHeight="1" x14ac:dyDescent="0.25"/>
    <row r="279" ht="17.100000000000001" hidden="1" customHeight="1" x14ac:dyDescent="0.25"/>
    <row r="280" ht="17.100000000000001" hidden="1" customHeight="1" x14ac:dyDescent="0.25"/>
    <row r="281" ht="17.100000000000001" hidden="1" customHeight="1" x14ac:dyDescent="0.25"/>
    <row r="282" ht="17.100000000000001" hidden="1" customHeight="1" x14ac:dyDescent="0.25"/>
    <row r="283" ht="17.100000000000001" hidden="1" customHeight="1" x14ac:dyDescent="0.25"/>
    <row r="284" ht="17.100000000000001" hidden="1" customHeight="1" x14ac:dyDescent="0.25"/>
    <row r="285" ht="17.100000000000001" hidden="1" customHeight="1" x14ac:dyDescent="0.25"/>
    <row r="286" ht="17.100000000000001" hidden="1" customHeight="1" x14ac:dyDescent="0.25"/>
    <row r="287" ht="17.100000000000001" hidden="1" customHeight="1" x14ac:dyDescent="0.25"/>
    <row r="288" ht="17.100000000000001" hidden="1" customHeight="1" x14ac:dyDescent="0.25"/>
    <row r="289" ht="17.100000000000001" hidden="1" customHeight="1" x14ac:dyDescent="0.25"/>
    <row r="290" ht="17.100000000000001" hidden="1" customHeight="1" x14ac:dyDescent="0.25"/>
    <row r="291" ht="17.100000000000001" hidden="1" customHeight="1" x14ac:dyDescent="0.25"/>
    <row r="292" ht="17.100000000000001" hidden="1" customHeight="1" x14ac:dyDescent="0.25"/>
    <row r="293" ht="17.100000000000001" hidden="1" customHeight="1" x14ac:dyDescent="0.25"/>
    <row r="294" ht="17.100000000000001" hidden="1" customHeight="1" x14ac:dyDescent="0.25"/>
    <row r="295" ht="17.100000000000001" hidden="1" customHeight="1" x14ac:dyDescent="0.25"/>
    <row r="296" hidden="1" x14ac:dyDescent="0.25"/>
    <row r="297" hidden="1" x14ac:dyDescent="0.25"/>
    <row r="298" hidden="1" x14ac:dyDescent="0.25"/>
  </sheetData>
  <mergeCells count="615">
    <mergeCell ref="AF75:AG75"/>
    <mergeCell ref="AH75:AI75"/>
    <mergeCell ref="S75:T75"/>
    <mergeCell ref="Q75:R75"/>
    <mergeCell ref="B75:C75"/>
    <mergeCell ref="D75:E75"/>
    <mergeCell ref="AL73:AM73"/>
    <mergeCell ref="AN73:AO73"/>
    <mergeCell ref="B5:AS5"/>
    <mergeCell ref="AR71:AS71"/>
    <mergeCell ref="B73:C73"/>
    <mergeCell ref="D73:E73"/>
    <mergeCell ref="F73:G73"/>
    <mergeCell ref="H73:I73"/>
    <mergeCell ref="J73:K73"/>
    <mergeCell ref="AP73:AQ73"/>
    <mergeCell ref="AR73:AS73"/>
    <mergeCell ref="AC73:AD73"/>
    <mergeCell ref="AF73:AG73"/>
    <mergeCell ref="AH73:AI73"/>
    <mergeCell ref="AJ73:AK73"/>
    <mergeCell ref="AP71:AQ71"/>
    <mergeCell ref="AA71:AB71"/>
    <mergeCell ref="AC71:AD71"/>
    <mergeCell ref="L73:M73"/>
    <mergeCell ref="N73:O73"/>
    <mergeCell ref="Q73:R73"/>
    <mergeCell ref="S73:T73"/>
    <mergeCell ref="AJ71:AK71"/>
    <mergeCell ref="AL71:AM71"/>
    <mergeCell ref="S71:T71"/>
    <mergeCell ref="U71:V71"/>
    <mergeCell ref="W71:X71"/>
    <mergeCell ref="Y71:Z71"/>
    <mergeCell ref="U73:V73"/>
    <mergeCell ref="W73:X73"/>
    <mergeCell ref="Y73:Z73"/>
    <mergeCell ref="AA73:AB73"/>
    <mergeCell ref="J71:K71"/>
    <mergeCell ref="L71:M71"/>
    <mergeCell ref="N71:O71"/>
    <mergeCell ref="Q71:R71"/>
    <mergeCell ref="B71:C71"/>
    <mergeCell ref="D71:E71"/>
    <mergeCell ref="F71:G71"/>
    <mergeCell ref="H71:I71"/>
    <mergeCell ref="AN71:AO71"/>
    <mergeCell ref="AF71:AG71"/>
    <mergeCell ref="AH71:AI71"/>
    <mergeCell ref="B69:C69"/>
    <mergeCell ref="D69:E69"/>
    <mergeCell ref="F69:G69"/>
    <mergeCell ref="H69:I69"/>
    <mergeCell ref="J69:K69"/>
    <mergeCell ref="AL69:AM69"/>
    <mergeCell ref="AN69:AO69"/>
    <mergeCell ref="AP69:AQ69"/>
    <mergeCell ref="AR69:AS69"/>
    <mergeCell ref="AC69:AD69"/>
    <mergeCell ref="AF69:AG69"/>
    <mergeCell ref="AH69:AI69"/>
    <mergeCell ref="AJ69:AK69"/>
    <mergeCell ref="L69:M69"/>
    <mergeCell ref="N69:O69"/>
    <mergeCell ref="Q69:R69"/>
    <mergeCell ref="S69:T69"/>
    <mergeCell ref="AJ67:AK67"/>
    <mergeCell ref="AL67:AM67"/>
    <mergeCell ref="S67:T67"/>
    <mergeCell ref="U67:V67"/>
    <mergeCell ref="W67:X67"/>
    <mergeCell ref="Y67:Z67"/>
    <mergeCell ref="U69:V69"/>
    <mergeCell ref="W69:X69"/>
    <mergeCell ref="Y69:Z69"/>
    <mergeCell ref="AA69:AB69"/>
    <mergeCell ref="AP65:AQ65"/>
    <mergeCell ref="AR65:AS65"/>
    <mergeCell ref="B67:C67"/>
    <mergeCell ref="D67:E67"/>
    <mergeCell ref="F67:G67"/>
    <mergeCell ref="H67:I67"/>
    <mergeCell ref="J67:K67"/>
    <mergeCell ref="L67:M67"/>
    <mergeCell ref="N67:O67"/>
    <mergeCell ref="Q67:R67"/>
    <mergeCell ref="AN67:AO67"/>
    <mergeCell ref="AP67:AQ67"/>
    <mergeCell ref="AA67:AB67"/>
    <mergeCell ref="AC67:AD67"/>
    <mergeCell ref="AF67:AG67"/>
    <mergeCell ref="AH67:AI67"/>
    <mergeCell ref="AR67:AS67"/>
    <mergeCell ref="J65:K65"/>
    <mergeCell ref="L65:M65"/>
    <mergeCell ref="AH65:AI65"/>
    <mergeCell ref="AJ65:AK65"/>
    <mergeCell ref="AL65:AM65"/>
    <mergeCell ref="AN65:AO65"/>
    <mergeCell ref="Y65:Z65"/>
    <mergeCell ref="AC65:AD65"/>
    <mergeCell ref="AF65:AG65"/>
    <mergeCell ref="U65:V65"/>
    <mergeCell ref="W65:X65"/>
    <mergeCell ref="Q57:R57"/>
    <mergeCell ref="B57:C57"/>
    <mergeCell ref="D57:E57"/>
    <mergeCell ref="AL55:AM55"/>
    <mergeCell ref="U55:V55"/>
    <mergeCell ref="W55:X55"/>
    <mergeCell ref="Y55:Z55"/>
    <mergeCell ref="AA55:AB55"/>
    <mergeCell ref="N65:O65"/>
    <mergeCell ref="Q65:R65"/>
    <mergeCell ref="S65:T65"/>
    <mergeCell ref="AF57:AG57"/>
    <mergeCell ref="AH57:AI57"/>
    <mergeCell ref="S57:T57"/>
    <mergeCell ref="AC64:AD64"/>
    <mergeCell ref="AF64:AG64"/>
    <mergeCell ref="AH64:AI64"/>
    <mergeCell ref="AF61:AL62"/>
    <mergeCell ref="B65:C65"/>
    <mergeCell ref="D65:E65"/>
    <mergeCell ref="F65:G65"/>
    <mergeCell ref="H65:I65"/>
    <mergeCell ref="AP53:AQ53"/>
    <mergeCell ref="AA53:AB53"/>
    <mergeCell ref="AC53:AD53"/>
    <mergeCell ref="AF53:AG53"/>
    <mergeCell ref="AH53:AI53"/>
    <mergeCell ref="AR53:AS53"/>
    <mergeCell ref="AN55:AO55"/>
    <mergeCell ref="AP55:AQ55"/>
    <mergeCell ref="AR55:AS55"/>
    <mergeCell ref="AC55:AD55"/>
    <mergeCell ref="AF55:AG55"/>
    <mergeCell ref="AH55:AI55"/>
    <mergeCell ref="AJ55:AK55"/>
    <mergeCell ref="AP64:AQ64"/>
    <mergeCell ref="AR64:AS64"/>
    <mergeCell ref="AJ64:AK64"/>
    <mergeCell ref="U64:V64"/>
    <mergeCell ref="W64:X64"/>
    <mergeCell ref="Y64:Z64"/>
    <mergeCell ref="AA64:AB64"/>
    <mergeCell ref="AA65:AB65"/>
    <mergeCell ref="B55:C55"/>
    <mergeCell ref="D55:E55"/>
    <mergeCell ref="F55:G55"/>
    <mergeCell ref="H55:I55"/>
    <mergeCell ref="J55:K55"/>
    <mergeCell ref="L55:M55"/>
    <mergeCell ref="N55:O55"/>
    <mergeCell ref="Q55:R55"/>
    <mergeCell ref="S55:T55"/>
    <mergeCell ref="B53:C53"/>
    <mergeCell ref="D53:E53"/>
    <mergeCell ref="F53:G53"/>
    <mergeCell ref="H53:I53"/>
    <mergeCell ref="AL51:AM51"/>
    <mergeCell ref="AN51:AO51"/>
    <mergeCell ref="U51:V51"/>
    <mergeCell ref="W51:X51"/>
    <mergeCell ref="Y51:Z51"/>
    <mergeCell ref="AA51:AB51"/>
    <mergeCell ref="S53:T53"/>
    <mergeCell ref="U53:V53"/>
    <mergeCell ref="W53:X53"/>
    <mergeCell ref="Y53:Z53"/>
    <mergeCell ref="J53:K53"/>
    <mergeCell ref="L53:M53"/>
    <mergeCell ref="N53:O53"/>
    <mergeCell ref="Q53:R53"/>
    <mergeCell ref="AJ53:AK53"/>
    <mergeCell ref="AL53:AM53"/>
    <mergeCell ref="AN53:AO53"/>
    <mergeCell ref="AP49:AQ49"/>
    <mergeCell ref="AA49:AB49"/>
    <mergeCell ref="AC49:AD49"/>
    <mergeCell ref="AF49:AG49"/>
    <mergeCell ref="AH49:AI49"/>
    <mergeCell ref="AR49:AS49"/>
    <mergeCell ref="B51:C51"/>
    <mergeCell ref="D51:E51"/>
    <mergeCell ref="F51:G51"/>
    <mergeCell ref="H51:I51"/>
    <mergeCell ref="J51:K51"/>
    <mergeCell ref="L51:M51"/>
    <mergeCell ref="N51:O51"/>
    <mergeCell ref="Q51:R51"/>
    <mergeCell ref="S51:T51"/>
    <mergeCell ref="AP51:AQ51"/>
    <mergeCell ref="AR51:AS51"/>
    <mergeCell ref="AC51:AD51"/>
    <mergeCell ref="AF51:AG51"/>
    <mergeCell ref="AH51:AI51"/>
    <mergeCell ref="AJ51:AK51"/>
    <mergeCell ref="B49:C49"/>
    <mergeCell ref="D49:E49"/>
    <mergeCell ref="F49:G49"/>
    <mergeCell ref="H49:I49"/>
    <mergeCell ref="AL47:AM47"/>
    <mergeCell ref="AN47:AO47"/>
    <mergeCell ref="U47:V47"/>
    <mergeCell ref="W47:X47"/>
    <mergeCell ref="Y47:Z47"/>
    <mergeCell ref="AA47:AB47"/>
    <mergeCell ref="S49:T49"/>
    <mergeCell ref="U49:V49"/>
    <mergeCell ref="W49:X49"/>
    <mergeCell ref="Y49:Z49"/>
    <mergeCell ref="J49:K49"/>
    <mergeCell ref="L49:M49"/>
    <mergeCell ref="N49:O49"/>
    <mergeCell ref="Q49:R49"/>
    <mergeCell ref="AJ49:AK49"/>
    <mergeCell ref="AL49:AM49"/>
    <mergeCell ref="AN49:AO49"/>
    <mergeCell ref="AP47:AQ47"/>
    <mergeCell ref="AR47:AS47"/>
    <mergeCell ref="AC47:AD47"/>
    <mergeCell ref="AF47:AG47"/>
    <mergeCell ref="AH47:AI47"/>
    <mergeCell ref="AJ47:AK47"/>
    <mergeCell ref="N47:O47"/>
    <mergeCell ref="Q47:R47"/>
    <mergeCell ref="S47:T47"/>
    <mergeCell ref="AA46:AB46"/>
    <mergeCell ref="AC46:AD46"/>
    <mergeCell ref="AF46:AG46"/>
    <mergeCell ref="AH46:AI46"/>
    <mergeCell ref="S46:T46"/>
    <mergeCell ref="U46:V46"/>
    <mergeCell ref="B47:C47"/>
    <mergeCell ref="D47:E47"/>
    <mergeCell ref="F47:G47"/>
    <mergeCell ref="H47:I47"/>
    <mergeCell ref="J47:K47"/>
    <mergeCell ref="L47:M47"/>
    <mergeCell ref="Q39:R39"/>
    <mergeCell ref="B39:C39"/>
    <mergeCell ref="D39:E39"/>
    <mergeCell ref="AL37:AM37"/>
    <mergeCell ref="U37:V37"/>
    <mergeCell ref="W37:X37"/>
    <mergeCell ref="Y37:Z37"/>
    <mergeCell ref="AA37:AB37"/>
    <mergeCell ref="AP35:AQ35"/>
    <mergeCell ref="AA35:AB35"/>
    <mergeCell ref="AC35:AD35"/>
    <mergeCell ref="AF35:AG35"/>
    <mergeCell ref="AH35:AI35"/>
    <mergeCell ref="AJ39:AK39"/>
    <mergeCell ref="AL39:AM39"/>
    <mergeCell ref="F39:G39"/>
    <mergeCell ref="H39:I39"/>
    <mergeCell ref="AF39:AG39"/>
    <mergeCell ref="AH39:AI39"/>
    <mergeCell ref="S39:T39"/>
    <mergeCell ref="AR35:AS35"/>
    <mergeCell ref="B37:C37"/>
    <mergeCell ref="D37:E37"/>
    <mergeCell ref="F37:G37"/>
    <mergeCell ref="H37:I37"/>
    <mergeCell ref="J37:K37"/>
    <mergeCell ref="L37:M37"/>
    <mergeCell ref="N37:O37"/>
    <mergeCell ref="Q37:R37"/>
    <mergeCell ref="S37:T37"/>
    <mergeCell ref="AN37:AO37"/>
    <mergeCell ref="AP37:AQ37"/>
    <mergeCell ref="AR37:AS37"/>
    <mergeCell ref="AC37:AD37"/>
    <mergeCell ref="AF37:AG37"/>
    <mergeCell ref="AH37:AI37"/>
    <mergeCell ref="AJ37:AK37"/>
    <mergeCell ref="B35:C35"/>
    <mergeCell ref="D35:E35"/>
    <mergeCell ref="F35:G35"/>
    <mergeCell ref="H35:I35"/>
    <mergeCell ref="AL33:AM33"/>
    <mergeCell ref="AN33:AO33"/>
    <mergeCell ref="U33:V33"/>
    <mergeCell ref="W33:X33"/>
    <mergeCell ref="Y33:Z33"/>
    <mergeCell ref="AA33:AB33"/>
    <mergeCell ref="S35:T35"/>
    <mergeCell ref="U35:V35"/>
    <mergeCell ref="W35:X35"/>
    <mergeCell ref="Y35:Z35"/>
    <mergeCell ref="J35:K35"/>
    <mergeCell ref="L35:M35"/>
    <mergeCell ref="N35:O35"/>
    <mergeCell ref="Q35:R35"/>
    <mergeCell ref="AJ35:AK35"/>
    <mergeCell ref="AL35:AM35"/>
    <mergeCell ref="AN35:AO35"/>
    <mergeCell ref="B33:C33"/>
    <mergeCell ref="D33:E33"/>
    <mergeCell ref="B31:C31"/>
    <mergeCell ref="D31:E31"/>
    <mergeCell ref="F31:G31"/>
    <mergeCell ref="H31:I31"/>
    <mergeCell ref="J31:K31"/>
    <mergeCell ref="L31:M31"/>
    <mergeCell ref="N31:O31"/>
    <mergeCell ref="Q31:R31"/>
    <mergeCell ref="AJ33:AK33"/>
    <mergeCell ref="AL29:AM29"/>
    <mergeCell ref="AN29:AO29"/>
    <mergeCell ref="U29:V29"/>
    <mergeCell ref="W29:X29"/>
    <mergeCell ref="Y29:Z29"/>
    <mergeCell ref="AA29:AB29"/>
    <mergeCell ref="S31:T31"/>
    <mergeCell ref="U31:V31"/>
    <mergeCell ref="W31:X31"/>
    <mergeCell ref="Y31:Z31"/>
    <mergeCell ref="AJ31:AK31"/>
    <mergeCell ref="AL31:AM31"/>
    <mergeCell ref="AN31:AO31"/>
    <mergeCell ref="AA31:AB31"/>
    <mergeCell ref="AC31:AD31"/>
    <mergeCell ref="AF31:AG31"/>
    <mergeCell ref="AF17:AG17"/>
    <mergeCell ref="AH17:AI17"/>
    <mergeCell ref="AJ17:AK17"/>
    <mergeCell ref="AL17:AM17"/>
    <mergeCell ref="AN17:AO17"/>
    <mergeCell ref="AP17:AQ17"/>
    <mergeCell ref="AR17:AS17"/>
    <mergeCell ref="AN19:AO19"/>
    <mergeCell ref="AP19:AQ19"/>
    <mergeCell ref="AR19:AS19"/>
    <mergeCell ref="AF19:AG19"/>
    <mergeCell ref="AH19:AI19"/>
    <mergeCell ref="AJ19:AK19"/>
    <mergeCell ref="AL19:AM19"/>
    <mergeCell ref="AN11:AO11"/>
    <mergeCell ref="AP11:AQ11"/>
    <mergeCell ref="AJ11:AK11"/>
    <mergeCell ref="AL11:AM11"/>
    <mergeCell ref="AN15:AO15"/>
    <mergeCell ref="AP15:AQ15"/>
    <mergeCell ref="AR11:AS11"/>
    <mergeCell ref="AF13:AG13"/>
    <mergeCell ref="AH13:AI13"/>
    <mergeCell ref="AJ13:AK13"/>
    <mergeCell ref="AL13:AM13"/>
    <mergeCell ref="AN13:AO13"/>
    <mergeCell ref="AP13:AQ13"/>
    <mergeCell ref="AR13:AS13"/>
    <mergeCell ref="AF11:AG11"/>
    <mergeCell ref="AH11:AI11"/>
    <mergeCell ref="AR15:AS15"/>
    <mergeCell ref="AF15:AG15"/>
    <mergeCell ref="AH15:AI15"/>
    <mergeCell ref="AJ15:AK15"/>
    <mergeCell ref="AL15:AM15"/>
    <mergeCell ref="B61:H62"/>
    <mergeCell ref="Q61:W62"/>
    <mergeCell ref="B43:H44"/>
    <mergeCell ref="Q43:W44"/>
    <mergeCell ref="B46:C46"/>
    <mergeCell ref="D46:E46"/>
    <mergeCell ref="S13:T13"/>
    <mergeCell ref="U13:V13"/>
    <mergeCell ref="W13:X13"/>
    <mergeCell ref="Q17:R17"/>
    <mergeCell ref="S17:T17"/>
    <mergeCell ref="U17:V17"/>
    <mergeCell ref="W17:X17"/>
    <mergeCell ref="Q21:R21"/>
    <mergeCell ref="S21:T21"/>
    <mergeCell ref="Q19:R19"/>
    <mergeCell ref="S19:T19"/>
    <mergeCell ref="U19:V19"/>
    <mergeCell ref="W19:X19"/>
    <mergeCell ref="F33:G33"/>
    <mergeCell ref="H33:I33"/>
    <mergeCell ref="J33:K33"/>
    <mergeCell ref="L33:M33"/>
    <mergeCell ref="N33:O33"/>
    <mergeCell ref="AL64:AM64"/>
    <mergeCell ref="AN64:AO64"/>
    <mergeCell ref="AJ46:AK46"/>
    <mergeCell ref="AL46:AM46"/>
    <mergeCell ref="AN46:AO46"/>
    <mergeCell ref="AL28:AM28"/>
    <mergeCell ref="AA13:AB13"/>
    <mergeCell ref="AC13:AD13"/>
    <mergeCell ref="U11:V11"/>
    <mergeCell ref="W11:X11"/>
    <mergeCell ref="Y11:Z11"/>
    <mergeCell ref="AA11:AB11"/>
    <mergeCell ref="AN28:AO28"/>
    <mergeCell ref="Y13:Z13"/>
    <mergeCell ref="Y15:Z15"/>
    <mergeCell ref="AA15:AB15"/>
    <mergeCell ref="AC15:AD15"/>
    <mergeCell ref="Y17:Z17"/>
    <mergeCell ref="AA17:AB17"/>
    <mergeCell ref="AC17:AD17"/>
    <mergeCell ref="Y19:Z19"/>
    <mergeCell ref="AA19:AB19"/>
    <mergeCell ref="AC19:AD19"/>
    <mergeCell ref="AA21:AB21"/>
    <mergeCell ref="B64:C64"/>
    <mergeCell ref="D64:E64"/>
    <mergeCell ref="F64:G64"/>
    <mergeCell ref="H64:I64"/>
    <mergeCell ref="J64:K64"/>
    <mergeCell ref="L64:M64"/>
    <mergeCell ref="N64:O64"/>
    <mergeCell ref="Q64:R64"/>
    <mergeCell ref="S64:T64"/>
    <mergeCell ref="AP28:AQ28"/>
    <mergeCell ref="AR28:AS28"/>
    <mergeCell ref="AC28:AD28"/>
    <mergeCell ref="AF28:AG28"/>
    <mergeCell ref="AH28:AI28"/>
    <mergeCell ref="AJ28:AK28"/>
    <mergeCell ref="AP46:AQ46"/>
    <mergeCell ref="Y46:Z46"/>
    <mergeCell ref="AR46:AS46"/>
    <mergeCell ref="AP29:AQ29"/>
    <mergeCell ref="AR29:AS29"/>
    <mergeCell ref="AC29:AD29"/>
    <mergeCell ref="AF29:AG29"/>
    <mergeCell ref="AH29:AI29"/>
    <mergeCell ref="AJ29:AK29"/>
    <mergeCell ref="AP31:AQ31"/>
    <mergeCell ref="AH31:AI31"/>
    <mergeCell ref="AR31:AS31"/>
    <mergeCell ref="AP33:AQ33"/>
    <mergeCell ref="AR33:AS33"/>
    <mergeCell ref="AC33:AD33"/>
    <mergeCell ref="AF33:AG33"/>
    <mergeCell ref="AH33:AI33"/>
    <mergeCell ref="AF43:AL44"/>
    <mergeCell ref="F46:G46"/>
    <mergeCell ref="AR10:AS10"/>
    <mergeCell ref="B28:C28"/>
    <mergeCell ref="D28:E28"/>
    <mergeCell ref="F28:G28"/>
    <mergeCell ref="H28:I28"/>
    <mergeCell ref="J28:K28"/>
    <mergeCell ref="L28:M28"/>
    <mergeCell ref="N28:O28"/>
    <mergeCell ref="AF10:AG10"/>
    <mergeCell ref="AH10:AI10"/>
    <mergeCell ref="U28:V28"/>
    <mergeCell ref="W28:X28"/>
    <mergeCell ref="Y28:Z28"/>
    <mergeCell ref="AA28:AB28"/>
    <mergeCell ref="AN10:AO10"/>
    <mergeCell ref="AP10:AQ10"/>
    <mergeCell ref="H46:I46"/>
    <mergeCell ref="W46:X46"/>
    <mergeCell ref="AF25:AL26"/>
    <mergeCell ref="B25:H26"/>
    <mergeCell ref="Q25:W26"/>
    <mergeCell ref="J46:K46"/>
    <mergeCell ref="L46:M46"/>
    <mergeCell ref="AF7:AL8"/>
    <mergeCell ref="Q7:W8"/>
    <mergeCell ref="J10:K10"/>
    <mergeCell ref="L10:M10"/>
    <mergeCell ref="N10:O10"/>
    <mergeCell ref="AA10:AB10"/>
    <mergeCell ref="AC10:AD10"/>
    <mergeCell ref="AJ10:AK10"/>
    <mergeCell ref="AL10:AM10"/>
    <mergeCell ref="W10:X10"/>
    <mergeCell ref="Y10:Z10"/>
    <mergeCell ref="U10:V10"/>
    <mergeCell ref="N46:O46"/>
    <mergeCell ref="Q46:R46"/>
    <mergeCell ref="S15:T15"/>
    <mergeCell ref="U15:V15"/>
    <mergeCell ref="W15:X15"/>
    <mergeCell ref="AC11:AD11"/>
    <mergeCell ref="N19:O19"/>
    <mergeCell ref="L19:M19"/>
    <mergeCell ref="J19:K19"/>
    <mergeCell ref="Q29:R29"/>
    <mergeCell ref="Q28:R28"/>
    <mergeCell ref="S28:T28"/>
    <mergeCell ref="Y39:Z39"/>
    <mergeCell ref="AA39:AB39"/>
    <mergeCell ref="AC39:AD39"/>
    <mergeCell ref="J39:K39"/>
    <mergeCell ref="L39:M39"/>
    <mergeCell ref="N39:O39"/>
    <mergeCell ref="U39:V39"/>
    <mergeCell ref="Q11:R11"/>
    <mergeCell ref="S11:T11"/>
    <mergeCell ref="Q15:R15"/>
    <mergeCell ref="Q33:R33"/>
    <mergeCell ref="S33:T33"/>
    <mergeCell ref="Q10:R10"/>
    <mergeCell ref="S10:T10"/>
    <mergeCell ref="B29:C29"/>
    <mergeCell ref="D29:E29"/>
    <mergeCell ref="F29:G29"/>
    <mergeCell ref="H29:I29"/>
    <mergeCell ref="S29:T29"/>
    <mergeCell ref="J29:K29"/>
    <mergeCell ref="L29:M29"/>
    <mergeCell ref="N29:O29"/>
    <mergeCell ref="Q13:R13"/>
    <mergeCell ref="N15:O15"/>
    <mergeCell ref="L15:M15"/>
    <mergeCell ref="J15:K15"/>
    <mergeCell ref="B17:C17"/>
    <mergeCell ref="D17:E17"/>
    <mergeCell ref="F17:G17"/>
    <mergeCell ref="H17:I17"/>
    <mergeCell ref="F11:G11"/>
    <mergeCell ref="H11:I11"/>
    <mergeCell ref="L13:M13"/>
    <mergeCell ref="N13:O13"/>
    <mergeCell ref="B13:C13"/>
    <mergeCell ref="D13:E13"/>
    <mergeCell ref="F13:G13"/>
    <mergeCell ref="H13:I13"/>
    <mergeCell ref="B21:C21"/>
    <mergeCell ref="D21:E21"/>
    <mergeCell ref="H19:I19"/>
    <mergeCell ref="F19:G19"/>
    <mergeCell ref="D19:E19"/>
    <mergeCell ref="B19:C19"/>
    <mergeCell ref="F21:G21"/>
    <mergeCell ref="H21:I21"/>
    <mergeCell ref="B7:H8"/>
    <mergeCell ref="J11:K11"/>
    <mergeCell ref="L11:M11"/>
    <mergeCell ref="AC21:AD21"/>
    <mergeCell ref="AJ21:AK21"/>
    <mergeCell ref="AL21:AM21"/>
    <mergeCell ref="AN21:AO21"/>
    <mergeCell ref="H15:I15"/>
    <mergeCell ref="F15:G15"/>
    <mergeCell ref="D15:E15"/>
    <mergeCell ref="B15:C15"/>
    <mergeCell ref="J17:K17"/>
    <mergeCell ref="L17:M17"/>
    <mergeCell ref="N17:O17"/>
    <mergeCell ref="N11:O11"/>
    <mergeCell ref="B10:C10"/>
    <mergeCell ref="D10:E10"/>
    <mergeCell ref="F10:G10"/>
    <mergeCell ref="H10:I10"/>
    <mergeCell ref="B11:C11"/>
    <mergeCell ref="D11:E11"/>
    <mergeCell ref="J13:K13"/>
    <mergeCell ref="AP21:AQ21"/>
    <mergeCell ref="AR21:AS21"/>
    <mergeCell ref="J21:K21"/>
    <mergeCell ref="L21:M21"/>
    <mergeCell ref="N21:O21"/>
    <mergeCell ref="U21:V21"/>
    <mergeCell ref="W21:X21"/>
    <mergeCell ref="Y21:Z21"/>
    <mergeCell ref="AF21:AG21"/>
    <mergeCell ref="AH21:AI21"/>
    <mergeCell ref="F75:G75"/>
    <mergeCell ref="H75:I75"/>
    <mergeCell ref="J75:K75"/>
    <mergeCell ref="L75:M75"/>
    <mergeCell ref="N75:O75"/>
    <mergeCell ref="U75:V75"/>
    <mergeCell ref="W75:X75"/>
    <mergeCell ref="AR56:AS56"/>
    <mergeCell ref="AJ57:AK57"/>
    <mergeCell ref="AL57:AM57"/>
    <mergeCell ref="AJ56:AK56"/>
    <mergeCell ref="AL56:AM56"/>
    <mergeCell ref="AN56:AO56"/>
    <mergeCell ref="AP56:AQ56"/>
    <mergeCell ref="Y57:Z57"/>
    <mergeCell ref="AA57:AB57"/>
    <mergeCell ref="AC57:AD57"/>
    <mergeCell ref="F57:G57"/>
    <mergeCell ref="H57:I57"/>
    <mergeCell ref="J57:K57"/>
    <mergeCell ref="L57:M57"/>
    <mergeCell ref="N57:O57"/>
    <mergeCell ref="U57:V57"/>
    <mergeCell ref="W57:X57"/>
    <mergeCell ref="AN74:AO74"/>
    <mergeCell ref="AP74:AQ74"/>
    <mergeCell ref="AR74:AS74"/>
    <mergeCell ref="H3:I3"/>
    <mergeCell ref="L38:M38"/>
    <mergeCell ref="L74:M74"/>
    <mergeCell ref="L56:M56"/>
    <mergeCell ref="AL74:AM74"/>
    <mergeCell ref="AP75:AQ75"/>
    <mergeCell ref="AR75:AS75"/>
    <mergeCell ref="J38:K38"/>
    <mergeCell ref="Y75:Z75"/>
    <mergeCell ref="AA75:AB75"/>
    <mergeCell ref="AC75:AD75"/>
    <mergeCell ref="AJ75:AK75"/>
    <mergeCell ref="AL75:AM75"/>
    <mergeCell ref="AN75:AO75"/>
    <mergeCell ref="AN57:AO57"/>
    <mergeCell ref="AP57:AQ57"/>
    <mergeCell ref="AR57:AS57"/>
    <mergeCell ref="AN39:AO39"/>
    <mergeCell ref="AP39:AQ39"/>
    <mergeCell ref="AR39:AS39"/>
    <mergeCell ref="W39:X39"/>
  </mergeCells>
  <phoneticPr fontId="1" type="noConversion"/>
  <conditionalFormatting sqref="B10:AS76">
    <cfRule type="expression" dxfId="5" priority="1">
      <formula>AND(ISEVEN(ROW()),MATCH(A10,HijriEve,0))</formula>
    </cfRule>
    <cfRule type="expression" dxfId="4" priority="2">
      <formula>AND(ISEVEN(ROW()),MATCH(A10,HijriHol,0))</formula>
    </cfRule>
    <cfRule type="expression" dxfId="3" priority="3">
      <formula>AND(ISEVEN(ROW()),MATCH(B10,HijriEve,0))</formula>
    </cfRule>
    <cfRule type="expression" dxfId="2" priority="4">
      <formula>AND(ISEVEN(ROW()),MATCH(B10,HijriHol,0))</formula>
    </cfRule>
    <cfRule type="expression" dxfId="1" priority="5">
      <formula>AND(ISODD(ROW()),MATCH(B10,GregorianHoliday,0))</formula>
    </cfRule>
    <cfRule type="expression" dxfId="0" priority="6">
      <formula>AND(ISODD(ROW()),MATCH(B10,GregorianEvent,0))</formula>
    </cfRule>
  </conditionalFormatting>
  <dataValidations count="1">
    <dataValidation type="list" allowBlank="1" showInputMessage="1" showErrorMessage="1" sqref="F3">
      <formula1>"5,6"</formula1>
    </dataValidation>
  </dataValidations>
  <pageMargins left="0.34" right="0.26" top="0.3" bottom="0.36" header="0.17" footer="0.24"/>
  <pageSetup paperSize="9" scale="47" orientation="portrait" r:id="rId1"/>
  <headerFooter alignWithMargins="0">
    <oddFooter>&amp;C(c) 2019 Exceltemplate.net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9"/>
  <sheetViews>
    <sheetView showGridLines="0" workbookViewId="0">
      <selection activeCell="K10" sqref="K10"/>
    </sheetView>
  </sheetViews>
  <sheetFormatPr defaultColWidth="0" defaultRowHeight="14.4" zeroHeight="1" x14ac:dyDescent="0.25"/>
  <cols>
    <col min="1" max="1" width="3.5546875" style="54" customWidth="1"/>
    <col min="2" max="2" width="10.5546875" style="60" bestFit="1" customWidth="1"/>
    <col min="3" max="3" width="30.77734375" style="61" customWidth="1"/>
    <col min="4" max="4" width="10.21875" style="60" bestFit="1" customWidth="1"/>
    <col min="5" max="5" width="30.77734375" style="61" customWidth="1"/>
    <col min="6" max="6" width="3.77734375" style="63" customWidth="1"/>
    <col min="7" max="7" width="3.77734375" style="62" customWidth="1"/>
    <col min="8" max="8" width="12.21875" style="60" customWidth="1"/>
    <col min="9" max="9" width="30.77734375" style="61" customWidth="1"/>
    <col min="10" max="10" width="3.77734375" style="60" customWidth="1"/>
    <col min="11" max="11" width="13.77734375" style="60" bestFit="1" customWidth="1"/>
    <col min="12" max="12" width="30.77734375" style="61" customWidth="1"/>
    <col min="13" max="13" width="5.44140625" style="53" customWidth="1"/>
    <col min="14" max="14" width="15.109375" style="53" hidden="1" customWidth="1"/>
    <col min="15" max="15" width="3.5546875" style="54" hidden="1" customWidth="1"/>
    <col min="16" max="16" width="9.21875" style="54" hidden="1" customWidth="1"/>
    <col min="17" max="18" width="15.109375" style="54" hidden="1" customWidth="1"/>
    <col min="19" max="19" width="10.109375" style="54" hidden="1" customWidth="1"/>
    <col min="20" max="22" width="0" style="54" hidden="1" customWidth="1"/>
    <col min="23" max="16384" width="9.21875" style="54" hidden="1"/>
  </cols>
  <sheetData>
    <row r="1" spans="2:22" ht="15" customHeight="1" x14ac:dyDescent="0.25"/>
    <row r="2" spans="2:22" ht="15" customHeight="1" x14ac:dyDescent="0.25">
      <c r="B2" s="104" t="s">
        <v>23</v>
      </c>
      <c r="C2" s="104"/>
      <c r="D2" s="104"/>
      <c r="E2" s="104"/>
      <c r="F2" s="68"/>
      <c r="G2" s="104" t="s">
        <v>50</v>
      </c>
      <c r="H2" s="104"/>
      <c r="I2" s="104"/>
      <c r="J2" s="104"/>
      <c r="K2" s="104"/>
      <c r="L2" s="104"/>
    </row>
    <row r="3" spans="2:22" ht="15" customHeight="1" x14ac:dyDescent="0.25">
      <c r="B3" s="107" t="s">
        <v>13</v>
      </c>
      <c r="C3" s="107"/>
      <c r="D3" s="108" t="s">
        <v>15</v>
      </c>
      <c r="E3" s="108"/>
      <c r="F3" s="64"/>
      <c r="G3" s="109" t="s">
        <v>13</v>
      </c>
      <c r="H3" s="109"/>
      <c r="I3" s="109"/>
      <c r="J3" s="110" t="s">
        <v>15</v>
      </c>
      <c r="K3" s="110"/>
      <c r="L3" s="110"/>
      <c r="N3" s="61" t="s">
        <v>59</v>
      </c>
      <c r="S3" s="54" t="s">
        <v>14</v>
      </c>
      <c r="U3" s="54" t="s">
        <v>60</v>
      </c>
      <c r="V3" s="54" t="s">
        <v>61</v>
      </c>
    </row>
    <row r="4" spans="2:22" ht="15" customHeight="1" x14ac:dyDescent="0.25">
      <c r="B4" s="76" t="s">
        <v>14</v>
      </c>
      <c r="C4" s="76" t="s">
        <v>12</v>
      </c>
      <c r="D4" s="77" t="s">
        <v>14</v>
      </c>
      <c r="E4" s="78" t="s">
        <v>12</v>
      </c>
      <c r="F4" s="65"/>
      <c r="G4" s="105" t="s">
        <v>14</v>
      </c>
      <c r="H4" s="105"/>
      <c r="I4" s="80" t="s">
        <v>12</v>
      </c>
      <c r="J4" s="106" t="s">
        <v>14</v>
      </c>
      <c r="K4" s="106"/>
      <c r="L4" s="79" t="s">
        <v>12</v>
      </c>
      <c r="N4" s="61" t="s">
        <v>24</v>
      </c>
      <c r="P4" s="54">
        <v>24</v>
      </c>
      <c r="Q4" s="61" t="s">
        <v>27</v>
      </c>
      <c r="R4" s="61" t="str">
        <f>P4&amp;Q4</f>
        <v>24Rabi-us-Thaani</v>
      </c>
      <c r="S4" s="67">
        <v>43466</v>
      </c>
      <c r="U4" s="54">
        <f t="shared" ref="U4:U23" si="0">IFERROR(VLOOKUP(G5&amp;H5,$R$4:$S$369,2,FALSE),"")</f>
        <v>43620</v>
      </c>
      <c r="V4" s="54">
        <f t="shared" ref="V4:V23" si="1">IFERROR(VLOOKUP(J5&amp;K5,$R$4:$S$369,2,FALSE),"")</f>
        <v>43708</v>
      </c>
    </row>
    <row r="5" spans="2:22" ht="15" customHeight="1" x14ac:dyDescent="0.25">
      <c r="B5" s="55">
        <v>43466</v>
      </c>
      <c r="C5" s="56"/>
      <c r="D5" s="57">
        <v>43470</v>
      </c>
      <c r="E5" s="58"/>
      <c r="F5" s="66"/>
      <c r="G5" s="74">
        <v>1</v>
      </c>
      <c r="H5" s="73" t="s">
        <v>33</v>
      </c>
      <c r="I5" s="56" t="s">
        <v>38</v>
      </c>
      <c r="J5" s="74">
        <v>1</v>
      </c>
      <c r="K5" s="73" t="s">
        <v>24</v>
      </c>
      <c r="L5" s="58" t="s">
        <v>36</v>
      </c>
      <c r="N5" s="61" t="s">
        <v>25</v>
      </c>
      <c r="P5" s="54">
        <f>P4+1</f>
        <v>25</v>
      </c>
      <c r="Q5" s="61" t="str">
        <f>Q4</f>
        <v>Rabi-us-Thaani</v>
      </c>
      <c r="R5" s="61" t="str">
        <f t="shared" ref="R5:R68" si="2">P5&amp;Q5</f>
        <v>25Rabi-us-Thaani</v>
      </c>
      <c r="S5" s="67">
        <f>S4+1</f>
        <v>43467</v>
      </c>
      <c r="U5" s="54">
        <f t="shared" si="0"/>
        <v>43688</v>
      </c>
      <c r="V5" s="54">
        <f t="shared" si="1"/>
        <v>43590</v>
      </c>
    </row>
    <row r="6" spans="2:22" ht="15" customHeight="1" x14ac:dyDescent="0.25">
      <c r="B6" s="55">
        <f>B5+30</f>
        <v>43496</v>
      </c>
      <c r="C6" s="56"/>
      <c r="D6" s="57">
        <f>D5+40</f>
        <v>43510</v>
      </c>
      <c r="E6" s="58"/>
      <c r="F6" s="66"/>
      <c r="G6" s="74">
        <v>10</v>
      </c>
      <c r="H6" s="73" t="s">
        <v>35</v>
      </c>
      <c r="I6" s="56" t="s">
        <v>39</v>
      </c>
      <c r="J6" s="74">
        <v>1</v>
      </c>
      <c r="K6" s="73" t="s">
        <v>32</v>
      </c>
      <c r="L6" s="58" t="s">
        <v>37</v>
      </c>
      <c r="N6" s="61" t="s">
        <v>26</v>
      </c>
      <c r="P6" s="54">
        <f t="shared" ref="P6:P9" si="3">P5+1</f>
        <v>26</v>
      </c>
      <c r="Q6" s="61" t="str">
        <f t="shared" ref="Q6:Q9" si="4">Q5</f>
        <v>Rabi-us-Thaani</v>
      </c>
      <c r="R6" s="61" t="str">
        <f t="shared" si="2"/>
        <v>26Rabi-us-Thaani</v>
      </c>
      <c r="S6" s="67">
        <f t="shared" ref="S6:S69" si="5">S5+1</f>
        <v>43468</v>
      </c>
      <c r="U6" s="54">
        <f t="shared" si="0"/>
        <v>43557</v>
      </c>
      <c r="V6" s="54">
        <f t="shared" si="1"/>
        <v>43717</v>
      </c>
    </row>
    <row r="7" spans="2:22" ht="15" customHeight="1" x14ac:dyDescent="0.25">
      <c r="B7" s="55">
        <f t="shared" ref="B7:B14" si="6">B6+30</f>
        <v>43526</v>
      </c>
      <c r="C7" s="56"/>
      <c r="D7" s="57">
        <f t="shared" ref="D7:D10" si="7">D6+40</f>
        <v>43550</v>
      </c>
      <c r="E7" s="58"/>
      <c r="F7" s="66"/>
      <c r="G7" s="74">
        <v>27</v>
      </c>
      <c r="H7" s="73" t="s">
        <v>30</v>
      </c>
      <c r="I7" s="56" t="s">
        <v>53</v>
      </c>
      <c r="J7" s="74">
        <v>10</v>
      </c>
      <c r="K7" s="73" t="s">
        <v>24</v>
      </c>
      <c r="L7" s="58" t="s">
        <v>51</v>
      </c>
      <c r="N7" s="61" t="s">
        <v>27</v>
      </c>
      <c r="P7" s="54">
        <f t="shared" si="3"/>
        <v>27</v>
      </c>
      <c r="Q7" s="61" t="str">
        <f t="shared" si="4"/>
        <v>Rabi-us-Thaani</v>
      </c>
      <c r="R7" s="61" t="str">
        <f t="shared" si="2"/>
        <v>27Rabi-us-Thaani</v>
      </c>
      <c r="S7" s="67">
        <f t="shared" si="5"/>
        <v>43469</v>
      </c>
      <c r="U7" s="54" t="str">
        <f t="shared" si="0"/>
        <v/>
      </c>
      <c r="V7" s="54">
        <f t="shared" si="1"/>
        <v>43778</v>
      </c>
    </row>
    <row r="8" spans="2:22" ht="15" customHeight="1" x14ac:dyDescent="0.25">
      <c r="B8" s="55">
        <f t="shared" si="6"/>
        <v>43556</v>
      </c>
      <c r="C8" s="56"/>
      <c r="D8" s="57">
        <f t="shared" si="7"/>
        <v>43590</v>
      </c>
      <c r="E8" s="58"/>
      <c r="F8" s="66"/>
      <c r="G8" s="74"/>
      <c r="H8" s="73"/>
      <c r="I8" s="56"/>
      <c r="J8" s="74">
        <v>12</v>
      </c>
      <c r="K8" s="73" t="s">
        <v>26</v>
      </c>
      <c r="L8" s="58" t="s">
        <v>52</v>
      </c>
      <c r="N8" s="61" t="s">
        <v>28</v>
      </c>
      <c r="P8" s="54">
        <f t="shared" si="3"/>
        <v>28</v>
      </c>
      <c r="Q8" s="61" t="str">
        <f t="shared" si="4"/>
        <v>Rabi-us-Thaani</v>
      </c>
      <c r="R8" s="61" t="str">
        <f t="shared" si="2"/>
        <v>28Rabi-us-Thaani</v>
      </c>
      <c r="S8" s="67">
        <f t="shared" si="5"/>
        <v>43470</v>
      </c>
      <c r="U8" s="54" t="str">
        <f t="shared" si="0"/>
        <v/>
      </c>
      <c r="V8" s="54" t="str">
        <f t="shared" si="1"/>
        <v/>
      </c>
    </row>
    <row r="9" spans="2:22" ht="15" customHeight="1" x14ac:dyDescent="0.25">
      <c r="B9" s="55">
        <f t="shared" si="6"/>
        <v>43586</v>
      </c>
      <c r="C9" s="56"/>
      <c r="D9" s="57">
        <f t="shared" si="7"/>
        <v>43630</v>
      </c>
      <c r="E9" s="58"/>
      <c r="F9" s="66"/>
      <c r="G9" s="74"/>
      <c r="H9" s="73"/>
      <c r="I9" s="56"/>
      <c r="J9" s="74"/>
      <c r="K9" s="73"/>
      <c r="L9" s="58"/>
      <c r="N9" s="61" t="s">
        <v>29</v>
      </c>
      <c r="P9" s="54">
        <f t="shared" si="3"/>
        <v>29</v>
      </c>
      <c r="Q9" s="61" t="str">
        <f t="shared" si="4"/>
        <v>Rabi-us-Thaani</v>
      </c>
      <c r="R9" s="61" t="str">
        <f t="shared" si="2"/>
        <v>29Rabi-us-Thaani</v>
      </c>
      <c r="S9" s="67">
        <f t="shared" si="5"/>
        <v>43471</v>
      </c>
      <c r="U9" s="54" t="str">
        <f t="shared" si="0"/>
        <v/>
      </c>
      <c r="V9" s="54" t="str">
        <f t="shared" si="1"/>
        <v/>
      </c>
    </row>
    <row r="10" spans="2:22" ht="15" customHeight="1" x14ac:dyDescent="0.25">
      <c r="B10" s="55">
        <f t="shared" si="6"/>
        <v>43616</v>
      </c>
      <c r="C10" s="56"/>
      <c r="D10" s="57">
        <f t="shared" si="7"/>
        <v>43670</v>
      </c>
      <c r="E10" s="58"/>
      <c r="F10" s="66"/>
      <c r="G10" s="74"/>
      <c r="H10" s="73"/>
      <c r="I10" s="56"/>
      <c r="J10" s="74"/>
      <c r="K10" s="73"/>
      <c r="L10" s="58"/>
      <c r="N10" s="61" t="s">
        <v>30</v>
      </c>
      <c r="P10" s="54">
        <v>1</v>
      </c>
      <c r="Q10" s="61" t="s">
        <v>28</v>
      </c>
      <c r="R10" s="61" t="str">
        <f t="shared" si="2"/>
        <v>1Jumad-al-Ula</v>
      </c>
      <c r="S10" s="67">
        <f t="shared" si="5"/>
        <v>43472</v>
      </c>
      <c r="U10" s="54" t="str">
        <f t="shared" si="0"/>
        <v/>
      </c>
      <c r="V10" s="54" t="str">
        <f t="shared" si="1"/>
        <v/>
      </c>
    </row>
    <row r="11" spans="2:22" ht="15" customHeight="1" x14ac:dyDescent="0.25">
      <c r="B11" s="55">
        <f t="shared" si="6"/>
        <v>43646</v>
      </c>
      <c r="C11" s="56"/>
      <c r="D11" s="69"/>
      <c r="E11" s="58"/>
      <c r="F11" s="66"/>
      <c r="G11" s="74"/>
      <c r="H11" s="73"/>
      <c r="I11" s="56"/>
      <c r="J11" s="74"/>
      <c r="K11" s="73"/>
      <c r="L11" s="58"/>
      <c r="N11" s="61" t="s">
        <v>31</v>
      </c>
      <c r="P11" s="54">
        <f t="shared" ref="P11" si="8">P10+1</f>
        <v>2</v>
      </c>
      <c r="Q11" s="61" t="str">
        <f t="shared" ref="Q11" si="9">Q10</f>
        <v>Jumad-al-Ula</v>
      </c>
      <c r="R11" s="61" t="str">
        <f t="shared" si="2"/>
        <v>2Jumad-al-Ula</v>
      </c>
      <c r="S11" s="67">
        <f t="shared" si="5"/>
        <v>43473</v>
      </c>
      <c r="U11" s="54" t="str">
        <f t="shared" si="0"/>
        <v/>
      </c>
      <c r="V11" s="54" t="str">
        <f t="shared" si="1"/>
        <v/>
      </c>
    </row>
    <row r="12" spans="2:22" ht="15" customHeight="1" x14ac:dyDescent="0.25">
      <c r="B12" s="55">
        <f t="shared" si="6"/>
        <v>43676</v>
      </c>
      <c r="C12" s="56"/>
      <c r="D12" s="57"/>
      <c r="E12" s="58"/>
      <c r="F12" s="66"/>
      <c r="G12" s="74"/>
      <c r="H12" s="73"/>
      <c r="I12" s="56"/>
      <c r="J12" s="74"/>
      <c r="K12" s="73"/>
      <c r="L12" s="58"/>
      <c r="N12" s="61" t="s">
        <v>32</v>
      </c>
      <c r="P12" s="54">
        <f t="shared" ref="P12:P35" si="10">P11+1</f>
        <v>3</v>
      </c>
      <c r="Q12" s="61" t="str">
        <f t="shared" ref="Q12:Q35" si="11">Q11</f>
        <v>Jumad-al-Ula</v>
      </c>
      <c r="R12" s="61" t="str">
        <f t="shared" si="2"/>
        <v>3Jumad-al-Ula</v>
      </c>
      <c r="S12" s="67">
        <f t="shared" si="5"/>
        <v>43474</v>
      </c>
      <c r="U12" s="54" t="str">
        <f t="shared" si="0"/>
        <v/>
      </c>
      <c r="V12" s="54" t="str">
        <f t="shared" si="1"/>
        <v/>
      </c>
    </row>
    <row r="13" spans="2:22" ht="15" customHeight="1" x14ac:dyDescent="0.25">
      <c r="B13" s="55">
        <f t="shared" si="6"/>
        <v>43706</v>
      </c>
      <c r="C13" s="56"/>
      <c r="D13" s="57"/>
      <c r="E13" s="58"/>
      <c r="F13" s="66"/>
      <c r="G13" s="74"/>
      <c r="H13" s="73"/>
      <c r="I13" s="56"/>
      <c r="J13" s="74"/>
      <c r="K13" s="73"/>
      <c r="L13" s="58"/>
      <c r="N13" s="61" t="s">
        <v>33</v>
      </c>
      <c r="P13" s="54">
        <f t="shared" si="10"/>
        <v>4</v>
      </c>
      <c r="Q13" s="61" t="str">
        <f t="shared" si="11"/>
        <v>Jumad-al-Ula</v>
      </c>
      <c r="R13" s="61" t="str">
        <f t="shared" si="2"/>
        <v>4Jumad-al-Ula</v>
      </c>
      <c r="S13" s="67">
        <f t="shared" si="5"/>
        <v>43475</v>
      </c>
      <c r="U13" s="54" t="str">
        <f t="shared" si="0"/>
        <v/>
      </c>
      <c r="V13" s="54" t="str">
        <f t="shared" si="1"/>
        <v/>
      </c>
    </row>
    <row r="14" spans="2:22" ht="15" customHeight="1" x14ac:dyDescent="0.25">
      <c r="B14" s="55">
        <f t="shared" si="6"/>
        <v>43736</v>
      </c>
      <c r="C14" s="56"/>
      <c r="D14" s="57"/>
      <c r="E14" s="58"/>
      <c r="F14" s="66"/>
      <c r="G14" s="74"/>
      <c r="H14" s="73"/>
      <c r="I14" s="56"/>
      <c r="J14" s="74"/>
      <c r="K14" s="73"/>
      <c r="L14" s="58"/>
      <c r="N14" s="61" t="s">
        <v>34</v>
      </c>
      <c r="P14" s="54">
        <f t="shared" si="10"/>
        <v>5</v>
      </c>
      <c r="Q14" s="61" t="str">
        <f t="shared" si="11"/>
        <v>Jumad-al-Ula</v>
      </c>
      <c r="R14" s="61" t="str">
        <f t="shared" si="2"/>
        <v>5Jumad-al-Ula</v>
      </c>
      <c r="S14" s="67">
        <f t="shared" si="5"/>
        <v>43476</v>
      </c>
      <c r="U14" s="54" t="str">
        <f t="shared" si="0"/>
        <v/>
      </c>
      <c r="V14" s="54" t="str">
        <f t="shared" si="1"/>
        <v/>
      </c>
    </row>
    <row r="15" spans="2:22" ht="15" customHeight="1" x14ac:dyDescent="0.25">
      <c r="B15" s="69"/>
      <c r="C15" s="58"/>
      <c r="D15" s="57"/>
      <c r="E15" s="58"/>
      <c r="F15" s="66"/>
      <c r="G15" s="75"/>
      <c r="H15" s="73"/>
      <c r="I15" s="58"/>
      <c r="J15" s="74"/>
      <c r="K15" s="73"/>
      <c r="L15" s="58"/>
      <c r="N15" s="61" t="s">
        <v>35</v>
      </c>
      <c r="P15" s="54">
        <f t="shared" si="10"/>
        <v>6</v>
      </c>
      <c r="Q15" s="61" t="str">
        <f t="shared" si="11"/>
        <v>Jumad-al-Ula</v>
      </c>
      <c r="R15" s="61" t="str">
        <f t="shared" si="2"/>
        <v>6Jumad-al-Ula</v>
      </c>
      <c r="S15" s="67">
        <f t="shared" si="5"/>
        <v>43477</v>
      </c>
      <c r="U15" s="54" t="str">
        <f t="shared" si="0"/>
        <v/>
      </c>
      <c r="V15" s="54" t="str">
        <f t="shared" si="1"/>
        <v/>
      </c>
    </row>
    <row r="16" spans="2:22" ht="15" customHeight="1" x14ac:dyDescent="0.25">
      <c r="B16" s="69"/>
      <c r="C16" s="58"/>
      <c r="D16" s="57"/>
      <c r="E16" s="58"/>
      <c r="F16" s="66"/>
      <c r="G16" s="75"/>
      <c r="H16" s="73"/>
      <c r="I16" s="58"/>
      <c r="J16" s="74"/>
      <c r="K16" s="73"/>
      <c r="L16" s="58"/>
      <c r="P16" s="54">
        <f t="shared" si="10"/>
        <v>7</v>
      </c>
      <c r="Q16" s="61" t="str">
        <f t="shared" si="11"/>
        <v>Jumad-al-Ula</v>
      </c>
      <c r="R16" s="61" t="str">
        <f t="shared" si="2"/>
        <v>7Jumad-al-Ula</v>
      </c>
      <c r="S16" s="67">
        <f t="shared" si="5"/>
        <v>43478</v>
      </c>
      <c r="U16" s="54" t="str">
        <f t="shared" si="0"/>
        <v/>
      </c>
      <c r="V16" s="54" t="str">
        <f t="shared" si="1"/>
        <v/>
      </c>
    </row>
    <row r="17" spans="2:22" ht="15" customHeight="1" x14ac:dyDescent="0.25">
      <c r="B17" s="69"/>
      <c r="C17" s="58"/>
      <c r="D17" s="57"/>
      <c r="E17" s="58"/>
      <c r="F17" s="66"/>
      <c r="G17" s="75"/>
      <c r="H17" s="73"/>
      <c r="I17" s="58"/>
      <c r="J17" s="74"/>
      <c r="K17" s="73"/>
      <c r="L17" s="58"/>
      <c r="P17" s="54">
        <f t="shared" si="10"/>
        <v>8</v>
      </c>
      <c r="Q17" s="61" t="str">
        <f t="shared" si="11"/>
        <v>Jumad-al-Ula</v>
      </c>
      <c r="R17" s="61" t="str">
        <f t="shared" si="2"/>
        <v>8Jumad-al-Ula</v>
      </c>
      <c r="S17" s="67">
        <f t="shared" si="5"/>
        <v>43479</v>
      </c>
      <c r="U17" s="54" t="str">
        <f t="shared" si="0"/>
        <v/>
      </c>
      <c r="V17" s="54" t="str">
        <f t="shared" si="1"/>
        <v/>
      </c>
    </row>
    <row r="18" spans="2:22" ht="15" customHeight="1" x14ac:dyDescent="0.25">
      <c r="B18" s="69"/>
      <c r="C18" s="58"/>
      <c r="D18" s="57"/>
      <c r="E18" s="58"/>
      <c r="F18" s="66"/>
      <c r="G18" s="75"/>
      <c r="H18" s="73"/>
      <c r="I18" s="58"/>
      <c r="J18" s="74"/>
      <c r="K18" s="73"/>
      <c r="L18" s="58"/>
      <c r="P18" s="54">
        <f t="shared" si="10"/>
        <v>9</v>
      </c>
      <c r="Q18" s="61" t="str">
        <f t="shared" si="11"/>
        <v>Jumad-al-Ula</v>
      </c>
      <c r="R18" s="61" t="str">
        <f t="shared" si="2"/>
        <v>9Jumad-al-Ula</v>
      </c>
      <c r="S18" s="67">
        <f t="shared" si="5"/>
        <v>43480</v>
      </c>
      <c r="U18" s="54" t="str">
        <f t="shared" si="0"/>
        <v/>
      </c>
      <c r="V18" s="54" t="str">
        <f t="shared" si="1"/>
        <v/>
      </c>
    </row>
    <row r="19" spans="2:22" ht="15" customHeight="1" x14ac:dyDescent="0.25">
      <c r="B19" s="69"/>
      <c r="C19" s="58"/>
      <c r="D19" s="57"/>
      <c r="E19" s="58"/>
      <c r="F19" s="66"/>
      <c r="G19" s="75"/>
      <c r="H19" s="73"/>
      <c r="I19" s="58"/>
      <c r="J19" s="74"/>
      <c r="K19" s="73"/>
      <c r="L19" s="58"/>
      <c r="P19" s="54">
        <f t="shared" si="10"/>
        <v>10</v>
      </c>
      <c r="Q19" s="61" t="str">
        <f t="shared" si="11"/>
        <v>Jumad-al-Ula</v>
      </c>
      <c r="R19" s="61" t="str">
        <f t="shared" si="2"/>
        <v>10Jumad-al-Ula</v>
      </c>
      <c r="S19" s="67">
        <f t="shared" si="5"/>
        <v>43481</v>
      </c>
      <c r="U19" s="54" t="str">
        <f t="shared" si="0"/>
        <v/>
      </c>
      <c r="V19" s="54" t="str">
        <f t="shared" si="1"/>
        <v/>
      </c>
    </row>
    <row r="20" spans="2:22" ht="15" customHeight="1" x14ac:dyDescent="0.25">
      <c r="B20" s="59"/>
      <c r="C20" s="58"/>
      <c r="D20" s="57"/>
      <c r="E20" s="58"/>
      <c r="F20" s="66"/>
      <c r="G20" s="75"/>
      <c r="H20" s="73"/>
      <c r="I20" s="58"/>
      <c r="J20" s="74"/>
      <c r="K20" s="73"/>
      <c r="L20" s="58"/>
      <c r="P20" s="54">
        <f t="shared" si="10"/>
        <v>11</v>
      </c>
      <c r="Q20" s="61" t="str">
        <f t="shared" si="11"/>
        <v>Jumad-al-Ula</v>
      </c>
      <c r="R20" s="61" t="str">
        <f t="shared" si="2"/>
        <v>11Jumad-al-Ula</v>
      </c>
      <c r="S20" s="67">
        <f t="shared" si="5"/>
        <v>43482</v>
      </c>
      <c r="U20" s="54" t="str">
        <f t="shared" si="0"/>
        <v/>
      </c>
      <c r="V20" s="54" t="str">
        <f t="shared" si="1"/>
        <v/>
      </c>
    </row>
    <row r="21" spans="2:22" ht="15" customHeight="1" x14ac:dyDescent="0.25">
      <c r="B21" s="59"/>
      <c r="C21" s="58"/>
      <c r="D21" s="57"/>
      <c r="E21" s="58"/>
      <c r="F21" s="66"/>
      <c r="G21" s="75"/>
      <c r="H21" s="73"/>
      <c r="I21" s="58"/>
      <c r="J21" s="74"/>
      <c r="K21" s="73"/>
      <c r="L21" s="58"/>
      <c r="P21" s="54">
        <f t="shared" si="10"/>
        <v>12</v>
      </c>
      <c r="Q21" s="61" t="str">
        <f t="shared" si="11"/>
        <v>Jumad-al-Ula</v>
      </c>
      <c r="R21" s="61" t="str">
        <f t="shared" si="2"/>
        <v>12Jumad-al-Ula</v>
      </c>
      <c r="S21" s="67">
        <f t="shared" si="5"/>
        <v>43483</v>
      </c>
      <c r="U21" s="54" t="str">
        <f t="shared" si="0"/>
        <v/>
      </c>
      <c r="V21" s="54" t="str">
        <f t="shared" si="1"/>
        <v/>
      </c>
    </row>
    <row r="22" spans="2:22" ht="15" customHeight="1" x14ac:dyDescent="0.25">
      <c r="B22" s="59"/>
      <c r="C22" s="58"/>
      <c r="D22" s="57"/>
      <c r="E22" s="58"/>
      <c r="F22" s="66"/>
      <c r="G22" s="75"/>
      <c r="H22" s="73"/>
      <c r="I22" s="58"/>
      <c r="J22" s="74"/>
      <c r="K22" s="73"/>
      <c r="L22" s="58"/>
      <c r="P22" s="54">
        <f t="shared" si="10"/>
        <v>13</v>
      </c>
      <c r="Q22" s="61" t="str">
        <f t="shared" si="11"/>
        <v>Jumad-al-Ula</v>
      </c>
      <c r="R22" s="61" t="str">
        <f t="shared" si="2"/>
        <v>13Jumad-al-Ula</v>
      </c>
      <c r="S22" s="67">
        <f t="shared" si="5"/>
        <v>43484</v>
      </c>
      <c r="U22" s="54" t="str">
        <f t="shared" si="0"/>
        <v/>
      </c>
      <c r="V22" s="54" t="str">
        <f t="shared" si="1"/>
        <v/>
      </c>
    </row>
    <row r="23" spans="2:22" ht="15" customHeight="1" x14ac:dyDescent="0.25">
      <c r="B23" s="59"/>
      <c r="C23" s="58"/>
      <c r="D23" s="57"/>
      <c r="E23" s="58"/>
      <c r="F23" s="66"/>
      <c r="G23" s="75"/>
      <c r="H23" s="73"/>
      <c r="I23" s="58"/>
      <c r="J23" s="74"/>
      <c r="K23" s="73"/>
      <c r="L23" s="58"/>
      <c r="P23" s="54">
        <f t="shared" si="10"/>
        <v>14</v>
      </c>
      <c r="Q23" s="61" t="str">
        <f t="shared" si="11"/>
        <v>Jumad-al-Ula</v>
      </c>
      <c r="R23" s="61" t="str">
        <f t="shared" si="2"/>
        <v>14Jumad-al-Ula</v>
      </c>
      <c r="S23" s="67">
        <f t="shared" si="5"/>
        <v>43485</v>
      </c>
      <c r="U23" s="54" t="str">
        <f t="shared" si="0"/>
        <v/>
      </c>
      <c r="V23" s="54" t="str">
        <f t="shared" si="1"/>
        <v/>
      </c>
    </row>
    <row r="24" spans="2:22" ht="15" customHeight="1" x14ac:dyDescent="0.25">
      <c r="P24" s="54">
        <f t="shared" si="10"/>
        <v>15</v>
      </c>
      <c r="Q24" s="61" t="str">
        <f t="shared" si="11"/>
        <v>Jumad-al-Ula</v>
      </c>
      <c r="R24" s="61" t="str">
        <f t="shared" si="2"/>
        <v>15Jumad-al-Ula</v>
      </c>
      <c r="S24" s="67">
        <f t="shared" si="5"/>
        <v>43486</v>
      </c>
    </row>
    <row r="25" spans="2:22" ht="15" customHeight="1" x14ac:dyDescent="0.25">
      <c r="B25" s="61" t="s">
        <v>58</v>
      </c>
      <c r="P25" s="54">
        <f t="shared" si="10"/>
        <v>16</v>
      </c>
      <c r="Q25" s="61" t="str">
        <f t="shared" si="11"/>
        <v>Jumad-al-Ula</v>
      </c>
      <c r="R25" s="61" t="str">
        <f t="shared" si="2"/>
        <v>16Jumad-al-Ula</v>
      </c>
      <c r="S25" s="67">
        <f t="shared" si="5"/>
        <v>43487</v>
      </c>
    </row>
    <row r="26" spans="2:22" ht="15" customHeight="1" x14ac:dyDescent="0.25">
      <c r="P26" s="54">
        <f t="shared" si="10"/>
        <v>17</v>
      </c>
      <c r="Q26" s="61" t="str">
        <f t="shared" si="11"/>
        <v>Jumad-al-Ula</v>
      </c>
      <c r="R26" s="61" t="str">
        <f t="shared" si="2"/>
        <v>17Jumad-al-Ula</v>
      </c>
      <c r="S26" s="67">
        <f t="shared" si="5"/>
        <v>43488</v>
      </c>
    </row>
    <row r="27" spans="2:22" hidden="1" x14ac:dyDescent="0.25">
      <c r="P27" s="54">
        <f t="shared" si="10"/>
        <v>18</v>
      </c>
      <c r="Q27" s="61" t="str">
        <f t="shared" si="11"/>
        <v>Jumad-al-Ula</v>
      </c>
      <c r="R27" s="61" t="str">
        <f t="shared" si="2"/>
        <v>18Jumad-al-Ula</v>
      </c>
      <c r="S27" s="67">
        <f t="shared" si="5"/>
        <v>43489</v>
      </c>
    </row>
    <row r="28" spans="2:22" hidden="1" x14ac:dyDescent="0.25">
      <c r="P28" s="54">
        <f t="shared" si="10"/>
        <v>19</v>
      </c>
      <c r="Q28" s="61" t="str">
        <f t="shared" si="11"/>
        <v>Jumad-al-Ula</v>
      </c>
      <c r="R28" s="61" t="str">
        <f t="shared" si="2"/>
        <v>19Jumad-al-Ula</v>
      </c>
      <c r="S28" s="67">
        <f t="shared" si="5"/>
        <v>43490</v>
      </c>
    </row>
    <row r="29" spans="2:22" hidden="1" x14ac:dyDescent="0.25">
      <c r="P29" s="54">
        <f t="shared" si="10"/>
        <v>20</v>
      </c>
      <c r="Q29" s="61" t="str">
        <f t="shared" si="11"/>
        <v>Jumad-al-Ula</v>
      </c>
      <c r="R29" s="61" t="str">
        <f t="shared" si="2"/>
        <v>20Jumad-al-Ula</v>
      </c>
      <c r="S29" s="67">
        <f t="shared" si="5"/>
        <v>43491</v>
      </c>
    </row>
    <row r="30" spans="2:22" hidden="1" x14ac:dyDescent="0.25">
      <c r="P30" s="54">
        <f t="shared" si="10"/>
        <v>21</v>
      </c>
      <c r="Q30" s="61" t="str">
        <f t="shared" si="11"/>
        <v>Jumad-al-Ula</v>
      </c>
      <c r="R30" s="61" t="str">
        <f t="shared" si="2"/>
        <v>21Jumad-al-Ula</v>
      </c>
      <c r="S30" s="67">
        <f t="shared" si="5"/>
        <v>43492</v>
      </c>
    </row>
    <row r="31" spans="2:22" hidden="1" x14ac:dyDescent="0.25">
      <c r="P31" s="54">
        <f t="shared" si="10"/>
        <v>22</v>
      </c>
      <c r="Q31" s="61" t="str">
        <f t="shared" si="11"/>
        <v>Jumad-al-Ula</v>
      </c>
      <c r="R31" s="61" t="str">
        <f t="shared" si="2"/>
        <v>22Jumad-al-Ula</v>
      </c>
      <c r="S31" s="67">
        <f t="shared" si="5"/>
        <v>43493</v>
      </c>
    </row>
    <row r="32" spans="2:22" hidden="1" x14ac:dyDescent="0.25">
      <c r="P32" s="54">
        <f t="shared" si="10"/>
        <v>23</v>
      </c>
      <c r="Q32" s="61" t="str">
        <f t="shared" si="11"/>
        <v>Jumad-al-Ula</v>
      </c>
      <c r="R32" s="61" t="str">
        <f t="shared" si="2"/>
        <v>23Jumad-al-Ula</v>
      </c>
      <c r="S32" s="67">
        <f t="shared" si="5"/>
        <v>43494</v>
      </c>
    </row>
    <row r="33" spans="16:19" hidden="1" x14ac:dyDescent="0.25">
      <c r="P33" s="54">
        <f t="shared" si="10"/>
        <v>24</v>
      </c>
      <c r="Q33" s="61" t="str">
        <f t="shared" si="11"/>
        <v>Jumad-al-Ula</v>
      </c>
      <c r="R33" s="61" t="str">
        <f t="shared" si="2"/>
        <v>24Jumad-al-Ula</v>
      </c>
      <c r="S33" s="67">
        <f t="shared" si="5"/>
        <v>43495</v>
      </c>
    </row>
    <row r="34" spans="16:19" hidden="1" x14ac:dyDescent="0.25">
      <c r="P34" s="54">
        <f t="shared" si="10"/>
        <v>25</v>
      </c>
      <c r="Q34" s="61" t="str">
        <f t="shared" si="11"/>
        <v>Jumad-al-Ula</v>
      </c>
      <c r="R34" s="61" t="str">
        <f t="shared" si="2"/>
        <v>25Jumad-al-Ula</v>
      </c>
      <c r="S34" s="67">
        <f t="shared" si="5"/>
        <v>43496</v>
      </c>
    </row>
    <row r="35" spans="16:19" hidden="1" x14ac:dyDescent="0.25">
      <c r="P35" s="54">
        <f t="shared" si="10"/>
        <v>26</v>
      </c>
      <c r="Q35" s="61" t="str">
        <f t="shared" si="11"/>
        <v>Jumad-al-Ula</v>
      </c>
      <c r="R35" s="61" t="str">
        <f t="shared" si="2"/>
        <v>26Jumad-al-Ula</v>
      </c>
      <c r="S35" s="67">
        <f t="shared" si="5"/>
        <v>43497</v>
      </c>
    </row>
    <row r="36" spans="16:19" hidden="1" x14ac:dyDescent="0.25">
      <c r="P36" s="54">
        <f t="shared" ref="P36:P38" si="12">P35+1</f>
        <v>27</v>
      </c>
      <c r="Q36" s="61" t="str">
        <f t="shared" ref="Q36:Q38" si="13">Q35</f>
        <v>Jumad-al-Ula</v>
      </c>
      <c r="R36" s="61" t="str">
        <f t="shared" si="2"/>
        <v>27Jumad-al-Ula</v>
      </c>
      <c r="S36" s="67">
        <f t="shared" si="5"/>
        <v>43498</v>
      </c>
    </row>
    <row r="37" spans="16:19" hidden="1" x14ac:dyDescent="0.25">
      <c r="P37" s="54">
        <f t="shared" si="12"/>
        <v>28</v>
      </c>
      <c r="Q37" s="61" t="str">
        <f t="shared" si="13"/>
        <v>Jumad-al-Ula</v>
      </c>
      <c r="R37" s="61" t="str">
        <f t="shared" si="2"/>
        <v>28Jumad-al-Ula</v>
      </c>
      <c r="S37" s="67">
        <f t="shared" si="5"/>
        <v>43499</v>
      </c>
    </row>
    <row r="38" spans="16:19" hidden="1" x14ac:dyDescent="0.25">
      <c r="P38" s="54">
        <f t="shared" si="12"/>
        <v>29</v>
      </c>
      <c r="Q38" s="61" t="str">
        <f t="shared" si="13"/>
        <v>Jumad-al-Ula</v>
      </c>
      <c r="R38" s="61" t="str">
        <f t="shared" si="2"/>
        <v>29Jumad-al-Ula</v>
      </c>
      <c r="S38" s="67">
        <f t="shared" si="5"/>
        <v>43500</v>
      </c>
    </row>
    <row r="39" spans="16:19" hidden="1" x14ac:dyDescent="0.25">
      <c r="P39" s="54">
        <f t="shared" ref="P39" si="14">P38+1</f>
        <v>30</v>
      </c>
      <c r="Q39" s="61" t="str">
        <f t="shared" ref="Q39" si="15">Q38</f>
        <v>Jumad-al-Ula</v>
      </c>
      <c r="R39" s="61" t="str">
        <f t="shared" si="2"/>
        <v>30Jumad-al-Ula</v>
      </c>
      <c r="S39" s="67">
        <f t="shared" si="5"/>
        <v>43501</v>
      </c>
    </row>
    <row r="40" spans="16:19" hidden="1" x14ac:dyDescent="0.25">
      <c r="P40" s="54">
        <v>1</v>
      </c>
      <c r="Q40" s="61" t="s">
        <v>29</v>
      </c>
      <c r="R40" s="61" t="str">
        <f t="shared" si="2"/>
        <v>1Jumad-as-Thaani</v>
      </c>
      <c r="S40" s="67">
        <f t="shared" si="5"/>
        <v>43502</v>
      </c>
    </row>
    <row r="41" spans="16:19" hidden="1" x14ac:dyDescent="0.25">
      <c r="P41" s="54">
        <f t="shared" ref="P41" si="16">P40+1</f>
        <v>2</v>
      </c>
      <c r="Q41" s="61" t="str">
        <f t="shared" ref="Q41" si="17">Q40</f>
        <v>Jumad-as-Thaani</v>
      </c>
      <c r="R41" s="61" t="str">
        <f t="shared" si="2"/>
        <v>2Jumad-as-Thaani</v>
      </c>
      <c r="S41" s="67">
        <f t="shared" si="5"/>
        <v>43503</v>
      </c>
    </row>
    <row r="42" spans="16:19" hidden="1" x14ac:dyDescent="0.25">
      <c r="P42" s="54">
        <f t="shared" ref="P42:P68" si="18">P41+1</f>
        <v>3</v>
      </c>
      <c r="Q42" s="61" t="str">
        <f t="shared" ref="Q42:Q68" si="19">Q41</f>
        <v>Jumad-as-Thaani</v>
      </c>
      <c r="R42" s="61" t="str">
        <f t="shared" si="2"/>
        <v>3Jumad-as-Thaani</v>
      </c>
      <c r="S42" s="67">
        <f t="shared" si="5"/>
        <v>43504</v>
      </c>
    </row>
    <row r="43" spans="16:19" hidden="1" x14ac:dyDescent="0.25">
      <c r="P43" s="54">
        <f t="shared" si="18"/>
        <v>4</v>
      </c>
      <c r="Q43" s="61" t="str">
        <f t="shared" si="19"/>
        <v>Jumad-as-Thaani</v>
      </c>
      <c r="R43" s="61" t="str">
        <f t="shared" si="2"/>
        <v>4Jumad-as-Thaani</v>
      </c>
      <c r="S43" s="67">
        <f t="shared" si="5"/>
        <v>43505</v>
      </c>
    </row>
    <row r="44" spans="16:19" hidden="1" x14ac:dyDescent="0.25">
      <c r="P44" s="54">
        <f t="shared" si="18"/>
        <v>5</v>
      </c>
      <c r="Q44" s="61" t="str">
        <f t="shared" si="19"/>
        <v>Jumad-as-Thaani</v>
      </c>
      <c r="R44" s="61" t="str">
        <f t="shared" si="2"/>
        <v>5Jumad-as-Thaani</v>
      </c>
      <c r="S44" s="67">
        <f t="shared" si="5"/>
        <v>43506</v>
      </c>
    </row>
    <row r="45" spans="16:19" hidden="1" x14ac:dyDescent="0.25">
      <c r="P45" s="54">
        <f t="shared" si="18"/>
        <v>6</v>
      </c>
      <c r="Q45" s="61" t="str">
        <f t="shared" si="19"/>
        <v>Jumad-as-Thaani</v>
      </c>
      <c r="R45" s="61" t="str">
        <f t="shared" si="2"/>
        <v>6Jumad-as-Thaani</v>
      </c>
      <c r="S45" s="67">
        <f t="shared" si="5"/>
        <v>43507</v>
      </c>
    </row>
    <row r="46" spans="16:19" hidden="1" x14ac:dyDescent="0.25">
      <c r="P46" s="54">
        <f t="shared" si="18"/>
        <v>7</v>
      </c>
      <c r="Q46" s="61" t="str">
        <f t="shared" si="19"/>
        <v>Jumad-as-Thaani</v>
      </c>
      <c r="R46" s="61" t="str">
        <f t="shared" si="2"/>
        <v>7Jumad-as-Thaani</v>
      </c>
      <c r="S46" s="67">
        <f t="shared" si="5"/>
        <v>43508</v>
      </c>
    </row>
    <row r="47" spans="16:19" hidden="1" x14ac:dyDescent="0.25">
      <c r="P47" s="54">
        <f t="shared" si="18"/>
        <v>8</v>
      </c>
      <c r="Q47" s="61" t="str">
        <f t="shared" si="19"/>
        <v>Jumad-as-Thaani</v>
      </c>
      <c r="R47" s="61" t="str">
        <f t="shared" si="2"/>
        <v>8Jumad-as-Thaani</v>
      </c>
      <c r="S47" s="67">
        <f t="shared" si="5"/>
        <v>43509</v>
      </c>
    </row>
    <row r="48" spans="16:19" hidden="1" x14ac:dyDescent="0.25">
      <c r="P48" s="54">
        <f t="shared" si="18"/>
        <v>9</v>
      </c>
      <c r="Q48" s="61" t="str">
        <f t="shared" si="19"/>
        <v>Jumad-as-Thaani</v>
      </c>
      <c r="R48" s="61" t="str">
        <f t="shared" si="2"/>
        <v>9Jumad-as-Thaani</v>
      </c>
      <c r="S48" s="67">
        <f t="shared" si="5"/>
        <v>43510</v>
      </c>
    </row>
    <row r="49" spans="16:19" hidden="1" x14ac:dyDescent="0.25">
      <c r="P49" s="54">
        <f t="shared" si="18"/>
        <v>10</v>
      </c>
      <c r="Q49" s="61" t="str">
        <f t="shared" si="19"/>
        <v>Jumad-as-Thaani</v>
      </c>
      <c r="R49" s="61" t="str">
        <f t="shared" si="2"/>
        <v>10Jumad-as-Thaani</v>
      </c>
      <c r="S49" s="67">
        <f t="shared" si="5"/>
        <v>43511</v>
      </c>
    </row>
    <row r="50" spans="16:19" hidden="1" x14ac:dyDescent="0.25">
      <c r="P50" s="54">
        <f t="shared" si="18"/>
        <v>11</v>
      </c>
      <c r="Q50" s="61" t="str">
        <f t="shared" si="19"/>
        <v>Jumad-as-Thaani</v>
      </c>
      <c r="R50" s="61" t="str">
        <f t="shared" si="2"/>
        <v>11Jumad-as-Thaani</v>
      </c>
      <c r="S50" s="67">
        <f t="shared" si="5"/>
        <v>43512</v>
      </c>
    </row>
    <row r="51" spans="16:19" hidden="1" x14ac:dyDescent="0.25">
      <c r="P51" s="54">
        <f t="shared" si="18"/>
        <v>12</v>
      </c>
      <c r="Q51" s="61" t="str">
        <f t="shared" si="19"/>
        <v>Jumad-as-Thaani</v>
      </c>
      <c r="R51" s="61" t="str">
        <f t="shared" si="2"/>
        <v>12Jumad-as-Thaani</v>
      </c>
      <c r="S51" s="67">
        <f t="shared" si="5"/>
        <v>43513</v>
      </c>
    </row>
    <row r="52" spans="16:19" hidden="1" x14ac:dyDescent="0.25">
      <c r="P52" s="54">
        <f t="shared" si="18"/>
        <v>13</v>
      </c>
      <c r="Q52" s="61" t="str">
        <f t="shared" si="19"/>
        <v>Jumad-as-Thaani</v>
      </c>
      <c r="R52" s="61" t="str">
        <f t="shared" si="2"/>
        <v>13Jumad-as-Thaani</v>
      </c>
      <c r="S52" s="67">
        <f t="shared" si="5"/>
        <v>43514</v>
      </c>
    </row>
    <row r="53" spans="16:19" hidden="1" x14ac:dyDescent="0.25">
      <c r="P53" s="54">
        <f t="shared" si="18"/>
        <v>14</v>
      </c>
      <c r="Q53" s="61" t="str">
        <f t="shared" si="19"/>
        <v>Jumad-as-Thaani</v>
      </c>
      <c r="R53" s="61" t="str">
        <f t="shared" si="2"/>
        <v>14Jumad-as-Thaani</v>
      </c>
      <c r="S53" s="67">
        <f t="shared" si="5"/>
        <v>43515</v>
      </c>
    </row>
    <row r="54" spans="16:19" hidden="1" x14ac:dyDescent="0.25">
      <c r="P54" s="54">
        <f t="shared" si="18"/>
        <v>15</v>
      </c>
      <c r="Q54" s="61" t="str">
        <f t="shared" si="19"/>
        <v>Jumad-as-Thaani</v>
      </c>
      <c r="R54" s="61" t="str">
        <f t="shared" si="2"/>
        <v>15Jumad-as-Thaani</v>
      </c>
      <c r="S54" s="67">
        <f t="shared" si="5"/>
        <v>43516</v>
      </c>
    </row>
    <row r="55" spans="16:19" hidden="1" x14ac:dyDescent="0.25">
      <c r="P55" s="54">
        <f t="shared" si="18"/>
        <v>16</v>
      </c>
      <c r="Q55" s="61" t="str">
        <f t="shared" si="19"/>
        <v>Jumad-as-Thaani</v>
      </c>
      <c r="R55" s="61" t="str">
        <f t="shared" si="2"/>
        <v>16Jumad-as-Thaani</v>
      </c>
      <c r="S55" s="67">
        <f t="shared" si="5"/>
        <v>43517</v>
      </c>
    </row>
    <row r="56" spans="16:19" hidden="1" x14ac:dyDescent="0.25">
      <c r="P56" s="54">
        <f t="shared" si="18"/>
        <v>17</v>
      </c>
      <c r="Q56" s="61" t="str">
        <f t="shared" si="19"/>
        <v>Jumad-as-Thaani</v>
      </c>
      <c r="R56" s="61" t="str">
        <f t="shared" si="2"/>
        <v>17Jumad-as-Thaani</v>
      </c>
      <c r="S56" s="67">
        <f t="shared" si="5"/>
        <v>43518</v>
      </c>
    </row>
    <row r="57" spans="16:19" hidden="1" x14ac:dyDescent="0.25">
      <c r="P57" s="54">
        <f t="shared" si="18"/>
        <v>18</v>
      </c>
      <c r="Q57" s="61" t="str">
        <f t="shared" si="19"/>
        <v>Jumad-as-Thaani</v>
      </c>
      <c r="R57" s="61" t="str">
        <f t="shared" si="2"/>
        <v>18Jumad-as-Thaani</v>
      </c>
      <c r="S57" s="67">
        <f t="shared" si="5"/>
        <v>43519</v>
      </c>
    </row>
    <row r="58" spans="16:19" hidden="1" x14ac:dyDescent="0.25">
      <c r="P58" s="54">
        <f t="shared" si="18"/>
        <v>19</v>
      </c>
      <c r="Q58" s="61" t="str">
        <f t="shared" si="19"/>
        <v>Jumad-as-Thaani</v>
      </c>
      <c r="R58" s="61" t="str">
        <f t="shared" si="2"/>
        <v>19Jumad-as-Thaani</v>
      </c>
      <c r="S58" s="67">
        <f t="shared" si="5"/>
        <v>43520</v>
      </c>
    </row>
    <row r="59" spans="16:19" hidden="1" x14ac:dyDescent="0.25">
      <c r="P59" s="54">
        <f t="shared" si="18"/>
        <v>20</v>
      </c>
      <c r="Q59" s="61" t="str">
        <f t="shared" si="19"/>
        <v>Jumad-as-Thaani</v>
      </c>
      <c r="R59" s="61" t="str">
        <f t="shared" si="2"/>
        <v>20Jumad-as-Thaani</v>
      </c>
      <c r="S59" s="67">
        <f t="shared" si="5"/>
        <v>43521</v>
      </c>
    </row>
    <row r="60" spans="16:19" hidden="1" x14ac:dyDescent="0.25">
      <c r="P60" s="54">
        <f t="shared" si="18"/>
        <v>21</v>
      </c>
      <c r="Q60" s="61" t="str">
        <f t="shared" si="19"/>
        <v>Jumad-as-Thaani</v>
      </c>
      <c r="R60" s="61" t="str">
        <f t="shared" si="2"/>
        <v>21Jumad-as-Thaani</v>
      </c>
      <c r="S60" s="67">
        <f t="shared" si="5"/>
        <v>43522</v>
      </c>
    </row>
    <row r="61" spans="16:19" hidden="1" x14ac:dyDescent="0.25">
      <c r="P61" s="54">
        <f t="shared" si="18"/>
        <v>22</v>
      </c>
      <c r="Q61" s="61" t="str">
        <f t="shared" si="19"/>
        <v>Jumad-as-Thaani</v>
      </c>
      <c r="R61" s="61" t="str">
        <f t="shared" si="2"/>
        <v>22Jumad-as-Thaani</v>
      </c>
      <c r="S61" s="67">
        <f t="shared" si="5"/>
        <v>43523</v>
      </c>
    </row>
    <row r="62" spans="16:19" hidden="1" x14ac:dyDescent="0.25">
      <c r="P62" s="54">
        <f t="shared" si="18"/>
        <v>23</v>
      </c>
      <c r="Q62" s="61" t="str">
        <f t="shared" si="19"/>
        <v>Jumad-as-Thaani</v>
      </c>
      <c r="R62" s="61" t="str">
        <f t="shared" si="2"/>
        <v>23Jumad-as-Thaani</v>
      </c>
      <c r="S62" s="67">
        <f t="shared" si="5"/>
        <v>43524</v>
      </c>
    </row>
    <row r="63" spans="16:19" hidden="1" x14ac:dyDescent="0.25">
      <c r="P63" s="54">
        <f t="shared" si="18"/>
        <v>24</v>
      </c>
      <c r="Q63" s="61" t="str">
        <f t="shared" si="19"/>
        <v>Jumad-as-Thaani</v>
      </c>
      <c r="R63" s="61" t="str">
        <f t="shared" si="2"/>
        <v>24Jumad-as-Thaani</v>
      </c>
      <c r="S63" s="67">
        <f t="shared" si="5"/>
        <v>43525</v>
      </c>
    </row>
    <row r="64" spans="16:19" hidden="1" x14ac:dyDescent="0.25">
      <c r="P64" s="54">
        <f t="shared" si="18"/>
        <v>25</v>
      </c>
      <c r="Q64" s="61" t="str">
        <f t="shared" si="19"/>
        <v>Jumad-as-Thaani</v>
      </c>
      <c r="R64" s="61" t="str">
        <f t="shared" si="2"/>
        <v>25Jumad-as-Thaani</v>
      </c>
      <c r="S64" s="67">
        <f t="shared" si="5"/>
        <v>43526</v>
      </c>
    </row>
    <row r="65" spans="16:19" hidden="1" x14ac:dyDescent="0.25">
      <c r="P65" s="54">
        <f t="shared" si="18"/>
        <v>26</v>
      </c>
      <c r="Q65" s="61" t="str">
        <f t="shared" si="19"/>
        <v>Jumad-as-Thaani</v>
      </c>
      <c r="R65" s="61" t="str">
        <f t="shared" si="2"/>
        <v>26Jumad-as-Thaani</v>
      </c>
      <c r="S65" s="67">
        <f t="shared" si="5"/>
        <v>43527</v>
      </c>
    </row>
    <row r="66" spans="16:19" hidden="1" x14ac:dyDescent="0.25">
      <c r="P66" s="54">
        <f t="shared" si="18"/>
        <v>27</v>
      </c>
      <c r="Q66" s="61" t="str">
        <f t="shared" si="19"/>
        <v>Jumad-as-Thaani</v>
      </c>
      <c r="R66" s="61" t="str">
        <f t="shared" si="2"/>
        <v>27Jumad-as-Thaani</v>
      </c>
      <c r="S66" s="67">
        <f t="shared" si="5"/>
        <v>43528</v>
      </c>
    </row>
    <row r="67" spans="16:19" hidden="1" x14ac:dyDescent="0.25">
      <c r="P67" s="54">
        <f t="shared" si="18"/>
        <v>28</v>
      </c>
      <c r="Q67" s="61" t="str">
        <f t="shared" si="19"/>
        <v>Jumad-as-Thaani</v>
      </c>
      <c r="R67" s="61" t="str">
        <f t="shared" si="2"/>
        <v>28Jumad-as-Thaani</v>
      </c>
      <c r="S67" s="67">
        <f t="shared" si="5"/>
        <v>43529</v>
      </c>
    </row>
    <row r="68" spans="16:19" hidden="1" x14ac:dyDescent="0.25">
      <c r="P68" s="54">
        <f t="shared" si="18"/>
        <v>29</v>
      </c>
      <c r="Q68" s="61" t="str">
        <f t="shared" si="19"/>
        <v>Jumad-as-Thaani</v>
      </c>
      <c r="R68" s="61" t="str">
        <f t="shared" si="2"/>
        <v>29Jumad-as-Thaani</v>
      </c>
      <c r="S68" s="67">
        <f t="shared" si="5"/>
        <v>43530</v>
      </c>
    </row>
    <row r="69" spans="16:19" hidden="1" x14ac:dyDescent="0.25">
      <c r="P69" s="54">
        <v>1</v>
      </c>
      <c r="Q69" s="61" t="s">
        <v>30</v>
      </c>
      <c r="R69" s="61" t="str">
        <f t="shared" ref="R69:R132" si="20">P69&amp;Q69</f>
        <v>1Rajab</v>
      </c>
      <c r="S69" s="67">
        <f t="shared" si="5"/>
        <v>43531</v>
      </c>
    </row>
    <row r="70" spans="16:19" hidden="1" x14ac:dyDescent="0.25">
      <c r="P70" s="54">
        <f t="shared" ref="P70" si="21">P69+1</f>
        <v>2</v>
      </c>
      <c r="Q70" s="61" t="str">
        <f t="shared" ref="Q70" si="22">Q69</f>
        <v>Rajab</v>
      </c>
      <c r="R70" s="61" t="str">
        <f t="shared" si="20"/>
        <v>2Rajab</v>
      </c>
      <c r="S70" s="67">
        <f t="shared" ref="S70:S133" si="23">S69+1</f>
        <v>43532</v>
      </c>
    </row>
    <row r="71" spans="16:19" hidden="1" x14ac:dyDescent="0.25">
      <c r="P71" s="54">
        <f t="shared" ref="P71:P98" si="24">P70+1</f>
        <v>3</v>
      </c>
      <c r="Q71" s="61" t="str">
        <f t="shared" ref="Q71:Q98" si="25">Q70</f>
        <v>Rajab</v>
      </c>
      <c r="R71" s="61" t="str">
        <f t="shared" si="20"/>
        <v>3Rajab</v>
      </c>
      <c r="S71" s="67">
        <f t="shared" si="23"/>
        <v>43533</v>
      </c>
    </row>
    <row r="72" spans="16:19" hidden="1" x14ac:dyDescent="0.25">
      <c r="P72" s="54">
        <f t="shared" si="24"/>
        <v>4</v>
      </c>
      <c r="Q72" s="61" t="str">
        <f t="shared" si="25"/>
        <v>Rajab</v>
      </c>
      <c r="R72" s="61" t="str">
        <f t="shared" si="20"/>
        <v>4Rajab</v>
      </c>
      <c r="S72" s="67">
        <f t="shared" si="23"/>
        <v>43534</v>
      </c>
    </row>
    <row r="73" spans="16:19" hidden="1" x14ac:dyDescent="0.25">
      <c r="P73" s="54">
        <f t="shared" si="24"/>
        <v>5</v>
      </c>
      <c r="Q73" s="61" t="str">
        <f t="shared" si="25"/>
        <v>Rajab</v>
      </c>
      <c r="R73" s="61" t="str">
        <f t="shared" si="20"/>
        <v>5Rajab</v>
      </c>
      <c r="S73" s="67">
        <f t="shared" si="23"/>
        <v>43535</v>
      </c>
    </row>
    <row r="74" spans="16:19" hidden="1" x14ac:dyDescent="0.25">
      <c r="P74" s="54">
        <f t="shared" si="24"/>
        <v>6</v>
      </c>
      <c r="Q74" s="61" t="str">
        <f t="shared" si="25"/>
        <v>Rajab</v>
      </c>
      <c r="R74" s="61" t="str">
        <f t="shared" si="20"/>
        <v>6Rajab</v>
      </c>
      <c r="S74" s="67">
        <f t="shared" si="23"/>
        <v>43536</v>
      </c>
    </row>
    <row r="75" spans="16:19" hidden="1" x14ac:dyDescent="0.25">
      <c r="P75" s="54">
        <f t="shared" si="24"/>
        <v>7</v>
      </c>
      <c r="Q75" s="61" t="str">
        <f t="shared" si="25"/>
        <v>Rajab</v>
      </c>
      <c r="R75" s="61" t="str">
        <f t="shared" si="20"/>
        <v>7Rajab</v>
      </c>
      <c r="S75" s="67">
        <f t="shared" si="23"/>
        <v>43537</v>
      </c>
    </row>
    <row r="76" spans="16:19" hidden="1" x14ac:dyDescent="0.25">
      <c r="P76" s="54">
        <f t="shared" si="24"/>
        <v>8</v>
      </c>
      <c r="Q76" s="61" t="str">
        <f t="shared" si="25"/>
        <v>Rajab</v>
      </c>
      <c r="R76" s="61" t="str">
        <f t="shared" si="20"/>
        <v>8Rajab</v>
      </c>
      <c r="S76" s="67">
        <f t="shared" si="23"/>
        <v>43538</v>
      </c>
    </row>
    <row r="77" spans="16:19" hidden="1" x14ac:dyDescent="0.25">
      <c r="P77" s="54">
        <f t="shared" si="24"/>
        <v>9</v>
      </c>
      <c r="Q77" s="61" t="str">
        <f t="shared" si="25"/>
        <v>Rajab</v>
      </c>
      <c r="R77" s="61" t="str">
        <f t="shared" si="20"/>
        <v>9Rajab</v>
      </c>
      <c r="S77" s="67">
        <f t="shared" si="23"/>
        <v>43539</v>
      </c>
    </row>
    <row r="78" spans="16:19" hidden="1" x14ac:dyDescent="0.25">
      <c r="P78" s="54">
        <f t="shared" si="24"/>
        <v>10</v>
      </c>
      <c r="Q78" s="61" t="str">
        <f t="shared" si="25"/>
        <v>Rajab</v>
      </c>
      <c r="R78" s="61" t="str">
        <f t="shared" si="20"/>
        <v>10Rajab</v>
      </c>
      <c r="S78" s="67">
        <f t="shared" si="23"/>
        <v>43540</v>
      </c>
    </row>
    <row r="79" spans="16:19" hidden="1" x14ac:dyDescent="0.25">
      <c r="P79" s="54">
        <f t="shared" si="24"/>
        <v>11</v>
      </c>
      <c r="Q79" s="61" t="str">
        <f t="shared" si="25"/>
        <v>Rajab</v>
      </c>
      <c r="R79" s="61" t="str">
        <f t="shared" si="20"/>
        <v>11Rajab</v>
      </c>
      <c r="S79" s="67">
        <f t="shared" si="23"/>
        <v>43541</v>
      </c>
    </row>
    <row r="80" spans="16:19" hidden="1" x14ac:dyDescent="0.25">
      <c r="P80" s="54">
        <f t="shared" si="24"/>
        <v>12</v>
      </c>
      <c r="Q80" s="61" t="str">
        <f t="shared" si="25"/>
        <v>Rajab</v>
      </c>
      <c r="R80" s="61" t="str">
        <f t="shared" si="20"/>
        <v>12Rajab</v>
      </c>
      <c r="S80" s="67">
        <f t="shared" si="23"/>
        <v>43542</v>
      </c>
    </row>
    <row r="81" spans="16:19" hidden="1" x14ac:dyDescent="0.25">
      <c r="P81" s="54">
        <f t="shared" si="24"/>
        <v>13</v>
      </c>
      <c r="Q81" s="61" t="str">
        <f t="shared" si="25"/>
        <v>Rajab</v>
      </c>
      <c r="R81" s="61" t="str">
        <f t="shared" si="20"/>
        <v>13Rajab</v>
      </c>
      <c r="S81" s="67">
        <f t="shared" si="23"/>
        <v>43543</v>
      </c>
    </row>
    <row r="82" spans="16:19" hidden="1" x14ac:dyDescent="0.25">
      <c r="P82" s="54">
        <f t="shared" si="24"/>
        <v>14</v>
      </c>
      <c r="Q82" s="61" t="str">
        <f t="shared" si="25"/>
        <v>Rajab</v>
      </c>
      <c r="R82" s="61" t="str">
        <f t="shared" si="20"/>
        <v>14Rajab</v>
      </c>
      <c r="S82" s="67">
        <f t="shared" si="23"/>
        <v>43544</v>
      </c>
    </row>
    <row r="83" spans="16:19" hidden="1" x14ac:dyDescent="0.25">
      <c r="P83" s="54">
        <f t="shared" si="24"/>
        <v>15</v>
      </c>
      <c r="Q83" s="61" t="str">
        <f t="shared" si="25"/>
        <v>Rajab</v>
      </c>
      <c r="R83" s="61" t="str">
        <f t="shared" si="20"/>
        <v>15Rajab</v>
      </c>
      <c r="S83" s="67">
        <f t="shared" si="23"/>
        <v>43545</v>
      </c>
    </row>
    <row r="84" spans="16:19" hidden="1" x14ac:dyDescent="0.25">
      <c r="P84" s="54">
        <f t="shared" si="24"/>
        <v>16</v>
      </c>
      <c r="Q84" s="61" t="str">
        <f t="shared" si="25"/>
        <v>Rajab</v>
      </c>
      <c r="R84" s="61" t="str">
        <f t="shared" si="20"/>
        <v>16Rajab</v>
      </c>
      <c r="S84" s="67">
        <f t="shared" si="23"/>
        <v>43546</v>
      </c>
    </row>
    <row r="85" spans="16:19" hidden="1" x14ac:dyDescent="0.25">
      <c r="P85" s="54">
        <f t="shared" si="24"/>
        <v>17</v>
      </c>
      <c r="Q85" s="61" t="str">
        <f t="shared" si="25"/>
        <v>Rajab</v>
      </c>
      <c r="R85" s="61" t="str">
        <f t="shared" si="20"/>
        <v>17Rajab</v>
      </c>
      <c r="S85" s="67">
        <f t="shared" si="23"/>
        <v>43547</v>
      </c>
    </row>
    <row r="86" spans="16:19" hidden="1" x14ac:dyDescent="0.25">
      <c r="P86" s="54">
        <f t="shared" si="24"/>
        <v>18</v>
      </c>
      <c r="Q86" s="61" t="str">
        <f t="shared" si="25"/>
        <v>Rajab</v>
      </c>
      <c r="R86" s="61" t="str">
        <f t="shared" si="20"/>
        <v>18Rajab</v>
      </c>
      <c r="S86" s="67">
        <f t="shared" si="23"/>
        <v>43548</v>
      </c>
    </row>
    <row r="87" spans="16:19" hidden="1" x14ac:dyDescent="0.25">
      <c r="P87" s="54">
        <f t="shared" si="24"/>
        <v>19</v>
      </c>
      <c r="Q87" s="61" t="str">
        <f t="shared" si="25"/>
        <v>Rajab</v>
      </c>
      <c r="R87" s="61" t="str">
        <f t="shared" si="20"/>
        <v>19Rajab</v>
      </c>
      <c r="S87" s="67">
        <f t="shared" si="23"/>
        <v>43549</v>
      </c>
    </row>
    <row r="88" spans="16:19" hidden="1" x14ac:dyDescent="0.25">
      <c r="P88" s="54">
        <f t="shared" si="24"/>
        <v>20</v>
      </c>
      <c r="Q88" s="61" t="str">
        <f t="shared" si="25"/>
        <v>Rajab</v>
      </c>
      <c r="R88" s="61" t="str">
        <f t="shared" si="20"/>
        <v>20Rajab</v>
      </c>
      <c r="S88" s="67">
        <f t="shared" si="23"/>
        <v>43550</v>
      </c>
    </row>
    <row r="89" spans="16:19" hidden="1" x14ac:dyDescent="0.25">
      <c r="P89" s="54">
        <f t="shared" si="24"/>
        <v>21</v>
      </c>
      <c r="Q89" s="61" t="str">
        <f t="shared" si="25"/>
        <v>Rajab</v>
      </c>
      <c r="R89" s="61" t="str">
        <f t="shared" si="20"/>
        <v>21Rajab</v>
      </c>
      <c r="S89" s="67">
        <f t="shared" si="23"/>
        <v>43551</v>
      </c>
    </row>
    <row r="90" spans="16:19" hidden="1" x14ac:dyDescent="0.25">
      <c r="P90" s="54">
        <f t="shared" si="24"/>
        <v>22</v>
      </c>
      <c r="Q90" s="61" t="str">
        <f t="shared" si="25"/>
        <v>Rajab</v>
      </c>
      <c r="R90" s="61" t="str">
        <f t="shared" si="20"/>
        <v>22Rajab</v>
      </c>
      <c r="S90" s="67">
        <f t="shared" si="23"/>
        <v>43552</v>
      </c>
    </row>
    <row r="91" spans="16:19" hidden="1" x14ac:dyDescent="0.25">
      <c r="P91" s="54">
        <f t="shared" si="24"/>
        <v>23</v>
      </c>
      <c r="Q91" s="61" t="str">
        <f t="shared" si="25"/>
        <v>Rajab</v>
      </c>
      <c r="R91" s="61" t="str">
        <f t="shared" si="20"/>
        <v>23Rajab</v>
      </c>
      <c r="S91" s="67">
        <f t="shared" si="23"/>
        <v>43553</v>
      </c>
    </row>
    <row r="92" spans="16:19" hidden="1" x14ac:dyDescent="0.25">
      <c r="P92" s="54">
        <f t="shared" si="24"/>
        <v>24</v>
      </c>
      <c r="Q92" s="61" t="str">
        <f t="shared" si="25"/>
        <v>Rajab</v>
      </c>
      <c r="R92" s="61" t="str">
        <f t="shared" si="20"/>
        <v>24Rajab</v>
      </c>
      <c r="S92" s="67">
        <f t="shared" si="23"/>
        <v>43554</v>
      </c>
    </row>
    <row r="93" spans="16:19" hidden="1" x14ac:dyDescent="0.25">
      <c r="P93" s="54">
        <f t="shared" si="24"/>
        <v>25</v>
      </c>
      <c r="Q93" s="61" t="str">
        <f t="shared" si="25"/>
        <v>Rajab</v>
      </c>
      <c r="R93" s="61" t="str">
        <f t="shared" si="20"/>
        <v>25Rajab</v>
      </c>
      <c r="S93" s="67">
        <f t="shared" si="23"/>
        <v>43555</v>
      </c>
    </row>
    <row r="94" spans="16:19" hidden="1" x14ac:dyDescent="0.25">
      <c r="P94" s="54">
        <f t="shared" si="24"/>
        <v>26</v>
      </c>
      <c r="Q94" s="61" t="str">
        <f t="shared" si="25"/>
        <v>Rajab</v>
      </c>
      <c r="R94" s="61" t="str">
        <f t="shared" si="20"/>
        <v>26Rajab</v>
      </c>
      <c r="S94" s="67">
        <f t="shared" si="23"/>
        <v>43556</v>
      </c>
    </row>
    <row r="95" spans="16:19" hidden="1" x14ac:dyDescent="0.25">
      <c r="P95" s="54">
        <f t="shared" si="24"/>
        <v>27</v>
      </c>
      <c r="Q95" s="61" t="str">
        <f t="shared" si="25"/>
        <v>Rajab</v>
      </c>
      <c r="R95" s="61" t="str">
        <f t="shared" si="20"/>
        <v>27Rajab</v>
      </c>
      <c r="S95" s="67">
        <f t="shared" si="23"/>
        <v>43557</v>
      </c>
    </row>
    <row r="96" spans="16:19" hidden="1" x14ac:dyDescent="0.25">
      <c r="P96" s="54">
        <f t="shared" si="24"/>
        <v>28</v>
      </c>
      <c r="Q96" s="61" t="str">
        <f t="shared" si="25"/>
        <v>Rajab</v>
      </c>
      <c r="R96" s="61" t="str">
        <f t="shared" si="20"/>
        <v>28Rajab</v>
      </c>
      <c r="S96" s="67">
        <f t="shared" si="23"/>
        <v>43558</v>
      </c>
    </row>
    <row r="97" spans="16:19" hidden="1" x14ac:dyDescent="0.25">
      <c r="P97" s="54">
        <f t="shared" si="24"/>
        <v>29</v>
      </c>
      <c r="Q97" s="61" t="str">
        <f t="shared" si="25"/>
        <v>Rajab</v>
      </c>
      <c r="R97" s="61" t="str">
        <f t="shared" si="20"/>
        <v>29Rajab</v>
      </c>
      <c r="S97" s="67">
        <f t="shared" si="23"/>
        <v>43559</v>
      </c>
    </row>
    <row r="98" spans="16:19" hidden="1" x14ac:dyDescent="0.25">
      <c r="P98" s="54">
        <f t="shared" si="24"/>
        <v>30</v>
      </c>
      <c r="Q98" s="61" t="str">
        <f t="shared" si="25"/>
        <v>Rajab</v>
      </c>
      <c r="R98" s="61" t="str">
        <f t="shared" si="20"/>
        <v>30Rajab</v>
      </c>
      <c r="S98" s="67">
        <f t="shared" si="23"/>
        <v>43560</v>
      </c>
    </row>
    <row r="99" spans="16:19" hidden="1" x14ac:dyDescent="0.25">
      <c r="P99" s="54">
        <v>1</v>
      </c>
      <c r="Q99" s="61" t="s">
        <v>31</v>
      </c>
      <c r="R99" s="61" t="str">
        <f t="shared" si="20"/>
        <v>1Sha'baan</v>
      </c>
      <c r="S99" s="67">
        <f t="shared" si="23"/>
        <v>43561</v>
      </c>
    </row>
    <row r="100" spans="16:19" hidden="1" x14ac:dyDescent="0.25">
      <c r="P100" s="54">
        <f t="shared" ref="P100" si="26">P99+1</f>
        <v>2</v>
      </c>
      <c r="Q100" s="61" t="str">
        <f t="shared" ref="Q100" si="27">Q99</f>
        <v>Sha'baan</v>
      </c>
      <c r="R100" s="61" t="str">
        <f t="shared" si="20"/>
        <v>2Sha'baan</v>
      </c>
      <c r="S100" s="67">
        <f t="shared" si="23"/>
        <v>43562</v>
      </c>
    </row>
    <row r="101" spans="16:19" hidden="1" x14ac:dyDescent="0.25">
      <c r="P101" s="54">
        <f t="shared" ref="P101:P128" si="28">P100+1</f>
        <v>3</v>
      </c>
      <c r="Q101" s="61" t="str">
        <f t="shared" ref="Q101:Q128" si="29">Q100</f>
        <v>Sha'baan</v>
      </c>
      <c r="R101" s="61" t="str">
        <f t="shared" si="20"/>
        <v>3Sha'baan</v>
      </c>
      <c r="S101" s="67">
        <f t="shared" si="23"/>
        <v>43563</v>
      </c>
    </row>
    <row r="102" spans="16:19" hidden="1" x14ac:dyDescent="0.25">
      <c r="P102" s="54">
        <f t="shared" si="28"/>
        <v>4</v>
      </c>
      <c r="Q102" s="61" t="str">
        <f t="shared" si="29"/>
        <v>Sha'baan</v>
      </c>
      <c r="R102" s="61" t="str">
        <f t="shared" si="20"/>
        <v>4Sha'baan</v>
      </c>
      <c r="S102" s="67">
        <f t="shared" si="23"/>
        <v>43564</v>
      </c>
    </row>
    <row r="103" spans="16:19" hidden="1" x14ac:dyDescent="0.25">
      <c r="P103" s="54">
        <f t="shared" si="28"/>
        <v>5</v>
      </c>
      <c r="Q103" s="61" t="str">
        <f t="shared" si="29"/>
        <v>Sha'baan</v>
      </c>
      <c r="R103" s="61" t="str">
        <f t="shared" si="20"/>
        <v>5Sha'baan</v>
      </c>
      <c r="S103" s="67">
        <f t="shared" si="23"/>
        <v>43565</v>
      </c>
    </row>
    <row r="104" spans="16:19" hidden="1" x14ac:dyDescent="0.25">
      <c r="P104" s="54">
        <f t="shared" si="28"/>
        <v>6</v>
      </c>
      <c r="Q104" s="61" t="str">
        <f t="shared" si="29"/>
        <v>Sha'baan</v>
      </c>
      <c r="R104" s="61" t="str">
        <f t="shared" si="20"/>
        <v>6Sha'baan</v>
      </c>
      <c r="S104" s="67">
        <f t="shared" si="23"/>
        <v>43566</v>
      </c>
    </row>
    <row r="105" spans="16:19" hidden="1" x14ac:dyDescent="0.25">
      <c r="P105" s="54">
        <f t="shared" si="28"/>
        <v>7</v>
      </c>
      <c r="Q105" s="61" t="str">
        <f t="shared" si="29"/>
        <v>Sha'baan</v>
      </c>
      <c r="R105" s="61" t="str">
        <f t="shared" si="20"/>
        <v>7Sha'baan</v>
      </c>
      <c r="S105" s="67">
        <f t="shared" si="23"/>
        <v>43567</v>
      </c>
    </row>
    <row r="106" spans="16:19" hidden="1" x14ac:dyDescent="0.25">
      <c r="P106" s="54">
        <f t="shared" si="28"/>
        <v>8</v>
      </c>
      <c r="Q106" s="61" t="str">
        <f t="shared" si="29"/>
        <v>Sha'baan</v>
      </c>
      <c r="R106" s="61" t="str">
        <f t="shared" si="20"/>
        <v>8Sha'baan</v>
      </c>
      <c r="S106" s="67">
        <f t="shared" si="23"/>
        <v>43568</v>
      </c>
    </row>
    <row r="107" spans="16:19" hidden="1" x14ac:dyDescent="0.25">
      <c r="P107" s="54">
        <f t="shared" si="28"/>
        <v>9</v>
      </c>
      <c r="Q107" s="61" t="str">
        <f t="shared" si="29"/>
        <v>Sha'baan</v>
      </c>
      <c r="R107" s="61" t="str">
        <f t="shared" si="20"/>
        <v>9Sha'baan</v>
      </c>
      <c r="S107" s="67">
        <f t="shared" si="23"/>
        <v>43569</v>
      </c>
    </row>
    <row r="108" spans="16:19" hidden="1" x14ac:dyDescent="0.25">
      <c r="P108" s="54">
        <f t="shared" si="28"/>
        <v>10</v>
      </c>
      <c r="Q108" s="61" t="str">
        <f t="shared" si="29"/>
        <v>Sha'baan</v>
      </c>
      <c r="R108" s="61" t="str">
        <f t="shared" si="20"/>
        <v>10Sha'baan</v>
      </c>
      <c r="S108" s="67">
        <f t="shared" si="23"/>
        <v>43570</v>
      </c>
    </row>
    <row r="109" spans="16:19" hidden="1" x14ac:dyDescent="0.25">
      <c r="P109" s="54">
        <f t="shared" si="28"/>
        <v>11</v>
      </c>
      <c r="Q109" s="61" t="str">
        <f t="shared" si="29"/>
        <v>Sha'baan</v>
      </c>
      <c r="R109" s="61" t="str">
        <f t="shared" si="20"/>
        <v>11Sha'baan</v>
      </c>
      <c r="S109" s="67">
        <f t="shared" si="23"/>
        <v>43571</v>
      </c>
    </row>
    <row r="110" spans="16:19" hidden="1" x14ac:dyDescent="0.25">
      <c r="P110" s="54">
        <f t="shared" si="28"/>
        <v>12</v>
      </c>
      <c r="Q110" s="61" t="str">
        <f t="shared" si="29"/>
        <v>Sha'baan</v>
      </c>
      <c r="R110" s="61" t="str">
        <f t="shared" si="20"/>
        <v>12Sha'baan</v>
      </c>
      <c r="S110" s="67">
        <f t="shared" si="23"/>
        <v>43572</v>
      </c>
    </row>
    <row r="111" spans="16:19" hidden="1" x14ac:dyDescent="0.25">
      <c r="P111" s="54">
        <f t="shared" si="28"/>
        <v>13</v>
      </c>
      <c r="Q111" s="61" t="str">
        <f t="shared" si="29"/>
        <v>Sha'baan</v>
      </c>
      <c r="R111" s="61" t="str">
        <f t="shared" si="20"/>
        <v>13Sha'baan</v>
      </c>
      <c r="S111" s="67">
        <f t="shared" si="23"/>
        <v>43573</v>
      </c>
    </row>
    <row r="112" spans="16:19" hidden="1" x14ac:dyDescent="0.25">
      <c r="P112" s="54">
        <f t="shared" si="28"/>
        <v>14</v>
      </c>
      <c r="Q112" s="61" t="str">
        <f t="shared" si="29"/>
        <v>Sha'baan</v>
      </c>
      <c r="R112" s="61" t="str">
        <f t="shared" si="20"/>
        <v>14Sha'baan</v>
      </c>
      <c r="S112" s="67">
        <f t="shared" si="23"/>
        <v>43574</v>
      </c>
    </row>
    <row r="113" spans="16:19" hidden="1" x14ac:dyDescent="0.25">
      <c r="P113" s="54">
        <f t="shared" si="28"/>
        <v>15</v>
      </c>
      <c r="Q113" s="61" t="str">
        <f t="shared" si="29"/>
        <v>Sha'baan</v>
      </c>
      <c r="R113" s="61" t="str">
        <f t="shared" si="20"/>
        <v>15Sha'baan</v>
      </c>
      <c r="S113" s="67">
        <f t="shared" si="23"/>
        <v>43575</v>
      </c>
    </row>
    <row r="114" spans="16:19" hidden="1" x14ac:dyDescent="0.25">
      <c r="P114" s="54">
        <f t="shared" si="28"/>
        <v>16</v>
      </c>
      <c r="Q114" s="61" t="str">
        <f t="shared" si="29"/>
        <v>Sha'baan</v>
      </c>
      <c r="R114" s="61" t="str">
        <f t="shared" si="20"/>
        <v>16Sha'baan</v>
      </c>
      <c r="S114" s="67">
        <f t="shared" si="23"/>
        <v>43576</v>
      </c>
    </row>
    <row r="115" spans="16:19" hidden="1" x14ac:dyDescent="0.25">
      <c r="P115" s="54">
        <f t="shared" si="28"/>
        <v>17</v>
      </c>
      <c r="Q115" s="61" t="str">
        <f t="shared" si="29"/>
        <v>Sha'baan</v>
      </c>
      <c r="R115" s="61" t="str">
        <f t="shared" si="20"/>
        <v>17Sha'baan</v>
      </c>
      <c r="S115" s="67">
        <f t="shared" si="23"/>
        <v>43577</v>
      </c>
    </row>
    <row r="116" spans="16:19" hidden="1" x14ac:dyDescent="0.25">
      <c r="P116" s="54">
        <f t="shared" si="28"/>
        <v>18</v>
      </c>
      <c r="Q116" s="61" t="str">
        <f t="shared" si="29"/>
        <v>Sha'baan</v>
      </c>
      <c r="R116" s="61" t="str">
        <f t="shared" si="20"/>
        <v>18Sha'baan</v>
      </c>
      <c r="S116" s="67">
        <f t="shared" si="23"/>
        <v>43578</v>
      </c>
    </row>
    <row r="117" spans="16:19" hidden="1" x14ac:dyDescent="0.25">
      <c r="P117" s="54">
        <f t="shared" si="28"/>
        <v>19</v>
      </c>
      <c r="Q117" s="61" t="str">
        <f t="shared" si="29"/>
        <v>Sha'baan</v>
      </c>
      <c r="R117" s="61" t="str">
        <f t="shared" si="20"/>
        <v>19Sha'baan</v>
      </c>
      <c r="S117" s="67">
        <f t="shared" si="23"/>
        <v>43579</v>
      </c>
    </row>
    <row r="118" spans="16:19" hidden="1" x14ac:dyDescent="0.25">
      <c r="P118" s="54">
        <f t="shared" si="28"/>
        <v>20</v>
      </c>
      <c r="Q118" s="61" t="str">
        <f t="shared" si="29"/>
        <v>Sha'baan</v>
      </c>
      <c r="R118" s="61" t="str">
        <f t="shared" si="20"/>
        <v>20Sha'baan</v>
      </c>
      <c r="S118" s="67">
        <f t="shared" si="23"/>
        <v>43580</v>
      </c>
    </row>
    <row r="119" spans="16:19" hidden="1" x14ac:dyDescent="0.25">
      <c r="P119" s="54">
        <f t="shared" si="28"/>
        <v>21</v>
      </c>
      <c r="Q119" s="61" t="str">
        <f t="shared" si="29"/>
        <v>Sha'baan</v>
      </c>
      <c r="R119" s="61" t="str">
        <f t="shared" si="20"/>
        <v>21Sha'baan</v>
      </c>
      <c r="S119" s="67">
        <f t="shared" si="23"/>
        <v>43581</v>
      </c>
    </row>
    <row r="120" spans="16:19" hidden="1" x14ac:dyDescent="0.25">
      <c r="P120" s="54">
        <f t="shared" si="28"/>
        <v>22</v>
      </c>
      <c r="Q120" s="61" t="str">
        <f t="shared" si="29"/>
        <v>Sha'baan</v>
      </c>
      <c r="R120" s="61" t="str">
        <f t="shared" si="20"/>
        <v>22Sha'baan</v>
      </c>
      <c r="S120" s="67">
        <f t="shared" si="23"/>
        <v>43582</v>
      </c>
    </row>
    <row r="121" spans="16:19" hidden="1" x14ac:dyDescent="0.25">
      <c r="P121" s="54">
        <f t="shared" si="28"/>
        <v>23</v>
      </c>
      <c r="Q121" s="61" t="str">
        <f t="shared" si="29"/>
        <v>Sha'baan</v>
      </c>
      <c r="R121" s="61" t="str">
        <f t="shared" si="20"/>
        <v>23Sha'baan</v>
      </c>
      <c r="S121" s="67">
        <f t="shared" si="23"/>
        <v>43583</v>
      </c>
    </row>
    <row r="122" spans="16:19" hidden="1" x14ac:dyDescent="0.25">
      <c r="P122" s="54">
        <f t="shared" si="28"/>
        <v>24</v>
      </c>
      <c r="Q122" s="61" t="str">
        <f t="shared" si="29"/>
        <v>Sha'baan</v>
      </c>
      <c r="R122" s="61" t="str">
        <f t="shared" si="20"/>
        <v>24Sha'baan</v>
      </c>
      <c r="S122" s="67">
        <f t="shared" si="23"/>
        <v>43584</v>
      </c>
    </row>
    <row r="123" spans="16:19" hidden="1" x14ac:dyDescent="0.25">
      <c r="P123" s="54">
        <f t="shared" si="28"/>
        <v>25</v>
      </c>
      <c r="Q123" s="61" t="str">
        <f t="shared" si="29"/>
        <v>Sha'baan</v>
      </c>
      <c r="R123" s="61" t="str">
        <f t="shared" si="20"/>
        <v>25Sha'baan</v>
      </c>
      <c r="S123" s="67">
        <f t="shared" si="23"/>
        <v>43585</v>
      </c>
    </row>
    <row r="124" spans="16:19" hidden="1" x14ac:dyDescent="0.25">
      <c r="P124" s="54">
        <f t="shared" si="28"/>
        <v>26</v>
      </c>
      <c r="Q124" s="61" t="str">
        <f t="shared" si="29"/>
        <v>Sha'baan</v>
      </c>
      <c r="R124" s="61" t="str">
        <f t="shared" si="20"/>
        <v>26Sha'baan</v>
      </c>
      <c r="S124" s="67">
        <f t="shared" si="23"/>
        <v>43586</v>
      </c>
    </row>
    <row r="125" spans="16:19" hidden="1" x14ac:dyDescent="0.25">
      <c r="P125" s="54">
        <f t="shared" si="28"/>
        <v>27</v>
      </c>
      <c r="Q125" s="61" t="str">
        <f t="shared" si="29"/>
        <v>Sha'baan</v>
      </c>
      <c r="R125" s="61" t="str">
        <f t="shared" si="20"/>
        <v>27Sha'baan</v>
      </c>
      <c r="S125" s="67">
        <f t="shared" si="23"/>
        <v>43587</v>
      </c>
    </row>
    <row r="126" spans="16:19" hidden="1" x14ac:dyDescent="0.25">
      <c r="P126" s="54">
        <f t="shared" si="28"/>
        <v>28</v>
      </c>
      <c r="Q126" s="61" t="str">
        <f t="shared" si="29"/>
        <v>Sha'baan</v>
      </c>
      <c r="R126" s="61" t="str">
        <f t="shared" si="20"/>
        <v>28Sha'baan</v>
      </c>
      <c r="S126" s="67">
        <f t="shared" si="23"/>
        <v>43588</v>
      </c>
    </row>
    <row r="127" spans="16:19" hidden="1" x14ac:dyDescent="0.25">
      <c r="P127" s="54">
        <f t="shared" si="28"/>
        <v>29</v>
      </c>
      <c r="Q127" s="61" t="str">
        <f t="shared" si="29"/>
        <v>Sha'baan</v>
      </c>
      <c r="R127" s="61" t="str">
        <f t="shared" si="20"/>
        <v>29Sha'baan</v>
      </c>
      <c r="S127" s="67">
        <f t="shared" si="23"/>
        <v>43589</v>
      </c>
    </row>
    <row r="128" spans="16:19" hidden="1" x14ac:dyDescent="0.25">
      <c r="P128" s="54">
        <f t="shared" si="28"/>
        <v>30</v>
      </c>
      <c r="Q128" s="61" t="str">
        <f t="shared" si="29"/>
        <v>Sha'baan</v>
      </c>
      <c r="R128" s="61" t="str">
        <f t="shared" si="20"/>
        <v>30Sha'baan</v>
      </c>
      <c r="S128" s="67">
        <f>IF(RamRef=5,S127,S127+1)</f>
        <v>43589</v>
      </c>
    </row>
    <row r="129" spans="16:19" hidden="1" x14ac:dyDescent="0.25">
      <c r="P129" s="54">
        <v>1</v>
      </c>
      <c r="Q129" s="61" t="s">
        <v>32</v>
      </c>
      <c r="R129" s="61" t="str">
        <f t="shared" si="20"/>
        <v>1Ramadaan</v>
      </c>
      <c r="S129" s="67">
        <f t="shared" si="23"/>
        <v>43590</v>
      </c>
    </row>
    <row r="130" spans="16:19" hidden="1" x14ac:dyDescent="0.25">
      <c r="P130" s="54">
        <f t="shared" ref="P130:P157" si="30">P129+1</f>
        <v>2</v>
      </c>
      <c r="Q130" s="61" t="str">
        <f t="shared" ref="Q130:Q157" si="31">Q129</f>
        <v>Ramadaan</v>
      </c>
      <c r="R130" s="61" t="str">
        <f t="shared" si="20"/>
        <v>2Ramadaan</v>
      </c>
      <c r="S130" s="67">
        <f t="shared" si="23"/>
        <v>43591</v>
      </c>
    </row>
    <row r="131" spans="16:19" hidden="1" x14ac:dyDescent="0.25">
      <c r="P131" s="54">
        <f t="shared" si="30"/>
        <v>3</v>
      </c>
      <c r="Q131" s="61" t="str">
        <f t="shared" si="31"/>
        <v>Ramadaan</v>
      </c>
      <c r="R131" s="61" t="str">
        <f t="shared" si="20"/>
        <v>3Ramadaan</v>
      </c>
      <c r="S131" s="67">
        <f t="shared" si="23"/>
        <v>43592</v>
      </c>
    </row>
    <row r="132" spans="16:19" hidden="1" x14ac:dyDescent="0.25">
      <c r="P132" s="54">
        <f t="shared" si="30"/>
        <v>4</v>
      </c>
      <c r="Q132" s="61" t="str">
        <f t="shared" si="31"/>
        <v>Ramadaan</v>
      </c>
      <c r="R132" s="61" t="str">
        <f t="shared" si="20"/>
        <v>4Ramadaan</v>
      </c>
      <c r="S132" s="67">
        <f t="shared" si="23"/>
        <v>43593</v>
      </c>
    </row>
    <row r="133" spans="16:19" hidden="1" x14ac:dyDescent="0.25">
      <c r="P133" s="54">
        <f t="shared" si="30"/>
        <v>5</v>
      </c>
      <c r="Q133" s="61" t="str">
        <f t="shared" si="31"/>
        <v>Ramadaan</v>
      </c>
      <c r="R133" s="61" t="str">
        <f t="shared" ref="R133:R197" si="32">P133&amp;Q133</f>
        <v>5Ramadaan</v>
      </c>
      <c r="S133" s="67">
        <f t="shared" si="23"/>
        <v>43594</v>
      </c>
    </row>
    <row r="134" spans="16:19" hidden="1" x14ac:dyDescent="0.25">
      <c r="P134" s="54">
        <f t="shared" si="30"/>
        <v>6</v>
      </c>
      <c r="Q134" s="61" t="str">
        <f t="shared" si="31"/>
        <v>Ramadaan</v>
      </c>
      <c r="R134" s="61" t="str">
        <f t="shared" si="32"/>
        <v>6Ramadaan</v>
      </c>
      <c r="S134" s="67">
        <f t="shared" ref="S134:S198" si="33">S133+1</f>
        <v>43595</v>
      </c>
    </row>
    <row r="135" spans="16:19" hidden="1" x14ac:dyDescent="0.25">
      <c r="P135" s="54">
        <f t="shared" si="30"/>
        <v>7</v>
      </c>
      <c r="Q135" s="61" t="str">
        <f t="shared" si="31"/>
        <v>Ramadaan</v>
      </c>
      <c r="R135" s="61" t="str">
        <f t="shared" si="32"/>
        <v>7Ramadaan</v>
      </c>
      <c r="S135" s="67">
        <f t="shared" si="33"/>
        <v>43596</v>
      </c>
    </row>
    <row r="136" spans="16:19" hidden="1" x14ac:dyDescent="0.25">
      <c r="P136" s="54">
        <f t="shared" si="30"/>
        <v>8</v>
      </c>
      <c r="Q136" s="61" t="str">
        <f t="shared" si="31"/>
        <v>Ramadaan</v>
      </c>
      <c r="R136" s="61" t="str">
        <f t="shared" si="32"/>
        <v>8Ramadaan</v>
      </c>
      <c r="S136" s="67">
        <f t="shared" si="33"/>
        <v>43597</v>
      </c>
    </row>
    <row r="137" spans="16:19" hidden="1" x14ac:dyDescent="0.25">
      <c r="P137" s="54">
        <f t="shared" si="30"/>
        <v>9</v>
      </c>
      <c r="Q137" s="61" t="str">
        <f t="shared" si="31"/>
        <v>Ramadaan</v>
      </c>
      <c r="R137" s="61" t="str">
        <f t="shared" si="32"/>
        <v>9Ramadaan</v>
      </c>
      <c r="S137" s="67">
        <f t="shared" si="33"/>
        <v>43598</v>
      </c>
    </row>
    <row r="138" spans="16:19" hidden="1" x14ac:dyDescent="0.25">
      <c r="P138" s="54">
        <f t="shared" si="30"/>
        <v>10</v>
      </c>
      <c r="Q138" s="61" t="str">
        <f t="shared" si="31"/>
        <v>Ramadaan</v>
      </c>
      <c r="R138" s="61" t="str">
        <f t="shared" si="32"/>
        <v>10Ramadaan</v>
      </c>
      <c r="S138" s="67">
        <f t="shared" si="33"/>
        <v>43599</v>
      </c>
    </row>
    <row r="139" spans="16:19" hidden="1" x14ac:dyDescent="0.25">
      <c r="P139" s="54">
        <f t="shared" si="30"/>
        <v>11</v>
      </c>
      <c r="Q139" s="61" t="str">
        <f t="shared" si="31"/>
        <v>Ramadaan</v>
      </c>
      <c r="R139" s="61" t="str">
        <f t="shared" si="32"/>
        <v>11Ramadaan</v>
      </c>
      <c r="S139" s="67">
        <f t="shared" si="33"/>
        <v>43600</v>
      </c>
    </row>
    <row r="140" spans="16:19" hidden="1" x14ac:dyDescent="0.25">
      <c r="P140" s="54">
        <f t="shared" si="30"/>
        <v>12</v>
      </c>
      <c r="Q140" s="61" t="str">
        <f t="shared" si="31"/>
        <v>Ramadaan</v>
      </c>
      <c r="R140" s="61" t="str">
        <f t="shared" si="32"/>
        <v>12Ramadaan</v>
      </c>
      <c r="S140" s="67">
        <f t="shared" si="33"/>
        <v>43601</v>
      </c>
    </row>
    <row r="141" spans="16:19" hidden="1" x14ac:dyDescent="0.25">
      <c r="P141" s="54">
        <f t="shared" si="30"/>
        <v>13</v>
      </c>
      <c r="Q141" s="61" t="str">
        <f t="shared" si="31"/>
        <v>Ramadaan</v>
      </c>
      <c r="R141" s="61" t="str">
        <f t="shared" si="32"/>
        <v>13Ramadaan</v>
      </c>
      <c r="S141" s="67">
        <f t="shared" si="33"/>
        <v>43602</v>
      </c>
    </row>
    <row r="142" spans="16:19" hidden="1" x14ac:dyDescent="0.25">
      <c r="P142" s="54">
        <f t="shared" si="30"/>
        <v>14</v>
      </c>
      <c r="Q142" s="61" t="str">
        <f t="shared" si="31"/>
        <v>Ramadaan</v>
      </c>
      <c r="R142" s="61" t="str">
        <f t="shared" si="32"/>
        <v>14Ramadaan</v>
      </c>
      <c r="S142" s="67">
        <f t="shared" si="33"/>
        <v>43603</v>
      </c>
    </row>
    <row r="143" spans="16:19" hidden="1" x14ac:dyDescent="0.25">
      <c r="P143" s="54">
        <f t="shared" si="30"/>
        <v>15</v>
      </c>
      <c r="Q143" s="61" t="str">
        <f t="shared" si="31"/>
        <v>Ramadaan</v>
      </c>
      <c r="R143" s="61" t="str">
        <f t="shared" si="32"/>
        <v>15Ramadaan</v>
      </c>
      <c r="S143" s="67">
        <f t="shared" si="33"/>
        <v>43604</v>
      </c>
    </row>
    <row r="144" spans="16:19" hidden="1" x14ac:dyDescent="0.25">
      <c r="P144" s="54">
        <f t="shared" si="30"/>
        <v>16</v>
      </c>
      <c r="Q144" s="61" t="str">
        <f t="shared" si="31"/>
        <v>Ramadaan</v>
      </c>
      <c r="R144" s="61" t="str">
        <f t="shared" si="32"/>
        <v>16Ramadaan</v>
      </c>
      <c r="S144" s="67">
        <f t="shared" si="33"/>
        <v>43605</v>
      </c>
    </row>
    <row r="145" spans="16:19" hidden="1" x14ac:dyDescent="0.25">
      <c r="P145" s="54">
        <f t="shared" si="30"/>
        <v>17</v>
      </c>
      <c r="Q145" s="61" t="str">
        <f t="shared" si="31"/>
        <v>Ramadaan</v>
      </c>
      <c r="R145" s="61" t="str">
        <f t="shared" si="32"/>
        <v>17Ramadaan</v>
      </c>
      <c r="S145" s="67">
        <f t="shared" si="33"/>
        <v>43606</v>
      </c>
    </row>
    <row r="146" spans="16:19" hidden="1" x14ac:dyDescent="0.25">
      <c r="P146" s="54">
        <f t="shared" si="30"/>
        <v>18</v>
      </c>
      <c r="Q146" s="61" t="str">
        <f t="shared" si="31"/>
        <v>Ramadaan</v>
      </c>
      <c r="R146" s="61" t="str">
        <f t="shared" si="32"/>
        <v>18Ramadaan</v>
      </c>
      <c r="S146" s="67">
        <f t="shared" si="33"/>
        <v>43607</v>
      </c>
    </row>
    <row r="147" spans="16:19" hidden="1" x14ac:dyDescent="0.25">
      <c r="P147" s="54">
        <f t="shared" si="30"/>
        <v>19</v>
      </c>
      <c r="Q147" s="61" t="str">
        <f t="shared" si="31"/>
        <v>Ramadaan</v>
      </c>
      <c r="R147" s="61" t="str">
        <f t="shared" si="32"/>
        <v>19Ramadaan</v>
      </c>
      <c r="S147" s="67">
        <f t="shared" si="33"/>
        <v>43608</v>
      </c>
    </row>
    <row r="148" spans="16:19" hidden="1" x14ac:dyDescent="0.25">
      <c r="P148" s="54">
        <f t="shared" si="30"/>
        <v>20</v>
      </c>
      <c r="Q148" s="61" t="str">
        <f t="shared" si="31"/>
        <v>Ramadaan</v>
      </c>
      <c r="R148" s="61" t="str">
        <f t="shared" si="32"/>
        <v>20Ramadaan</v>
      </c>
      <c r="S148" s="67">
        <f t="shared" si="33"/>
        <v>43609</v>
      </c>
    </row>
    <row r="149" spans="16:19" hidden="1" x14ac:dyDescent="0.25">
      <c r="P149" s="54">
        <f t="shared" si="30"/>
        <v>21</v>
      </c>
      <c r="Q149" s="61" t="str">
        <f t="shared" si="31"/>
        <v>Ramadaan</v>
      </c>
      <c r="R149" s="61" t="str">
        <f t="shared" si="32"/>
        <v>21Ramadaan</v>
      </c>
      <c r="S149" s="67">
        <f t="shared" si="33"/>
        <v>43610</v>
      </c>
    </row>
    <row r="150" spans="16:19" hidden="1" x14ac:dyDescent="0.25">
      <c r="P150" s="54">
        <f t="shared" si="30"/>
        <v>22</v>
      </c>
      <c r="Q150" s="61" t="str">
        <f t="shared" si="31"/>
        <v>Ramadaan</v>
      </c>
      <c r="R150" s="61" t="str">
        <f t="shared" si="32"/>
        <v>22Ramadaan</v>
      </c>
      <c r="S150" s="67">
        <f t="shared" si="33"/>
        <v>43611</v>
      </c>
    </row>
    <row r="151" spans="16:19" hidden="1" x14ac:dyDescent="0.25">
      <c r="P151" s="54">
        <f t="shared" si="30"/>
        <v>23</v>
      </c>
      <c r="Q151" s="61" t="str">
        <f t="shared" si="31"/>
        <v>Ramadaan</v>
      </c>
      <c r="R151" s="61" t="str">
        <f t="shared" si="32"/>
        <v>23Ramadaan</v>
      </c>
      <c r="S151" s="67">
        <f t="shared" si="33"/>
        <v>43612</v>
      </c>
    </row>
    <row r="152" spans="16:19" hidden="1" x14ac:dyDescent="0.25">
      <c r="P152" s="54">
        <f t="shared" si="30"/>
        <v>24</v>
      </c>
      <c r="Q152" s="61" t="str">
        <f t="shared" si="31"/>
        <v>Ramadaan</v>
      </c>
      <c r="R152" s="61" t="str">
        <f t="shared" si="32"/>
        <v>24Ramadaan</v>
      </c>
      <c r="S152" s="67">
        <f t="shared" si="33"/>
        <v>43613</v>
      </c>
    </row>
    <row r="153" spans="16:19" hidden="1" x14ac:dyDescent="0.25">
      <c r="P153" s="54">
        <f t="shared" si="30"/>
        <v>25</v>
      </c>
      <c r="Q153" s="61" t="str">
        <f t="shared" si="31"/>
        <v>Ramadaan</v>
      </c>
      <c r="R153" s="61" t="str">
        <f t="shared" si="32"/>
        <v>25Ramadaan</v>
      </c>
      <c r="S153" s="67">
        <f t="shared" si="33"/>
        <v>43614</v>
      </c>
    </row>
    <row r="154" spans="16:19" hidden="1" x14ac:dyDescent="0.25">
      <c r="P154" s="54">
        <f t="shared" si="30"/>
        <v>26</v>
      </c>
      <c r="Q154" s="61" t="str">
        <f t="shared" si="31"/>
        <v>Ramadaan</v>
      </c>
      <c r="R154" s="61" t="str">
        <f t="shared" si="32"/>
        <v>26Ramadaan</v>
      </c>
      <c r="S154" s="67">
        <f t="shared" si="33"/>
        <v>43615</v>
      </c>
    </row>
    <row r="155" spans="16:19" hidden="1" x14ac:dyDescent="0.25">
      <c r="P155" s="54">
        <f t="shared" si="30"/>
        <v>27</v>
      </c>
      <c r="Q155" s="61" t="str">
        <f t="shared" si="31"/>
        <v>Ramadaan</v>
      </c>
      <c r="R155" s="61" t="str">
        <f t="shared" si="32"/>
        <v>27Ramadaan</v>
      </c>
      <c r="S155" s="67">
        <f t="shared" si="33"/>
        <v>43616</v>
      </c>
    </row>
    <row r="156" spans="16:19" hidden="1" x14ac:dyDescent="0.25">
      <c r="P156" s="54">
        <f t="shared" si="30"/>
        <v>28</v>
      </c>
      <c r="Q156" s="61" t="str">
        <f t="shared" si="31"/>
        <v>Ramadaan</v>
      </c>
      <c r="R156" s="61" t="str">
        <f t="shared" si="32"/>
        <v>28Ramadaan</v>
      </c>
      <c r="S156" s="67">
        <f t="shared" si="33"/>
        <v>43617</v>
      </c>
    </row>
    <row r="157" spans="16:19" hidden="1" x14ac:dyDescent="0.25">
      <c r="P157" s="54">
        <f t="shared" si="30"/>
        <v>29</v>
      </c>
      <c r="Q157" s="61" t="str">
        <f t="shared" si="31"/>
        <v>Ramadaan</v>
      </c>
      <c r="R157" s="61" t="str">
        <f t="shared" si="32"/>
        <v>29Ramadaan</v>
      </c>
      <c r="S157" s="67">
        <f t="shared" si="33"/>
        <v>43618</v>
      </c>
    </row>
    <row r="158" spans="16:19" hidden="1" x14ac:dyDescent="0.25">
      <c r="P158" s="54">
        <f t="shared" ref="P158" si="34">P157+1</f>
        <v>30</v>
      </c>
      <c r="Q158" s="61" t="str">
        <f t="shared" ref="Q158" si="35">Q157</f>
        <v>Ramadaan</v>
      </c>
      <c r="R158" s="61" t="str">
        <f t="shared" ref="R158" si="36">P158&amp;Q158</f>
        <v>30Ramadaan</v>
      </c>
      <c r="S158" s="67">
        <f>IF(RamRef=5,S157+1,S157)</f>
        <v>43619</v>
      </c>
    </row>
    <row r="159" spans="16:19" hidden="1" x14ac:dyDescent="0.25">
      <c r="P159" s="54">
        <v>1</v>
      </c>
      <c r="Q159" s="61" t="s">
        <v>33</v>
      </c>
      <c r="R159" s="61" t="str">
        <f t="shared" si="32"/>
        <v>1Shawwal</v>
      </c>
      <c r="S159" s="67">
        <f t="shared" si="33"/>
        <v>43620</v>
      </c>
    </row>
    <row r="160" spans="16:19" hidden="1" x14ac:dyDescent="0.25">
      <c r="P160" s="54">
        <f t="shared" ref="P160" si="37">P159+1</f>
        <v>2</v>
      </c>
      <c r="Q160" s="61" t="str">
        <f t="shared" ref="Q160" si="38">Q159</f>
        <v>Shawwal</v>
      </c>
      <c r="R160" s="61" t="str">
        <f t="shared" si="32"/>
        <v>2Shawwal</v>
      </c>
      <c r="S160" s="67">
        <f t="shared" si="33"/>
        <v>43621</v>
      </c>
    </row>
    <row r="161" spans="16:19" hidden="1" x14ac:dyDescent="0.25">
      <c r="P161" s="54">
        <f t="shared" ref="P161:P187" si="39">P160+1</f>
        <v>3</v>
      </c>
      <c r="Q161" s="61" t="str">
        <f t="shared" ref="Q161:Q187" si="40">Q160</f>
        <v>Shawwal</v>
      </c>
      <c r="R161" s="61" t="str">
        <f t="shared" si="32"/>
        <v>3Shawwal</v>
      </c>
      <c r="S161" s="67">
        <f t="shared" si="33"/>
        <v>43622</v>
      </c>
    </row>
    <row r="162" spans="16:19" hidden="1" x14ac:dyDescent="0.25">
      <c r="P162" s="54">
        <f t="shared" si="39"/>
        <v>4</v>
      </c>
      <c r="Q162" s="61" t="str">
        <f t="shared" si="40"/>
        <v>Shawwal</v>
      </c>
      <c r="R162" s="61" t="str">
        <f t="shared" si="32"/>
        <v>4Shawwal</v>
      </c>
      <c r="S162" s="67">
        <f t="shared" si="33"/>
        <v>43623</v>
      </c>
    </row>
    <row r="163" spans="16:19" hidden="1" x14ac:dyDescent="0.25">
      <c r="P163" s="54">
        <f t="shared" si="39"/>
        <v>5</v>
      </c>
      <c r="Q163" s="61" t="str">
        <f t="shared" si="40"/>
        <v>Shawwal</v>
      </c>
      <c r="R163" s="61" t="str">
        <f t="shared" si="32"/>
        <v>5Shawwal</v>
      </c>
      <c r="S163" s="67">
        <f t="shared" si="33"/>
        <v>43624</v>
      </c>
    </row>
    <row r="164" spans="16:19" hidden="1" x14ac:dyDescent="0.25">
      <c r="P164" s="54">
        <f t="shared" si="39"/>
        <v>6</v>
      </c>
      <c r="Q164" s="61" t="str">
        <f t="shared" si="40"/>
        <v>Shawwal</v>
      </c>
      <c r="R164" s="61" t="str">
        <f t="shared" si="32"/>
        <v>6Shawwal</v>
      </c>
      <c r="S164" s="67">
        <f t="shared" si="33"/>
        <v>43625</v>
      </c>
    </row>
    <row r="165" spans="16:19" hidden="1" x14ac:dyDescent="0.25">
      <c r="P165" s="54">
        <f t="shared" si="39"/>
        <v>7</v>
      </c>
      <c r="Q165" s="61" t="str">
        <f t="shared" si="40"/>
        <v>Shawwal</v>
      </c>
      <c r="R165" s="61" t="str">
        <f t="shared" si="32"/>
        <v>7Shawwal</v>
      </c>
      <c r="S165" s="67">
        <f t="shared" si="33"/>
        <v>43626</v>
      </c>
    </row>
    <row r="166" spans="16:19" hidden="1" x14ac:dyDescent="0.25">
      <c r="P166" s="54">
        <f t="shared" si="39"/>
        <v>8</v>
      </c>
      <c r="Q166" s="61" t="str">
        <f t="shared" si="40"/>
        <v>Shawwal</v>
      </c>
      <c r="R166" s="61" t="str">
        <f t="shared" si="32"/>
        <v>8Shawwal</v>
      </c>
      <c r="S166" s="67">
        <f t="shared" si="33"/>
        <v>43627</v>
      </c>
    </row>
    <row r="167" spans="16:19" hidden="1" x14ac:dyDescent="0.25">
      <c r="P167" s="54">
        <f t="shared" si="39"/>
        <v>9</v>
      </c>
      <c r="Q167" s="61" t="str">
        <f t="shared" si="40"/>
        <v>Shawwal</v>
      </c>
      <c r="R167" s="61" t="str">
        <f t="shared" si="32"/>
        <v>9Shawwal</v>
      </c>
      <c r="S167" s="67">
        <f t="shared" si="33"/>
        <v>43628</v>
      </c>
    </row>
    <row r="168" spans="16:19" hidden="1" x14ac:dyDescent="0.25">
      <c r="P168" s="54">
        <f t="shared" si="39"/>
        <v>10</v>
      </c>
      <c r="Q168" s="61" t="str">
        <f t="shared" si="40"/>
        <v>Shawwal</v>
      </c>
      <c r="R168" s="61" t="str">
        <f t="shared" si="32"/>
        <v>10Shawwal</v>
      </c>
      <c r="S168" s="67">
        <f t="shared" si="33"/>
        <v>43629</v>
      </c>
    </row>
    <row r="169" spans="16:19" hidden="1" x14ac:dyDescent="0.25">
      <c r="P169" s="54">
        <f t="shared" si="39"/>
        <v>11</v>
      </c>
      <c r="Q169" s="61" t="str">
        <f t="shared" si="40"/>
        <v>Shawwal</v>
      </c>
      <c r="R169" s="61" t="str">
        <f t="shared" si="32"/>
        <v>11Shawwal</v>
      </c>
      <c r="S169" s="67">
        <f t="shared" si="33"/>
        <v>43630</v>
      </c>
    </row>
    <row r="170" spans="16:19" hidden="1" x14ac:dyDescent="0.25">
      <c r="P170" s="54">
        <f t="shared" si="39"/>
        <v>12</v>
      </c>
      <c r="Q170" s="61" t="str">
        <f t="shared" si="40"/>
        <v>Shawwal</v>
      </c>
      <c r="R170" s="61" t="str">
        <f t="shared" si="32"/>
        <v>12Shawwal</v>
      </c>
      <c r="S170" s="67">
        <f t="shared" si="33"/>
        <v>43631</v>
      </c>
    </row>
    <row r="171" spans="16:19" hidden="1" x14ac:dyDescent="0.25">
      <c r="P171" s="54">
        <f t="shared" si="39"/>
        <v>13</v>
      </c>
      <c r="Q171" s="61" t="str">
        <f t="shared" si="40"/>
        <v>Shawwal</v>
      </c>
      <c r="R171" s="61" t="str">
        <f t="shared" si="32"/>
        <v>13Shawwal</v>
      </c>
      <c r="S171" s="67">
        <f t="shared" si="33"/>
        <v>43632</v>
      </c>
    </row>
    <row r="172" spans="16:19" hidden="1" x14ac:dyDescent="0.25">
      <c r="P172" s="54">
        <f t="shared" si="39"/>
        <v>14</v>
      </c>
      <c r="Q172" s="61" t="str">
        <f t="shared" si="40"/>
        <v>Shawwal</v>
      </c>
      <c r="R172" s="61" t="str">
        <f t="shared" si="32"/>
        <v>14Shawwal</v>
      </c>
      <c r="S172" s="67">
        <f t="shared" si="33"/>
        <v>43633</v>
      </c>
    </row>
    <row r="173" spans="16:19" hidden="1" x14ac:dyDescent="0.25">
      <c r="P173" s="54">
        <f t="shared" si="39"/>
        <v>15</v>
      </c>
      <c r="Q173" s="61" t="str">
        <f t="shared" si="40"/>
        <v>Shawwal</v>
      </c>
      <c r="R173" s="61" t="str">
        <f t="shared" si="32"/>
        <v>15Shawwal</v>
      </c>
      <c r="S173" s="67">
        <f t="shared" si="33"/>
        <v>43634</v>
      </c>
    </row>
    <row r="174" spans="16:19" hidden="1" x14ac:dyDescent="0.25">
      <c r="P174" s="54">
        <f t="shared" si="39"/>
        <v>16</v>
      </c>
      <c r="Q174" s="61" t="str">
        <f t="shared" si="40"/>
        <v>Shawwal</v>
      </c>
      <c r="R174" s="61" t="str">
        <f t="shared" si="32"/>
        <v>16Shawwal</v>
      </c>
      <c r="S174" s="67">
        <f t="shared" si="33"/>
        <v>43635</v>
      </c>
    </row>
    <row r="175" spans="16:19" hidden="1" x14ac:dyDescent="0.25">
      <c r="P175" s="54">
        <f t="shared" si="39"/>
        <v>17</v>
      </c>
      <c r="Q175" s="61" t="str">
        <f t="shared" si="40"/>
        <v>Shawwal</v>
      </c>
      <c r="R175" s="61" t="str">
        <f t="shared" si="32"/>
        <v>17Shawwal</v>
      </c>
      <c r="S175" s="67">
        <f t="shared" si="33"/>
        <v>43636</v>
      </c>
    </row>
    <row r="176" spans="16:19" hidden="1" x14ac:dyDescent="0.25">
      <c r="P176" s="54">
        <f t="shared" si="39"/>
        <v>18</v>
      </c>
      <c r="Q176" s="61" t="str">
        <f t="shared" si="40"/>
        <v>Shawwal</v>
      </c>
      <c r="R176" s="61" t="str">
        <f t="shared" si="32"/>
        <v>18Shawwal</v>
      </c>
      <c r="S176" s="67">
        <f t="shared" si="33"/>
        <v>43637</v>
      </c>
    </row>
    <row r="177" spans="16:19" hidden="1" x14ac:dyDescent="0.25">
      <c r="P177" s="54">
        <f t="shared" si="39"/>
        <v>19</v>
      </c>
      <c r="Q177" s="61" t="str">
        <f t="shared" si="40"/>
        <v>Shawwal</v>
      </c>
      <c r="R177" s="61" t="str">
        <f t="shared" si="32"/>
        <v>19Shawwal</v>
      </c>
      <c r="S177" s="67">
        <f t="shared" si="33"/>
        <v>43638</v>
      </c>
    </row>
    <row r="178" spans="16:19" hidden="1" x14ac:dyDescent="0.25">
      <c r="P178" s="54">
        <f t="shared" si="39"/>
        <v>20</v>
      </c>
      <c r="Q178" s="61" t="str">
        <f t="shared" si="40"/>
        <v>Shawwal</v>
      </c>
      <c r="R178" s="61" t="str">
        <f t="shared" si="32"/>
        <v>20Shawwal</v>
      </c>
      <c r="S178" s="67">
        <f t="shared" si="33"/>
        <v>43639</v>
      </c>
    </row>
    <row r="179" spans="16:19" hidden="1" x14ac:dyDescent="0.25">
      <c r="P179" s="54">
        <f t="shared" si="39"/>
        <v>21</v>
      </c>
      <c r="Q179" s="61" t="str">
        <f t="shared" si="40"/>
        <v>Shawwal</v>
      </c>
      <c r="R179" s="61" t="str">
        <f t="shared" si="32"/>
        <v>21Shawwal</v>
      </c>
      <c r="S179" s="67">
        <f t="shared" si="33"/>
        <v>43640</v>
      </c>
    </row>
    <row r="180" spans="16:19" hidden="1" x14ac:dyDescent="0.25">
      <c r="P180" s="54">
        <f t="shared" si="39"/>
        <v>22</v>
      </c>
      <c r="Q180" s="61" t="str">
        <f t="shared" si="40"/>
        <v>Shawwal</v>
      </c>
      <c r="R180" s="61" t="str">
        <f t="shared" si="32"/>
        <v>22Shawwal</v>
      </c>
      <c r="S180" s="67">
        <f t="shared" si="33"/>
        <v>43641</v>
      </c>
    </row>
    <row r="181" spans="16:19" hidden="1" x14ac:dyDescent="0.25">
      <c r="P181" s="54">
        <f t="shared" si="39"/>
        <v>23</v>
      </c>
      <c r="Q181" s="61" t="str">
        <f t="shared" si="40"/>
        <v>Shawwal</v>
      </c>
      <c r="R181" s="61" t="str">
        <f t="shared" si="32"/>
        <v>23Shawwal</v>
      </c>
      <c r="S181" s="67">
        <f t="shared" si="33"/>
        <v>43642</v>
      </c>
    </row>
    <row r="182" spans="16:19" hidden="1" x14ac:dyDescent="0.25">
      <c r="P182" s="54">
        <f t="shared" si="39"/>
        <v>24</v>
      </c>
      <c r="Q182" s="61" t="str">
        <f t="shared" si="40"/>
        <v>Shawwal</v>
      </c>
      <c r="R182" s="61" t="str">
        <f t="shared" si="32"/>
        <v>24Shawwal</v>
      </c>
      <c r="S182" s="67">
        <f t="shared" si="33"/>
        <v>43643</v>
      </c>
    </row>
    <row r="183" spans="16:19" hidden="1" x14ac:dyDescent="0.25">
      <c r="P183" s="54">
        <f t="shared" si="39"/>
        <v>25</v>
      </c>
      <c r="Q183" s="61" t="str">
        <f t="shared" si="40"/>
        <v>Shawwal</v>
      </c>
      <c r="R183" s="61" t="str">
        <f t="shared" si="32"/>
        <v>25Shawwal</v>
      </c>
      <c r="S183" s="67">
        <f t="shared" si="33"/>
        <v>43644</v>
      </c>
    </row>
    <row r="184" spans="16:19" hidden="1" x14ac:dyDescent="0.25">
      <c r="P184" s="54">
        <f t="shared" si="39"/>
        <v>26</v>
      </c>
      <c r="Q184" s="61" t="str">
        <f t="shared" si="40"/>
        <v>Shawwal</v>
      </c>
      <c r="R184" s="61" t="str">
        <f t="shared" si="32"/>
        <v>26Shawwal</v>
      </c>
      <c r="S184" s="67">
        <f t="shared" si="33"/>
        <v>43645</v>
      </c>
    </row>
    <row r="185" spans="16:19" hidden="1" x14ac:dyDescent="0.25">
      <c r="P185" s="54">
        <f t="shared" si="39"/>
        <v>27</v>
      </c>
      <c r="Q185" s="61" t="str">
        <f t="shared" si="40"/>
        <v>Shawwal</v>
      </c>
      <c r="R185" s="61" t="str">
        <f t="shared" si="32"/>
        <v>27Shawwal</v>
      </c>
      <c r="S185" s="67">
        <f t="shared" si="33"/>
        <v>43646</v>
      </c>
    </row>
    <row r="186" spans="16:19" hidden="1" x14ac:dyDescent="0.25">
      <c r="P186" s="54">
        <f t="shared" si="39"/>
        <v>28</v>
      </c>
      <c r="Q186" s="61" t="str">
        <f t="shared" si="40"/>
        <v>Shawwal</v>
      </c>
      <c r="R186" s="61" t="str">
        <f t="shared" si="32"/>
        <v>28Shawwal</v>
      </c>
      <c r="S186" s="67">
        <f t="shared" si="33"/>
        <v>43647</v>
      </c>
    </row>
    <row r="187" spans="16:19" hidden="1" x14ac:dyDescent="0.25">
      <c r="P187" s="54">
        <f t="shared" si="39"/>
        <v>29</v>
      </c>
      <c r="Q187" s="61" t="str">
        <f t="shared" si="40"/>
        <v>Shawwal</v>
      </c>
      <c r="R187" s="61" t="str">
        <f t="shared" si="32"/>
        <v>29Shawwal</v>
      </c>
      <c r="S187" s="67">
        <f t="shared" si="33"/>
        <v>43648</v>
      </c>
    </row>
    <row r="188" spans="16:19" hidden="1" x14ac:dyDescent="0.25">
      <c r="P188" s="54">
        <v>1</v>
      </c>
      <c r="Q188" s="61" t="s">
        <v>34</v>
      </c>
      <c r="R188" s="61" t="str">
        <f t="shared" si="32"/>
        <v>1Zul Qa'dah</v>
      </c>
      <c r="S188" s="67">
        <f t="shared" si="33"/>
        <v>43649</v>
      </c>
    </row>
    <row r="189" spans="16:19" hidden="1" x14ac:dyDescent="0.25">
      <c r="P189" s="54">
        <f t="shared" ref="P189" si="41">P188+1</f>
        <v>2</v>
      </c>
      <c r="Q189" s="61" t="str">
        <f t="shared" ref="Q189" si="42">Q188</f>
        <v>Zul Qa'dah</v>
      </c>
      <c r="R189" s="61" t="str">
        <f t="shared" si="32"/>
        <v>2Zul Qa'dah</v>
      </c>
      <c r="S189" s="67">
        <f t="shared" si="33"/>
        <v>43650</v>
      </c>
    </row>
    <row r="190" spans="16:19" hidden="1" x14ac:dyDescent="0.25">
      <c r="P190" s="54">
        <f t="shared" ref="P190:P217" si="43">P189+1</f>
        <v>3</v>
      </c>
      <c r="Q190" s="61" t="str">
        <f t="shared" ref="Q190:Q217" si="44">Q189</f>
        <v>Zul Qa'dah</v>
      </c>
      <c r="R190" s="61" t="str">
        <f t="shared" si="32"/>
        <v>3Zul Qa'dah</v>
      </c>
      <c r="S190" s="67">
        <f t="shared" si="33"/>
        <v>43651</v>
      </c>
    </row>
    <row r="191" spans="16:19" hidden="1" x14ac:dyDescent="0.25">
      <c r="P191" s="54">
        <f t="shared" si="43"/>
        <v>4</v>
      </c>
      <c r="Q191" s="61" t="str">
        <f t="shared" si="44"/>
        <v>Zul Qa'dah</v>
      </c>
      <c r="R191" s="61" t="str">
        <f t="shared" si="32"/>
        <v>4Zul Qa'dah</v>
      </c>
      <c r="S191" s="67">
        <f t="shared" si="33"/>
        <v>43652</v>
      </c>
    </row>
    <row r="192" spans="16:19" hidden="1" x14ac:dyDescent="0.25">
      <c r="P192" s="54">
        <f t="shared" si="43"/>
        <v>5</v>
      </c>
      <c r="Q192" s="61" t="str">
        <f t="shared" si="44"/>
        <v>Zul Qa'dah</v>
      </c>
      <c r="R192" s="61" t="str">
        <f t="shared" si="32"/>
        <v>5Zul Qa'dah</v>
      </c>
      <c r="S192" s="67">
        <f t="shared" si="33"/>
        <v>43653</v>
      </c>
    </row>
    <row r="193" spans="16:19" hidden="1" x14ac:dyDescent="0.25">
      <c r="P193" s="54">
        <f t="shared" si="43"/>
        <v>6</v>
      </c>
      <c r="Q193" s="61" t="str">
        <f t="shared" si="44"/>
        <v>Zul Qa'dah</v>
      </c>
      <c r="R193" s="61" t="str">
        <f t="shared" si="32"/>
        <v>6Zul Qa'dah</v>
      </c>
      <c r="S193" s="67">
        <f t="shared" si="33"/>
        <v>43654</v>
      </c>
    </row>
    <row r="194" spans="16:19" hidden="1" x14ac:dyDescent="0.25">
      <c r="P194" s="54">
        <f t="shared" si="43"/>
        <v>7</v>
      </c>
      <c r="Q194" s="61" t="str">
        <f t="shared" si="44"/>
        <v>Zul Qa'dah</v>
      </c>
      <c r="R194" s="61" t="str">
        <f t="shared" si="32"/>
        <v>7Zul Qa'dah</v>
      </c>
      <c r="S194" s="67">
        <f t="shared" si="33"/>
        <v>43655</v>
      </c>
    </row>
    <row r="195" spans="16:19" hidden="1" x14ac:dyDescent="0.25">
      <c r="P195" s="54">
        <f t="shared" si="43"/>
        <v>8</v>
      </c>
      <c r="Q195" s="61" t="str">
        <f t="shared" si="44"/>
        <v>Zul Qa'dah</v>
      </c>
      <c r="R195" s="61" t="str">
        <f t="shared" si="32"/>
        <v>8Zul Qa'dah</v>
      </c>
      <c r="S195" s="67">
        <f t="shared" si="33"/>
        <v>43656</v>
      </c>
    </row>
    <row r="196" spans="16:19" hidden="1" x14ac:dyDescent="0.25">
      <c r="P196" s="54">
        <f t="shared" si="43"/>
        <v>9</v>
      </c>
      <c r="Q196" s="61" t="str">
        <f t="shared" si="44"/>
        <v>Zul Qa'dah</v>
      </c>
      <c r="R196" s="61" t="str">
        <f t="shared" si="32"/>
        <v>9Zul Qa'dah</v>
      </c>
      <c r="S196" s="67">
        <f t="shared" si="33"/>
        <v>43657</v>
      </c>
    </row>
    <row r="197" spans="16:19" hidden="1" x14ac:dyDescent="0.25">
      <c r="P197" s="54">
        <f t="shared" si="43"/>
        <v>10</v>
      </c>
      <c r="Q197" s="61" t="str">
        <f t="shared" si="44"/>
        <v>Zul Qa'dah</v>
      </c>
      <c r="R197" s="61" t="str">
        <f t="shared" si="32"/>
        <v>10Zul Qa'dah</v>
      </c>
      <c r="S197" s="67">
        <f t="shared" si="33"/>
        <v>43658</v>
      </c>
    </row>
    <row r="198" spans="16:19" hidden="1" x14ac:dyDescent="0.25">
      <c r="P198" s="54">
        <f t="shared" si="43"/>
        <v>11</v>
      </c>
      <c r="Q198" s="61" t="str">
        <f t="shared" si="44"/>
        <v>Zul Qa'dah</v>
      </c>
      <c r="R198" s="61" t="str">
        <f t="shared" ref="R198:R261" si="45">P198&amp;Q198</f>
        <v>11Zul Qa'dah</v>
      </c>
      <c r="S198" s="67">
        <f t="shared" si="33"/>
        <v>43659</v>
      </c>
    </row>
    <row r="199" spans="16:19" hidden="1" x14ac:dyDescent="0.25">
      <c r="P199" s="54">
        <f t="shared" si="43"/>
        <v>12</v>
      </c>
      <c r="Q199" s="61" t="str">
        <f t="shared" si="44"/>
        <v>Zul Qa'dah</v>
      </c>
      <c r="R199" s="61" t="str">
        <f t="shared" si="45"/>
        <v>12Zul Qa'dah</v>
      </c>
      <c r="S199" s="67">
        <f t="shared" ref="S199:S262" si="46">S198+1</f>
        <v>43660</v>
      </c>
    </row>
    <row r="200" spans="16:19" hidden="1" x14ac:dyDescent="0.25">
      <c r="P200" s="54">
        <f t="shared" si="43"/>
        <v>13</v>
      </c>
      <c r="Q200" s="61" t="str">
        <f t="shared" si="44"/>
        <v>Zul Qa'dah</v>
      </c>
      <c r="R200" s="61" t="str">
        <f t="shared" si="45"/>
        <v>13Zul Qa'dah</v>
      </c>
      <c r="S200" s="67">
        <f t="shared" si="46"/>
        <v>43661</v>
      </c>
    </row>
    <row r="201" spans="16:19" hidden="1" x14ac:dyDescent="0.25">
      <c r="P201" s="54">
        <f t="shared" si="43"/>
        <v>14</v>
      </c>
      <c r="Q201" s="61" t="str">
        <f t="shared" si="44"/>
        <v>Zul Qa'dah</v>
      </c>
      <c r="R201" s="61" t="str">
        <f t="shared" si="45"/>
        <v>14Zul Qa'dah</v>
      </c>
      <c r="S201" s="67">
        <f t="shared" si="46"/>
        <v>43662</v>
      </c>
    </row>
    <row r="202" spans="16:19" hidden="1" x14ac:dyDescent="0.25">
      <c r="P202" s="54">
        <f t="shared" si="43"/>
        <v>15</v>
      </c>
      <c r="Q202" s="61" t="str">
        <f t="shared" si="44"/>
        <v>Zul Qa'dah</v>
      </c>
      <c r="R202" s="61" t="str">
        <f t="shared" si="45"/>
        <v>15Zul Qa'dah</v>
      </c>
      <c r="S202" s="67">
        <f t="shared" si="46"/>
        <v>43663</v>
      </c>
    </row>
    <row r="203" spans="16:19" hidden="1" x14ac:dyDescent="0.25">
      <c r="P203" s="54">
        <f t="shared" si="43"/>
        <v>16</v>
      </c>
      <c r="Q203" s="61" t="str">
        <f t="shared" si="44"/>
        <v>Zul Qa'dah</v>
      </c>
      <c r="R203" s="61" t="str">
        <f t="shared" si="45"/>
        <v>16Zul Qa'dah</v>
      </c>
      <c r="S203" s="67">
        <f t="shared" si="46"/>
        <v>43664</v>
      </c>
    </row>
    <row r="204" spans="16:19" hidden="1" x14ac:dyDescent="0.25">
      <c r="P204" s="54">
        <f t="shared" si="43"/>
        <v>17</v>
      </c>
      <c r="Q204" s="61" t="str">
        <f t="shared" si="44"/>
        <v>Zul Qa'dah</v>
      </c>
      <c r="R204" s="61" t="str">
        <f t="shared" si="45"/>
        <v>17Zul Qa'dah</v>
      </c>
      <c r="S204" s="67">
        <f t="shared" si="46"/>
        <v>43665</v>
      </c>
    </row>
    <row r="205" spans="16:19" hidden="1" x14ac:dyDescent="0.25">
      <c r="P205" s="54">
        <f t="shared" si="43"/>
        <v>18</v>
      </c>
      <c r="Q205" s="61" t="str">
        <f t="shared" si="44"/>
        <v>Zul Qa'dah</v>
      </c>
      <c r="R205" s="61" t="str">
        <f t="shared" si="45"/>
        <v>18Zul Qa'dah</v>
      </c>
      <c r="S205" s="67">
        <f t="shared" si="46"/>
        <v>43666</v>
      </c>
    </row>
    <row r="206" spans="16:19" hidden="1" x14ac:dyDescent="0.25">
      <c r="P206" s="54">
        <f t="shared" si="43"/>
        <v>19</v>
      </c>
      <c r="Q206" s="61" t="str">
        <f t="shared" si="44"/>
        <v>Zul Qa'dah</v>
      </c>
      <c r="R206" s="61" t="str">
        <f t="shared" si="45"/>
        <v>19Zul Qa'dah</v>
      </c>
      <c r="S206" s="67">
        <f t="shared" si="46"/>
        <v>43667</v>
      </c>
    </row>
    <row r="207" spans="16:19" hidden="1" x14ac:dyDescent="0.25">
      <c r="P207" s="54">
        <f t="shared" si="43"/>
        <v>20</v>
      </c>
      <c r="Q207" s="61" t="str">
        <f t="shared" si="44"/>
        <v>Zul Qa'dah</v>
      </c>
      <c r="R207" s="61" t="str">
        <f t="shared" si="45"/>
        <v>20Zul Qa'dah</v>
      </c>
      <c r="S207" s="67">
        <f t="shared" si="46"/>
        <v>43668</v>
      </c>
    </row>
    <row r="208" spans="16:19" hidden="1" x14ac:dyDescent="0.25">
      <c r="P208" s="54">
        <f t="shared" si="43"/>
        <v>21</v>
      </c>
      <c r="Q208" s="61" t="str">
        <f t="shared" si="44"/>
        <v>Zul Qa'dah</v>
      </c>
      <c r="R208" s="61" t="str">
        <f t="shared" si="45"/>
        <v>21Zul Qa'dah</v>
      </c>
      <c r="S208" s="67">
        <f t="shared" si="46"/>
        <v>43669</v>
      </c>
    </row>
    <row r="209" spans="16:19" hidden="1" x14ac:dyDescent="0.25">
      <c r="P209" s="54">
        <f t="shared" si="43"/>
        <v>22</v>
      </c>
      <c r="Q209" s="61" t="str">
        <f t="shared" si="44"/>
        <v>Zul Qa'dah</v>
      </c>
      <c r="R209" s="61" t="str">
        <f t="shared" si="45"/>
        <v>22Zul Qa'dah</v>
      </c>
      <c r="S209" s="67">
        <f t="shared" si="46"/>
        <v>43670</v>
      </c>
    </row>
    <row r="210" spans="16:19" hidden="1" x14ac:dyDescent="0.25">
      <c r="P210" s="54">
        <f t="shared" si="43"/>
        <v>23</v>
      </c>
      <c r="Q210" s="61" t="str">
        <f t="shared" si="44"/>
        <v>Zul Qa'dah</v>
      </c>
      <c r="R210" s="61" t="str">
        <f t="shared" si="45"/>
        <v>23Zul Qa'dah</v>
      </c>
      <c r="S210" s="67">
        <f t="shared" si="46"/>
        <v>43671</v>
      </c>
    </row>
    <row r="211" spans="16:19" hidden="1" x14ac:dyDescent="0.25">
      <c r="P211" s="54">
        <f t="shared" si="43"/>
        <v>24</v>
      </c>
      <c r="Q211" s="61" t="str">
        <f t="shared" si="44"/>
        <v>Zul Qa'dah</v>
      </c>
      <c r="R211" s="61" t="str">
        <f t="shared" si="45"/>
        <v>24Zul Qa'dah</v>
      </c>
      <c r="S211" s="67">
        <f t="shared" si="46"/>
        <v>43672</v>
      </c>
    </row>
    <row r="212" spans="16:19" hidden="1" x14ac:dyDescent="0.25">
      <c r="P212" s="54">
        <f t="shared" si="43"/>
        <v>25</v>
      </c>
      <c r="Q212" s="61" t="str">
        <f t="shared" si="44"/>
        <v>Zul Qa'dah</v>
      </c>
      <c r="R212" s="61" t="str">
        <f t="shared" si="45"/>
        <v>25Zul Qa'dah</v>
      </c>
      <c r="S212" s="67">
        <f t="shared" si="46"/>
        <v>43673</v>
      </c>
    </row>
    <row r="213" spans="16:19" hidden="1" x14ac:dyDescent="0.25">
      <c r="P213" s="54">
        <f t="shared" si="43"/>
        <v>26</v>
      </c>
      <c r="Q213" s="61" t="str">
        <f t="shared" si="44"/>
        <v>Zul Qa'dah</v>
      </c>
      <c r="R213" s="61" t="str">
        <f t="shared" si="45"/>
        <v>26Zul Qa'dah</v>
      </c>
      <c r="S213" s="67">
        <f t="shared" si="46"/>
        <v>43674</v>
      </c>
    </row>
    <row r="214" spans="16:19" hidden="1" x14ac:dyDescent="0.25">
      <c r="P214" s="54">
        <f t="shared" si="43"/>
        <v>27</v>
      </c>
      <c r="Q214" s="61" t="str">
        <f t="shared" si="44"/>
        <v>Zul Qa'dah</v>
      </c>
      <c r="R214" s="61" t="str">
        <f t="shared" si="45"/>
        <v>27Zul Qa'dah</v>
      </c>
      <c r="S214" s="67">
        <f t="shared" si="46"/>
        <v>43675</v>
      </c>
    </row>
    <row r="215" spans="16:19" hidden="1" x14ac:dyDescent="0.25">
      <c r="P215" s="54">
        <f t="shared" si="43"/>
        <v>28</v>
      </c>
      <c r="Q215" s="61" t="str">
        <f t="shared" si="44"/>
        <v>Zul Qa'dah</v>
      </c>
      <c r="R215" s="61" t="str">
        <f t="shared" si="45"/>
        <v>28Zul Qa'dah</v>
      </c>
      <c r="S215" s="67">
        <f t="shared" si="46"/>
        <v>43676</v>
      </c>
    </row>
    <row r="216" spans="16:19" hidden="1" x14ac:dyDescent="0.25">
      <c r="P216" s="54">
        <f t="shared" si="43"/>
        <v>29</v>
      </c>
      <c r="Q216" s="61" t="str">
        <f t="shared" si="44"/>
        <v>Zul Qa'dah</v>
      </c>
      <c r="R216" s="61" t="str">
        <f t="shared" si="45"/>
        <v>29Zul Qa'dah</v>
      </c>
      <c r="S216" s="67">
        <f t="shared" si="46"/>
        <v>43677</v>
      </c>
    </row>
    <row r="217" spans="16:19" hidden="1" x14ac:dyDescent="0.25">
      <c r="P217" s="54">
        <f t="shared" si="43"/>
        <v>30</v>
      </c>
      <c r="Q217" s="61" t="str">
        <f t="shared" si="44"/>
        <v>Zul Qa'dah</v>
      </c>
      <c r="R217" s="61" t="str">
        <f t="shared" si="45"/>
        <v>30Zul Qa'dah</v>
      </c>
      <c r="S217" s="67">
        <f t="shared" si="46"/>
        <v>43678</v>
      </c>
    </row>
    <row r="218" spans="16:19" hidden="1" x14ac:dyDescent="0.25">
      <c r="P218" s="54">
        <v>1</v>
      </c>
      <c r="Q218" s="61" t="s">
        <v>35</v>
      </c>
      <c r="R218" s="61" t="str">
        <f t="shared" si="45"/>
        <v>1Zul Hijjah</v>
      </c>
      <c r="S218" s="67">
        <f t="shared" si="46"/>
        <v>43679</v>
      </c>
    </row>
    <row r="219" spans="16:19" hidden="1" x14ac:dyDescent="0.25">
      <c r="P219" s="54">
        <f t="shared" ref="P219" si="47">P218+1</f>
        <v>2</v>
      </c>
      <c r="Q219" s="61" t="str">
        <f t="shared" ref="Q219" si="48">Q218</f>
        <v>Zul Hijjah</v>
      </c>
      <c r="R219" s="61" t="str">
        <f t="shared" si="45"/>
        <v>2Zul Hijjah</v>
      </c>
      <c r="S219" s="67">
        <f t="shared" si="46"/>
        <v>43680</v>
      </c>
    </row>
    <row r="220" spans="16:19" hidden="1" x14ac:dyDescent="0.25">
      <c r="P220" s="54">
        <f t="shared" ref="P220:P246" si="49">P219+1</f>
        <v>3</v>
      </c>
      <c r="Q220" s="61" t="str">
        <f t="shared" ref="Q220:Q246" si="50">Q219</f>
        <v>Zul Hijjah</v>
      </c>
      <c r="R220" s="61" t="str">
        <f t="shared" si="45"/>
        <v>3Zul Hijjah</v>
      </c>
      <c r="S220" s="67">
        <f t="shared" si="46"/>
        <v>43681</v>
      </c>
    </row>
    <row r="221" spans="16:19" hidden="1" x14ac:dyDescent="0.25">
      <c r="P221" s="54">
        <f t="shared" si="49"/>
        <v>4</v>
      </c>
      <c r="Q221" s="61" t="str">
        <f t="shared" si="50"/>
        <v>Zul Hijjah</v>
      </c>
      <c r="R221" s="61" t="str">
        <f t="shared" si="45"/>
        <v>4Zul Hijjah</v>
      </c>
      <c r="S221" s="67">
        <f t="shared" si="46"/>
        <v>43682</v>
      </c>
    </row>
    <row r="222" spans="16:19" hidden="1" x14ac:dyDescent="0.25">
      <c r="P222" s="54">
        <f t="shared" si="49"/>
        <v>5</v>
      </c>
      <c r="Q222" s="61" t="str">
        <f t="shared" si="50"/>
        <v>Zul Hijjah</v>
      </c>
      <c r="R222" s="61" t="str">
        <f t="shared" si="45"/>
        <v>5Zul Hijjah</v>
      </c>
      <c r="S222" s="67">
        <f t="shared" si="46"/>
        <v>43683</v>
      </c>
    </row>
    <row r="223" spans="16:19" hidden="1" x14ac:dyDescent="0.25">
      <c r="P223" s="54">
        <f t="shared" si="49"/>
        <v>6</v>
      </c>
      <c r="Q223" s="61" t="str">
        <f t="shared" si="50"/>
        <v>Zul Hijjah</v>
      </c>
      <c r="R223" s="61" t="str">
        <f t="shared" si="45"/>
        <v>6Zul Hijjah</v>
      </c>
      <c r="S223" s="67">
        <f t="shared" si="46"/>
        <v>43684</v>
      </c>
    </row>
    <row r="224" spans="16:19" hidden="1" x14ac:dyDescent="0.25">
      <c r="P224" s="54">
        <f t="shared" si="49"/>
        <v>7</v>
      </c>
      <c r="Q224" s="61" t="str">
        <f t="shared" si="50"/>
        <v>Zul Hijjah</v>
      </c>
      <c r="R224" s="61" t="str">
        <f t="shared" si="45"/>
        <v>7Zul Hijjah</v>
      </c>
      <c r="S224" s="67">
        <f t="shared" si="46"/>
        <v>43685</v>
      </c>
    </row>
    <row r="225" spans="16:19" hidden="1" x14ac:dyDescent="0.25">
      <c r="P225" s="54">
        <f t="shared" si="49"/>
        <v>8</v>
      </c>
      <c r="Q225" s="61" t="str">
        <f t="shared" si="50"/>
        <v>Zul Hijjah</v>
      </c>
      <c r="R225" s="61" t="str">
        <f t="shared" si="45"/>
        <v>8Zul Hijjah</v>
      </c>
      <c r="S225" s="67">
        <f t="shared" si="46"/>
        <v>43686</v>
      </c>
    </row>
    <row r="226" spans="16:19" hidden="1" x14ac:dyDescent="0.25">
      <c r="P226" s="54">
        <f t="shared" si="49"/>
        <v>9</v>
      </c>
      <c r="Q226" s="61" t="str">
        <f t="shared" si="50"/>
        <v>Zul Hijjah</v>
      </c>
      <c r="R226" s="61" t="str">
        <f t="shared" si="45"/>
        <v>9Zul Hijjah</v>
      </c>
      <c r="S226" s="67">
        <f t="shared" si="46"/>
        <v>43687</v>
      </c>
    </row>
    <row r="227" spans="16:19" hidden="1" x14ac:dyDescent="0.25">
      <c r="P227" s="54">
        <f t="shared" si="49"/>
        <v>10</v>
      </c>
      <c r="Q227" s="61" t="str">
        <f t="shared" si="50"/>
        <v>Zul Hijjah</v>
      </c>
      <c r="R227" s="61" t="str">
        <f t="shared" si="45"/>
        <v>10Zul Hijjah</v>
      </c>
      <c r="S227" s="67">
        <f t="shared" si="46"/>
        <v>43688</v>
      </c>
    </row>
    <row r="228" spans="16:19" hidden="1" x14ac:dyDescent="0.25">
      <c r="P228" s="54">
        <f t="shared" si="49"/>
        <v>11</v>
      </c>
      <c r="Q228" s="61" t="str">
        <f t="shared" si="50"/>
        <v>Zul Hijjah</v>
      </c>
      <c r="R228" s="61" t="str">
        <f t="shared" si="45"/>
        <v>11Zul Hijjah</v>
      </c>
      <c r="S228" s="67">
        <f t="shared" si="46"/>
        <v>43689</v>
      </c>
    </row>
    <row r="229" spans="16:19" hidden="1" x14ac:dyDescent="0.25">
      <c r="P229" s="54">
        <f t="shared" si="49"/>
        <v>12</v>
      </c>
      <c r="Q229" s="61" t="str">
        <f t="shared" si="50"/>
        <v>Zul Hijjah</v>
      </c>
      <c r="R229" s="61" t="str">
        <f t="shared" si="45"/>
        <v>12Zul Hijjah</v>
      </c>
      <c r="S229" s="67">
        <f t="shared" si="46"/>
        <v>43690</v>
      </c>
    </row>
    <row r="230" spans="16:19" hidden="1" x14ac:dyDescent="0.25">
      <c r="P230" s="54">
        <f t="shared" si="49"/>
        <v>13</v>
      </c>
      <c r="Q230" s="61" t="str">
        <f t="shared" si="50"/>
        <v>Zul Hijjah</v>
      </c>
      <c r="R230" s="61" t="str">
        <f t="shared" si="45"/>
        <v>13Zul Hijjah</v>
      </c>
      <c r="S230" s="67">
        <f t="shared" si="46"/>
        <v>43691</v>
      </c>
    </row>
    <row r="231" spans="16:19" hidden="1" x14ac:dyDescent="0.25">
      <c r="P231" s="54">
        <f t="shared" si="49"/>
        <v>14</v>
      </c>
      <c r="Q231" s="61" t="str">
        <f t="shared" si="50"/>
        <v>Zul Hijjah</v>
      </c>
      <c r="R231" s="61" t="str">
        <f t="shared" si="45"/>
        <v>14Zul Hijjah</v>
      </c>
      <c r="S231" s="67">
        <f t="shared" si="46"/>
        <v>43692</v>
      </c>
    </row>
    <row r="232" spans="16:19" hidden="1" x14ac:dyDescent="0.25">
      <c r="P232" s="54">
        <f t="shared" si="49"/>
        <v>15</v>
      </c>
      <c r="Q232" s="61" t="str">
        <f t="shared" si="50"/>
        <v>Zul Hijjah</v>
      </c>
      <c r="R232" s="61" t="str">
        <f t="shared" si="45"/>
        <v>15Zul Hijjah</v>
      </c>
      <c r="S232" s="67">
        <f t="shared" si="46"/>
        <v>43693</v>
      </c>
    </row>
    <row r="233" spans="16:19" hidden="1" x14ac:dyDescent="0.25">
      <c r="P233" s="54">
        <f t="shared" si="49"/>
        <v>16</v>
      </c>
      <c r="Q233" s="61" t="str">
        <f t="shared" si="50"/>
        <v>Zul Hijjah</v>
      </c>
      <c r="R233" s="61" t="str">
        <f t="shared" si="45"/>
        <v>16Zul Hijjah</v>
      </c>
      <c r="S233" s="67">
        <f t="shared" si="46"/>
        <v>43694</v>
      </c>
    </row>
    <row r="234" spans="16:19" hidden="1" x14ac:dyDescent="0.25">
      <c r="P234" s="54">
        <f t="shared" si="49"/>
        <v>17</v>
      </c>
      <c r="Q234" s="61" t="str">
        <f t="shared" si="50"/>
        <v>Zul Hijjah</v>
      </c>
      <c r="R234" s="61" t="str">
        <f t="shared" si="45"/>
        <v>17Zul Hijjah</v>
      </c>
      <c r="S234" s="67">
        <f t="shared" si="46"/>
        <v>43695</v>
      </c>
    </row>
    <row r="235" spans="16:19" hidden="1" x14ac:dyDescent="0.25">
      <c r="P235" s="54">
        <f t="shared" si="49"/>
        <v>18</v>
      </c>
      <c r="Q235" s="61" t="str">
        <f t="shared" si="50"/>
        <v>Zul Hijjah</v>
      </c>
      <c r="R235" s="61" t="str">
        <f t="shared" si="45"/>
        <v>18Zul Hijjah</v>
      </c>
      <c r="S235" s="67">
        <f t="shared" si="46"/>
        <v>43696</v>
      </c>
    </row>
    <row r="236" spans="16:19" hidden="1" x14ac:dyDescent="0.25">
      <c r="P236" s="54">
        <f t="shared" si="49"/>
        <v>19</v>
      </c>
      <c r="Q236" s="61" t="str">
        <f t="shared" si="50"/>
        <v>Zul Hijjah</v>
      </c>
      <c r="R236" s="61" t="str">
        <f t="shared" si="45"/>
        <v>19Zul Hijjah</v>
      </c>
      <c r="S236" s="67">
        <f t="shared" si="46"/>
        <v>43697</v>
      </c>
    </row>
    <row r="237" spans="16:19" hidden="1" x14ac:dyDescent="0.25">
      <c r="P237" s="54">
        <f t="shared" si="49"/>
        <v>20</v>
      </c>
      <c r="Q237" s="61" t="str">
        <f t="shared" si="50"/>
        <v>Zul Hijjah</v>
      </c>
      <c r="R237" s="61" t="str">
        <f t="shared" si="45"/>
        <v>20Zul Hijjah</v>
      </c>
      <c r="S237" s="67">
        <f t="shared" si="46"/>
        <v>43698</v>
      </c>
    </row>
    <row r="238" spans="16:19" hidden="1" x14ac:dyDescent="0.25">
      <c r="P238" s="54">
        <f t="shared" si="49"/>
        <v>21</v>
      </c>
      <c r="Q238" s="61" t="str">
        <f t="shared" si="50"/>
        <v>Zul Hijjah</v>
      </c>
      <c r="R238" s="61" t="str">
        <f t="shared" si="45"/>
        <v>21Zul Hijjah</v>
      </c>
      <c r="S238" s="67">
        <f t="shared" si="46"/>
        <v>43699</v>
      </c>
    </row>
    <row r="239" spans="16:19" hidden="1" x14ac:dyDescent="0.25">
      <c r="P239" s="54">
        <f t="shared" si="49"/>
        <v>22</v>
      </c>
      <c r="Q239" s="61" t="str">
        <f t="shared" si="50"/>
        <v>Zul Hijjah</v>
      </c>
      <c r="R239" s="61" t="str">
        <f t="shared" si="45"/>
        <v>22Zul Hijjah</v>
      </c>
      <c r="S239" s="67">
        <f t="shared" si="46"/>
        <v>43700</v>
      </c>
    </row>
    <row r="240" spans="16:19" hidden="1" x14ac:dyDescent="0.25">
      <c r="P240" s="54">
        <f t="shared" si="49"/>
        <v>23</v>
      </c>
      <c r="Q240" s="61" t="str">
        <f t="shared" si="50"/>
        <v>Zul Hijjah</v>
      </c>
      <c r="R240" s="61" t="str">
        <f t="shared" si="45"/>
        <v>23Zul Hijjah</v>
      </c>
      <c r="S240" s="67">
        <f t="shared" si="46"/>
        <v>43701</v>
      </c>
    </row>
    <row r="241" spans="16:19" hidden="1" x14ac:dyDescent="0.25">
      <c r="P241" s="54">
        <f t="shared" si="49"/>
        <v>24</v>
      </c>
      <c r="Q241" s="61" t="str">
        <f t="shared" si="50"/>
        <v>Zul Hijjah</v>
      </c>
      <c r="R241" s="61" t="str">
        <f t="shared" si="45"/>
        <v>24Zul Hijjah</v>
      </c>
      <c r="S241" s="67">
        <f t="shared" si="46"/>
        <v>43702</v>
      </c>
    </row>
    <row r="242" spans="16:19" hidden="1" x14ac:dyDescent="0.25">
      <c r="P242" s="54">
        <f t="shared" si="49"/>
        <v>25</v>
      </c>
      <c r="Q242" s="61" t="str">
        <f t="shared" si="50"/>
        <v>Zul Hijjah</v>
      </c>
      <c r="R242" s="61" t="str">
        <f t="shared" si="45"/>
        <v>25Zul Hijjah</v>
      </c>
      <c r="S242" s="67">
        <f t="shared" si="46"/>
        <v>43703</v>
      </c>
    </row>
    <row r="243" spans="16:19" hidden="1" x14ac:dyDescent="0.25">
      <c r="P243" s="54">
        <f t="shared" si="49"/>
        <v>26</v>
      </c>
      <c r="Q243" s="61" t="str">
        <f t="shared" si="50"/>
        <v>Zul Hijjah</v>
      </c>
      <c r="R243" s="61" t="str">
        <f t="shared" si="45"/>
        <v>26Zul Hijjah</v>
      </c>
      <c r="S243" s="67">
        <f t="shared" si="46"/>
        <v>43704</v>
      </c>
    </row>
    <row r="244" spans="16:19" hidden="1" x14ac:dyDescent="0.25">
      <c r="P244" s="54">
        <f t="shared" si="49"/>
        <v>27</v>
      </c>
      <c r="Q244" s="61" t="str">
        <f t="shared" si="50"/>
        <v>Zul Hijjah</v>
      </c>
      <c r="R244" s="61" t="str">
        <f t="shared" si="45"/>
        <v>27Zul Hijjah</v>
      </c>
      <c r="S244" s="67">
        <f t="shared" si="46"/>
        <v>43705</v>
      </c>
    </row>
    <row r="245" spans="16:19" hidden="1" x14ac:dyDescent="0.25">
      <c r="P245" s="54">
        <f t="shared" si="49"/>
        <v>28</v>
      </c>
      <c r="Q245" s="61" t="str">
        <f t="shared" si="50"/>
        <v>Zul Hijjah</v>
      </c>
      <c r="R245" s="61" t="str">
        <f t="shared" si="45"/>
        <v>28Zul Hijjah</v>
      </c>
      <c r="S245" s="67">
        <f t="shared" si="46"/>
        <v>43706</v>
      </c>
    </row>
    <row r="246" spans="16:19" hidden="1" x14ac:dyDescent="0.25">
      <c r="P246" s="54">
        <f t="shared" si="49"/>
        <v>29</v>
      </c>
      <c r="Q246" s="61" t="str">
        <f t="shared" si="50"/>
        <v>Zul Hijjah</v>
      </c>
      <c r="R246" s="61" t="str">
        <f t="shared" si="45"/>
        <v>29Zul Hijjah</v>
      </c>
      <c r="S246" s="67">
        <f t="shared" si="46"/>
        <v>43707</v>
      </c>
    </row>
    <row r="247" spans="16:19" hidden="1" x14ac:dyDescent="0.25">
      <c r="P247" s="54">
        <v>1</v>
      </c>
      <c r="Q247" s="54" t="s">
        <v>24</v>
      </c>
      <c r="R247" s="61" t="str">
        <f t="shared" si="45"/>
        <v>1Muharram</v>
      </c>
      <c r="S247" s="67">
        <f t="shared" si="46"/>
        <v>43708</v>
      </c>
    </row>
    <row r="248" spans="16:19" hidden="1" x14ac:dyDescent="0.25">
      <c r="P248" s="54">
        <f t="shared" ref="P248" si="51">P247+1</f>
        <v>2</v>
      </c>
      <c r="Q248" s="61" t="str">
        <f t="shared" ref="Q248" si="52">Q247</f>
        <v>Muharram</v>
      </c>
      <c r="R248" s="61" t="str">
        <f t="shared" si="45"/>
        <v>2Muharram</v>
      </c>
      <c r="S248" s="67">
        <f t="shared" si="46"/>
        <v>43709</v>
      </c>
    </row>
    <row r="249" spans="16:19" hidden="1" x14ac:dyDescent="0.25">
      <c r="P249" s="54">
        <f t="shared" ref="P249:P274" si="53">P248+1</f>
        <v>3</v>
      </c>
      <c r="Q249" s="61" t="str">
        <f t="shared" ref="Q249:Q274" si="54">Q248</f>
        <v>Muharram</v>
      </c>
      <c r="R249" s="61" t="str">
        <f t="shared" si="45"/>
        <v>3Muharram</v>
      </c>
      <c r="S249" s="67">
        <f t="shared" si="46"/>
        <v>43710</v>
      </c>
    </row>
    <row r="250" spans="16:19" hidden="1" x14ac:dyDescent="0.25">
      <c r="P250" s="54">
        <f t="shared" si="53"/>
        <v>4</v>
      </c>
      <c r="Q250" s="61" t="str">
        <f t="shared" si="54"/>
        <v>Muharram</v>
      </c>
      <c r="R250" s="61" t="str">
        <f t="shared" si="45"/>
        <v>4Muharram</v>
      </c>
      <c r="S250" s="67">
        <f t="shared" si="46"/>
        <v>43711</v>
      </c>
    </row>
    <row r="251" spans="16:19" hidden="1" x14ac:dyDescent="0.25">
      <c r="P251" s="54">
        <f t="shared" si="53"/>
        <v>5</v>
      </c>
      <c r="Q251" s="61" t="str">
        <f t="shared" si="54"/>
        <v>Muharram</v>
      </c>
      <c r="R251" s="61" t="str">
        <f t="shared" si="45"/>
        <v>5Muharram</v>
      </c>
      <c r="S251" s="67">
        <f t="shared" si="46"/>
        <v>43712</v>
      </c>
    </row>
    <row r="252" spans="16:19" hidden="1" x14ac:dyDescent="0.25">
      <c r="P252" s="54">
        <f t="shared" si="53"/>
        <v>6</v>
      </c>
      <c r="Q252" s="61" t="str">
        <f t="shared" si="54"/>
        <v>Muharram</v>
      </c>
      <c r="R252" s="61" t="str">
        <f t="shared" si="45"/>
        <v>6Muharram</v>
      </c>
      <c r="S252" s="67">
        <f t="shared" si="46"/>
        <v>43713</v>
      </c>
    </row>
    <row r="253" spans="16:19" hidden="1" x14ac:dyDescent="0.25">
      <c r="P253" s="54">
        <f t="shared" si="53"/>
        <v>7</v>
      </c>
      <c r="Q253" s="61" t="str">
        <f t="shared" si="54"/>
        <v>Muharram</v>
      </c>
      <c r="R253" s="61" t="str">
        <f t="shared" si="45"/>
        <v>7Muharram</v>
      </c>
      <c r="S253" s="67">
        <f t="shared" si="46"/>
        <v>43714</v>
      </c>
    </row>
    <row r="254" spans="16:19" hidden="1" x14ac:dyDescent="0.25">
      <c r="P254" s="54">
        <f t="shared" si="53"/>
        <v>8</v>
      </c>
      <c r="Q254" s="61" t="str">
        <f t="shared" si="54"/>
        <v>Muharram</v>
      </c>
      <c r="R254" s="61" t="str">
        <f t="shared" si="45"/>
        <v>8Muharram</v>
      </c>
      <c r="S254" s="67">
        <f t="shared" si="46"/>
        <v>43715</v>
      </c>
    </row>
    <row r="255" spans="16:19" hidden="1" x14ac:dyDescent="0.25">
      <c r="P255" s="54">
        <f t="shared" si="53"/>
        <v>9</v>
      </c>
      <c r="Q255" s="61" t="str">
        <f t="shared" si="54"/>
        <v>Muharram</v>
      </c>
      <c r="R255" s="61" t="str">
        <f t="shared" si="45"/>
        <v>9Muharram</v>
      </c>
      <c r="S255" s="67">
        <f t="shared" si="46"/>
        <v>43716</v>
      </c>
    </row>
    <row r="256" spans="16:19" hidden="1" x14ac:dyDescent="0.25">
      <c r="P256" s="54">
        <f t="shared" si="53"/>
        <v>10</v>
      </c>
      <c r="Q256" s="61" t="str">
        <f t="shared" si="54"/>
        <v>Muharram</v>
      </c>
      <c r="R256" s="61" t="str">
        <f t="shared" si="45"/>
        <v>10Muharram</v>
      </c>
      <c r="S256" s="67">
        <f t="shared" si="46"/>
        <v>43717</v>
      </c>
    </row>
    <row r="257" spans="16:19" hidden="1" x14ac:dyDescent="0.25">
      <c r="P257" s="54">
        <f t="shared" si="53"/>
        <v>11</v>
      </c>
      <c r="Q257" s="61" t="str">
        <f t="shared" si="54"/>
        <v>Muharram</v>
      </c>
      <c r="R257" s="61" t="str">
        <f t="shared" si="45"/>
        <v>11Muharram</v>
      </c>
      <c r="S257" s="67">
        <f t="shared" si="46"/>
        <v>43718</v>
      </c>
    </row>
    <row r="258" spans="16:19" hidden="1" x14ac:dyDescent="0.25">
      <c r="P258" s="54">
        <f t="shared" si="53"/>
        <v>12</v>
      </c>
      <c r="Q258" s="61" t="str">
        <f t="shared" si="54"/>
        <v>Muharram</v>
      </c>
      <c r="R258" s="61" t="str">
        <f t="shared" si="45"/>
        <v>12Muharram</v>
      </c>
      <c r="S258" s="67">
        <f t="shared" si="46"/>
        <v>43719</v>
      </c>
    </row>
    <row r="259" spans="16:19" hidden="1" x14ac:dyDescent="0.25">
      <c r="P259" s="54">
        <f t="shared" si="53"/>
        <v>13</v>
      </c>
      <c r="Q259" s="61" t="str">
        <f t="shared" si="54"/>
        <v>Muharram</v>
      </c>
      <c r="R259" s="61" t="str">
        <f t="shared" si="45"/>
        <v>13Muharram</v>
      </c>
      <c r="S259" s="67">
        <f t="shared" si="46"/>
        <v>43720</v>
      </c>
    </row>
    <row r="260" spans="16:19" hidden="1" x14ac:dyDescent="0.25">
      <c r="P260" s="54">
        <f t="shared" si="53"/>
        <v>14</v>
      </c>
      <c r="Q260" s="61" t="str">
        <f t="shared" si="54"/>
        <v>Muharram</v>
      </c>
      <c r="R260" s="61" t="str">
        <f t="shared" si="45"/>
        <v>14Muharram</v>
      </c>
      <c r="S260" s="67">
        <f t="shared" si="46"/>
        <v>43721</v>
      </c>
    </row>
    <row r="261" spans="16:19" hidden="1" x14ac:dyDescent="0.25">
      <c r="P261" s="54">
        <f t="shared" si="53"/>
        <v>15</v>
      </c>
      <c r="Q261" s="61" t="str">
        <f t="shared" si="54"/>
        <v>Muharram</v>
      </c>
      <c r="R261" s="61" t="str">
        <f t="shared" si="45"/>
        <v>15Muharram</v>
      </c>
      <c r="S261" s="67">
        <f t="shared" si="46"/>
        <v>43722</v>
      </c>
    </row>
    <row r="262" spans="16:19" hidden="1" x14ac:dyDescent="0.25">
      <c r="P262" s="54">
        <f t="shared" si="53"/>
        <v>16</v>
      </c>
      <c r="Q262" s="61" t="str">
        <f t="shared" si="54"/>
        <v>Muharram</v>
      </c>
      <c r="R262" s="61" t="str">
        <f t="shared" ref="R262:R325" si="55">P262&amp;Q262</f>
        <v>16Muharram</v>
      </c>
      <c r="S262" s="67">
        <f t="shared" si="46"/>
        <v>43723</v>
      </c>
    </row>
    <row r="263" spans="16:19" hidden="1" x14ac:dyDescent="0.25">
      <c r="P263" s="54">
        <f t="shared" si="53"/>
        <v>17</v>
      </c>
      <c r="Q263" s="61" t="str">
        <f t="shared" si="54"/>
        <v>Muharram</v>
      </c>
      <c r="R263" s="61" t="str">
        <f t="shared" si="55"/>
        <v>17Muharram</v>
      </c>
      <c r="S263" s="67">
        <f t="shared" ref="S263:S326" si="56">S262+1</f>
        <v>43724</v>
      </c>
    </row>
    <row r="264" spans="16:19" hidden="1" x14ac:dyDescent="0.25">
      <c r="P264" s="54">
        <f t="shared" si="53"/>
        <v>18</v>
      </c>
      <c r="Q264" s="61" t="str">
        <f t="shared" si="54"/>
        <v>Muharram</v>
      </c>
      <c r="R264" s="61" t="str">
        <f t="shared" si="55"/>
        <v>18Muharram</v>
      </c>
      <c r="S264" s="67">
        <f t="shared" si="56"/>
        <v>43725</v>
      </c>
    </row>
    <row r="265" spans="16:19" hidden="1" x14ac:dyDescent="0.25">
      <c r="P265" s="54">
        <f t="shared" si="53"/>
        <v>19</v>
      </c>
      <c r="Q265" s="61" t="str">
        <f t="shared" si="54"/>
        <v>Muharram</v>
      </c>
      <c r="R265" s="61" t="str">
        <f t="shared" si="55"/>
        <v>19Muharram</v>
      </c>
      <c r="S265" s="67">
        <f t="shared" si="56"/>
        <v>43726</v>
      </c>
    </row>
    <row r="266" spans="16:19" hidden="1" x14ac:dyDescent="0.25">
      <c r="P266" s="54">
        <f t="shared" si="53"/>
        <v>20</v>
      </c>
      <c r="Q266" s="61" t="str">
        <f t="shared" si="54"/>
        <v>Muharram</v>
      </c>
      <c r="R266" s="61" t="str">
        <f t="shared" si="55"/>
        <v>20Muharram</v>
      </c>
      <c r="S266" s="67">
        <f t="shared" si="56"/>
        <v>43727</v>
      </c>
    </row>
    <row r="267" spans="16:19" hidden="1" x14ac:dyDescent="0.25">
      <c r="P267" s="54">
        <f t="shared" si="53"/>
        <v>21</v>
      </c>
      <c r="Q267" s="61" t="str">
        <f t="shared" si="54"/>
        <v>Muharram</v>
      </c>
      <c r="R267" s="61" t="str">
        <f t="shared" si="55"/>
        <v>21Muharram</v>
      </c>
      <c r="S267" s="67">
        <f t="shared" si="56"/>
        <v>43728</v>
      </c>
    </row>
    <row r="268" spans="16:19" hidden="1" x14ac:dyDescent="0.25">
      <c r="P268" s="54">
        <f t="shared" si="53"/>
        <v>22</v>
      </c>
      <c r="Q268" s="61" t="str">
        <f t="shared" si="54"/>
        <v>Muharram</v>
      </c>
      <c r="R268" s="61" t="str">
        <f t="shared" si="55"/>
        <v>22Muharram</v>
      </c>
      <c r="S268" s="67">
        <f t="shared" si="56"/>
        <v>43729</v>
      </c>
    </row>
    <row r="269" spans="16:19" hidden="1" x14ac:dyDescent="0.25">
      <c r="P269" s="54">
        <f t="shared" si="53"/>
        <v>23</v>
      </c>
      <c r="Q269" s="61" t="str">
        <f t="shared" si="54"/>
        <v>Muharram</v>
      </c>
      <c r="R269" s="61" t="str">
        <f t="shared" si="55"/>
        <v>23Muharram</v>
      </c>
      <c r="S269" s="67">
        <f t="shared" si="56"/>
        <v>43730</v>
      </c>
    </row>
    <row r="270" spans="16:19" hidden="1" x14ac:dyDescent="0.25">
      <c r="P270" s="54">
        <f t="shared" si="53"/>
        <v>24</v>
      </c>
      <c r="Q270" s="61" t="str">
        <f t="shared" si="54"/>
        <v>Muharram</v>
      </c>
      <c r="R270" s="61" t="str">
        <f t="shared" si="55"/>
        <v>24Muharram</v>
      </c>
      <c r="S270" s="67">
        <f t="shared" si="56"/>
        <v>43731</v>
      </c>
    </row>
    <row r="271" spans="16:19" hidden="1" x14ac:dyDescent="0.25">
      <c r="P271" s="54">
        <f t="shared" si="53"/>
        <v>25</v>
      </c>
      <c r="Q271" s="61" t="str">
        <f t="shared" si="54"/>
        <v>Muharram</v>
      </c>
      <c r="R271" s="61" t="str">
        <f t="shared" si="55"/>
        <v>25Muharram</v>
      </c>
      <c r="S271" s="67">
        <f t="shared" si="56"/>
        <v>43732</v>
      </c>
    </row>
    <row r="272" spans="16:19" hidden="1" x14ac:dyDescent="0.25">
      <c r="P272" s="54">
        <f t="shared" si="53"/>
        <v>26</v>
      </c>
      <c r="Q272" s="61" t="str">
        <f t="shared" si="54"/>
        <v>Muharram</v>
      </c>
      <c r="R272" s="61" t="str">
        <f t="shared" si="55"/>
        <v>26Muharram</v>
      </c>
      <c r="S272" s="67">
        <f t="shared" si="56"/>
        <v>43733</v>
      </c>
    </row>
    <row r="273" spans="16:19" hidden="1" x14ac:dyDescent="0.25">
      <c r="P273" s="54">
        <f t="shared" si="53"/>
        <v>27</v>
      </c>
      <c r="Q273" s="61" t="str">
        <f t="shared" si="54"/>
        <v>Muharram</v>
      </c>
      <c r="R273" s="61" t="str">
        <f t="shared" si="55"/>
        <v>27Muharram</v>
      </c>
      <c r="S273" s="67">
        <f t="shared" si="56"/>
        <v>43734</v>
      </c>
    </row>
    <row r="274" spans="16:19" hidden="1" x14ac:dyDescent="0.25">
      <c r="P274" s="54">
        <f t="shared" si="53"/>
        <v>28</v>
      </c>
      <c r="Q274" s="61" t="str">
        <f t="shared" si="54"/>
        <v>Muharram</v>
      </c>
      <c r="R274" s="61" t="str">
        <f t="shared" si="55"/>
        <v>28Muharram</v>
      </c>
      <c r="S274" s="67">
        <f t="shared" si="56"/>
        <v>43735</v>
      </c>
    </row>
    <row r="275" spans="16:19" hidden="1" x14ac:dyDescent="0.25">
      <c r="P275" s="54">
        <f t="shared" ref="P275:P276" si="57">P274+1</f>
        <v>29</v>
      </c>
      <c r="Q275" s="61" t="str">
        <f t="shared" ref="Q275:Q276" si="58">Q274</f>
        <v>Muharram</v>
      </c>
      <c r="R275" s="61" t="str">
        <f t="shared" si="55"/>
        <v>29Muharram</v>
      </c>
      <c r="S275" s="67">
        <f t="shared" si="56"/>
        <v>43736</v>
      </c>
    </row>
    <row r="276" spans="16:19" hidden="1" x14ac:dyDescent="0.25">
      <c r="P276" s="54">
        <f t="shared" si="57"/>
        <v>30</v>
      </c>
      <c r="Q276" s="61" t="str">
        <f t="shared" si="58"/>
        <v>Muharram</v>
      </c>
      <c r="R276" s="61" t="str">
        <f t="shared" si="55"/>
        <v>30Muharram</v>
      </c>
      <c r="S276" s="67">
        <f t="shared" si="56"/>
        <v>43737</v>
      </c>
    </row>
    <row r="277" spans="16:19" hidden="1" x14ac:dyDescent="0.25">
      <c r="P277" s="54">
        <v>1</v>
      </c>
      <c r="Q277" s="61" t="s">
        <v>25</v>
      </c>
      <c r="R277" s="61" t="str">
        <f t="shared" si="55"/>
        <v>1Safar</v>
      </c>
      <c r="S277" s="67">
        <f t="shared" si="56"/>
        <v>43738</v>
      </c>
    </row>
    <row r="278" spans="16:19" hidden="1" x14ac:dyDescent="0.25">
      <c r="P278" s="54">
        <f t="shared" ref="P278" si="59">P277+1</f>
        <v>2</v>
      </c>
      <c r="Q278" s="61" t="str">
        <f t="shared" ref="Q278" si="60">Q277</f>
        <v>Safar</v>
      </c>
      <c r="R278" s="61" t="str">
        <f t="shared" si="55"/>
        <v>2Safar</v>
      </c>
      <c r="S278" s="67">
        <f t="shared" si="56"/>
        <v>43739</v>
      </c>
    </row>
    <row r="279" spans="16:19" hidden="1" x14ac:dyDescent="0.25">
      <c r="P279" s="54">
        <f t="shared" ref="P279:P305" si="61">P278+1</f>
        <v>3</v>
      </c>
      <c r="Q279" s="61" t="str">
        <f t="shared" ref="Q279:Q305" si="62">Q278</f>
        <v>Safar</v>
      </c>
      <c r="R279" s="61" t="str">
        <f t="shared" si="55"/>
        <v>3Safar</v>
      </c>
      <c r="S279" s="67">
        <f t="shared" si="56"/>
        <v>43740</v>
      </c>
    </row>
    <row r="280" spans="16:19" hidden="1" x14ac:dyDescent="0.25">
      <c r="P280" s="54">
        <f t="shared" si="61"/>
        <v>4</v>
      </c>
      <c r="Q280" s="61" t="str">
        <f t="shared" si="62"/>
        <v>Safar</v>
      </c>
      <c r="R280" s="61" t="str">
        <f t="shared" si="55"/>
        <v>4Safar</v>
      </c>
      <c r="S280" s="67">
        <f t="shared" si="56"/>
        <v>43741</v>
      </c>
    </row>
    <row r="281" spans="16:19" hidden="1" x14ac:dyDescent="0.25">
      <c r="P281" s="54">
        <f t="shared" si="61"/>
        <v>5</v>
      </c>
      <c r="Q281" s="61" t="str">
        <f t="shared" si="62"/>
        <v>Safar</v>
      </c>
      <c r="R281" s="61" t="str">
        <f t="shared" si="55"/>
        <v>5Safar</v>
      </c>
      <c r="S281" s="67">
        <f t="shared" si="56"/>
        <v>43742</v>
      </c>
    </row>
    <row r="282" spans="16:19" hidden="1" x14ac:dyDescent="0.25">
      <c r="P282" s="54">
        <f t="shared" si="61"/>
        <v>6</v>
      </c>
      <c r="Q282" s="61" t="str">
        <f t="shared" si="62"/>
        <v>Safar</v>
      </c>
      <c r="R282" s="61" t="str">
        <f t="shared" si="55"/>
        <v>6Safar</v>
      </c>
      <c r="S282" s="67">
        <f t="shared" si="56"/>
        <v>43743</v>
      </c>
    </row>
    <row r="283" spans="16:19" hidden="1" x14ac:dyDescent="0.25">
      <c r="P283" s="54">
        <f t="shared" si="61"/>
        <v>7</v>
      </c>
      <c r="Q283" s="61" t="str">
        <f t="shared" si="62"/>
        <v>Safar</v>
      </c>
      <c r="R283" s="61" t="str">
        <f t="shared" si="55"/>
        <v>7Safar</v>
      </c>
      <c r="S283" s="67">
        <f t="shared" si="56"/>
        <v>43744</v>
      </c>
    </row>
    <row r="284" spans="16:19" hidden="1" x14ac:dyDescent="0.25">
      <c r="P284" s="54">
        <f t="shared" si="61"/>
        <v>8</v>
      </c>
      <c r="Q284" s="61" t="str">
        <f t="shared" si="62"/>
        <v>Safar</v>
      </c>
      <c r="R284" s="61" t="str">
        <f t="shared" si="55"/>
        <v>8Safar</v>
      </c>
      <c r="S284" s="67">
        <f t="shared" si="56"/>
        <v>43745</v>
      </c>
    </row>
    <row r="285" spans="16:19" hidden="1" x14ac:dyDescent="0.25">
      <c r="P285" s="54">
        <f t="shared" si="61"/>
        <v>9</v>
      </c>
      <c r="Q285" s="61" t="str">
        <f t="shared" si="62"/>
        <v>Safar</v>
      </c>
      <c r="R285" s="61" t="str">
        <f t="shared" si="55"/>
        <v>9Safar</v>
      </c>
      <c r="S285" s="67">
        <f t="shared" si="56"/>
        <v>43746</v>
      </c>
    </row>
    <row r="286" spans="16:19" hidden="1" x14ac:dyDescent="0.25">
      <c r="P286" s="54">
        <f t="shared" si="61"/>
        <v>10</v>
      </c>
      <c r="Q286" s="61" t="str">
        <f t="shared" si="62"/>
        <v>Safar</v>
      </c>
      <c r="R286" s="61" t="str">
        <f t="shared" si="55"/>
        <v>10Safar</v>
      </c>
      <c r="S286" s="67">
        <f t="shared" si="56"/>
        <v>43747</v>
      </c>
    </row>
    <row r="287" spans="16:19" hidden="1" x14ac:dyDescent="0.25">
      <c r="P287" s="54">
        <f t="shared" si="61"/>
        <v>11</v>
      </c>
      <c r="Q287" s="61" t="str">
        <f t="shared" si="62"/>
        <v>Safar</v>
      </c>
      <c r="R287" s="61" t="str">
        <f t="shared" si="55"/>
        <v>11Safar</v>
      </c>
      <c r="S287" s="67">
        <f t="shared" si="56"/>
        <v>43748</v>
      </c>
    </row>
    <row r="288" spans="16:19" hidden="1" x14ac:dyDescent="0.25">
      <c r="P288" s="54">
        <f t="shared" si="61"/>
        <v>12</v>
      </c>
      <c r="Q288" s="61" t="str">
        <f t="shared" si="62"/>
        <v>Safar</v>
      </c>
      <c r="R288" s="61" t="str">
        <f t="shared" si="55"/>
        <v>12Safar</v>
      </c>
      <c r="S288" s="67">
        <f t="shared" si="56"/>
        <v>43749</v>
      </c>
    </row>
    <row r="289" spans="16:19" hidden="1" x14ac:dyDescent="0.25">
      <c r="P289" s="54">
        <f t="shared" si="61"/>
        <v>13</v>
      </c>
      <c r="Q289" s="61" t="str">
        <f t="shared" si="62"/>
        <v>Safar</v>
      </c>
      <c r="R289" s="61" t="str">
        <f t="shared" si="55"/>
        <v>13Safar</v>
      </c>
      <c r="S289" s="67">
        <f t="shared" si="56"/>
        <v>43750</v>
      </c>
    </row>
    <row r="290" spans="16:19" hidden="1" x14ac:dyDescent="0.25">
      <c r="P290" s="54">
        <f t="shared" si="61"/>
        <v>14</v>
      </c>
      <c r="Q290" s="61" t="str">
        <f t="shared" si="62"/>
        <v>Safar</v>
      </c>
      <c r="R290" s="61" t="str">
        <f t="shared" si="55"/>
        <v>14Safar</v>
      </c>
      <c r="S290" s="67">
        <f t="shared" si="56"/>
        <v>43751</v>
      </c>
    </row>
    <row r="291" spans="16:19" hidden="1" x14ac:dyDescent="0.25">
      <c r="P291" s="54">
        <f t="shared" si="61"/>
        <v>15</v>
      </c>
      <c r="Q291" s="61" t="str">
        <f t="shared" si="62"/>
        <v>Safar</v>
      </c>
      <c r="R291" s="61" t="str">
        <f t="shared" si="55"/>
        <v>15Safar</v>
      </c>
      <c r="S291" s="67">
        <f t="shared" si="56"/>
        <v>43752</v>
      </c>
    </row>
    <row r="292" spans="16:19" hidden="1" x14ac:dyDescent="0.25">
      <c r="P292" s="54">
        <f t="shared" si="61"/>
        <v>16</v>
      </c>
      <c r="Q292" s="61" t="str">
        <f t="shared" si="62"/>
        <v>Safar</v>
      </c>
      <c r="R292" s="61" t="str">
        <f t="shared" si="55"/>
        <v>16Safar</v>
      </c>
      <c r="S292" s="67">
        <f t="shared" si="56"/>
        <v>43753</v>
      </c>
    </row>
    <row r="293" spans="16:19" hidden="1" x14ac:dyDescent="0.25">
      <c r="P293" s="54">
        <f t="shared" si="61"/>
        <v>17</v>
      </c>
      <c r="Q293" s="61" t="str">
        <f t="shared" si="62"/>
        <v>Safar</v>
      </c>
      <c r="R293" s="61" t="str">
        <f t="shared" si="55"/>
        <v>17Safar</v>
      </c>
      <c r="S293" s="67">
        <f t="shared" si="56"/>
        <v>43754</v>
      </c>
    </row>
    <row r="294" spans="16:19" hidden="1" x14ac:dyDescent="0.25">
      <c r="P294" s="54">
        <f t="shared" si="61"/>
        <v>18</v>
      </c>
      <c r="Q294" s="61" t="str">
        <f t="shared" si="62"/>
        <v>Safar</v>
      </c>
      <c r="R294" s="61" t="str">
        <f t="shared" si="55"/>
        <v>18Safar</v>
      </c>
      <c r="S294" s="67">
        <f t="shared" si="56"/>
        <v>43755</v>
      </c>
    </row>
    <row r="295" spans="16:19" hidden="1" x14ac:dyDescent="0.25">
      <c r="P295" s="54">
        <f t="shared" si="61"/>
        <v>19</v>
      </c>
      <c r="Q295" s="61" t="str">
        <f t="shared" si="62"/>
        <v>Safar</v>
      </c>
      <c r="R295" s="61" t="str">
        <f t="shared" si="55"/>
        <v>19Safar</v>
      </c>
      <c r="S295" s="67">
        <f t="shared" si="56"/>
        <v>43756</v>
      </c>
    </row>
    <row r="296" spans="16:19" hidden="1" x14ac:dyDescent="0.25">
      <c r="P296" s="54">
        <f t="shared" si="61"/>
        <v>20</v>
      </c>
      <c r="Q296" s="61" t="str">
        <f t="shared" si="62"/>
        <v>Safar</v>
      </c>
      <c r="R296" s="61" t="str">
        <f t="shared" si="55"/>
        <v>20Safar</v>
      </c>
      <c r="S296" s="67">
        <f t="shared" si="56"/>
        <v>43757</v>
      </c>
    </row>
    <row r="297" spans="16:19" hidden="1" x14ac:dyDescent="0.25">
      <c r="P297" s="54">
        <f t="shared" si="61"/>
        <v>21</v>
      </c>
      <c r="Q297" s="61" t="str">
        <f t="shared" si="62"/>
        <v>Safar</v>
      </c>
      <c r="R297" s="61" t="str">
        <f t="shared" si="55"/>
        <v>21Safar</v>
      </c>
      <c r="S297" s="67">
        <f t="shared" si="56"/>
        <v>43758</v>
      </c>
    </row>
    <row r="298" spans="16:19" hidden="1" x14ac:dyDescent="0.25">
      <c r="P298" s="54">
        <f t="shared" si="61"/>
        <v>22</v>
      </c>
      <c r="Q298" s="61" t="str">
        <f t="shared" si="62"/>
        <v>Safar</v>
      </c>
      <c r="R298" s="61" t="str">
        <f t="shared" si="55"/>
        <v>22Safar</v>
      </c>
      <c r="S298" s="67">
        <f t="shared" si="56"/>
        <v>43759</v>
      </c>
    </row>
    <row r="299" spans="16:19" hidden="1" x14ac:dyDescent="0.25">
      <c r="P299" s="54">
        <f t="shared" si="61"/>
        <v>23</v>
      </c>
      <c r="Q299" s="61" t="str">
        <f t="shared" si="62"/>
        <v>Safar</v>
      </c>
      <c r="R299" s="61" t="str">
        <f t="shared" si="55"/>
        <v>23Safar</v>
      </c>
      <c r="S299" s="67">
        <f t="shared" si="56"/>
        <v>43760</v>
      </c>
    </row>
    <row r="300" spans="16:19" hidden="1" x14ac:dyDescent="0.25">
      <c r="P300" s="54">
        <f t="shared" si="61"/>
        <v>24</v>
      </c>
      <c r="Q300" s="61" t="str">
        <f t="shared" si="62"/>
        <v>Safar</v>
      </c>
      <c r="R300" s="61" t="str">
        <f t="shared" si="55"/>
        <v>24Safar</v>
      </c>
      <c r="S300" s="67">
        <f t="shared" si="56"/>
        <v>43761</v>
      </c>
    </row>
    <row r="301" spans="16:19" hidden="1" x14ac:dyDescent="0.25">
      <c r="P301" s="54">
        <f t="shared" si="61"/>
        <v>25</v>
      </c>
      <c r="Q301" s="61" t="str">
        <f t="shared" si="62"/>
        <v>Safar</v>
      </c>
      <c r="R301" s="61" t="str">
        <f t="shared" si="55"/>
        <v>25Safar</v>
      </c>
      <c r="S301" s="67">
        <f t="shared" si="56"/>
        <v>43762</v>
      </c>
    </row>
    <row r="302" spans="16:19" hidden="1" x14ac:dyDescent="0.25">
      <c r="P302" s="54">
        <f t="shared" si="61"/>
        <v>26</v>
      </c>
      <c r="Q302" s="61" t="str">
        <f t="shared" si="62"/>
        <v>Safar</v>
      </c>
      <c r="R302" s="61" t="str">
        <f t="shared" si="55"/>
        <v>26Safar</v>
      </c>
      <c r="S302" s="67">
        <f t="shared" si="56"/>
        <v>43763</v>
      </c>
    </row>
    <row r="303" spans="16:19" hidden="1" x14ac:dyDescent="0.25">
      <c r="P303" s="54">
        <f t="shared" si="61"/>
        <v>27</v>
      </c>
      <c r="Q303" s="61" t="str">
        <f t="shared" si="62"/>
        <v>Safar</v>
      </c>
      <c r="R303" s="61" t="str">
        <f t="shared" si="55"/>
        <v>27Safar</v>
      </c>
      <c r="S303" s="67">
        <f t="shared" si="56"/>
        <v>43764</v>
      </c>
    </row>
    <row r="304" spans="16:19" hidden="1" x14ac:dyDescent="0.25">
      <c r="P304" s="54">
        <f t="shared" si="61"/>
        <v>28</v>
      </c>
      <c r="Q304" s="61" t="str">
        <f t="shared" si="62"/>
        <v>Safar</v>
      </c>
      <c r="R304" s="61" t="str">
        <f t="shared" si="55"/>
        <v>28Safar</v>
      </c>
      <c r="S304" s="67">
        <f t="shared" si="56"/>
        <v>43765</v>
      </c>
    </row>
    <row r="305" spans="16:19" hidden="1" x14ac:dyDescent="0.25">
      <c r="P305" s="54">
        <f t="shared" si="61"/>
        <v>29</v>
      </c>
      <c r="Q305" s="61" t="str">
        <f t="shared" si="62"/>
        <v>Safar</v>
      </c>
      <c r="R305" s="61" t="str">
        <f t="shared" si="55"/>
        <v>29Safar</v>
      </c>
      <c r="S305" s="67">
        <f t="shared" si="56"/>
        <v>43766</v>
      </c>
    </row>
    <row r="306" spans="16:19" hidden="1" x14ac:dyDescent="0.25">
      <c r="P306" s="54">
        <v>1</v>
      </c>
      <c r="Q306" s="61" t="s">
        <v>26</v>
      </c>
      <c r="R306" s="61" t="str">
        <f t="shared" si="55"/>
        <v>1Rabi-ul-Awwal</v>
      </c>
      <c r="S306" s="67">
        <f t="shared" si="56"/>
        <v>43767</v>
      </c>
    </row>
    <row r="307" spans="16:19" hidden="1" x14ac:dyDescent="0.25">
      <c r="P307" s="54">
        <f t="shared" ref="P307" si="63">P306+1</f>
        <v>2</v>
      </c>
      <c r="Q307" s="61" t="str">
        <f t="shared" ref="Q307" si="64">Q306</f>
        <v>Rabi-ul-Awwal</v>
      </c>
      <c r="R307" s="61" t="str">
        <f t="shared" si="55"/>
        <v>2Rabi-ul-Awwal</v>
      </c>
      <c r="S307" s="67">
        <f t="shared" si="56"/>
        <v>43768</v>
      </c>
    </row>
    <row r="308" spans="16:19" hidden="1" x14ac:dyDescent="0.25">
      <c r="P308" s="54">
        <f t="shared" ref="P308:P335" si="65">P307+1</f>
        <v>3</v>
      </c>
      <c r="Q308" s="61" t="str">
        <f t="shared" ref="Q308:Q335" si="66">Q307</f>
        <v>Rabi-ul-Awwal</v>
      </c>
      <c r="R308" s="61" t="str">
        <f t="shared" si="55"/>
        <v>3Rabi-ul-Awwal</v>
      </c>
      <c r="S308" s="67">
        <f t="shared" si="56"/>
        <v>43769</v>
      </c>
    </row>
    <row r="309" spans="16:19" hidden="1" x14ac:dyDescent="0.25">
      <c r="P309" s="54">
        <f t="shared" si="65"/>
        <v>4</v>
      </c>
      <c r="Q309" s="61" t="str">
        <f t="shared" si="66"/>
        <v>Rabi-ul-Awwal</v>
      </c>
      <c r="R309" s="61" t="str">
        <f t="shared" si="55"/>
        <v>4Rabi-ul-Awwal</v>
      </c>
      <c r="S309" s="67">
        <f t="shared" si="56"/>
        <v>43770</v>
      </c>
    </row>
    <row r="310" spans="16:19" hidden="1" x14ac:dyDescent="0.25">
      <c r="P310" s="54">
        <f t="shared" si="65"/>
        <v>5</v>
      </c>
      <c r="Q310" s="61" t="str">
        <f t="shared" si="66"/>
        <v>Rabi-ul-Awwal</v>
      </c>
      <c r="R310" s="61" t="str">
        <f t="shared" si="55"/>
        <v>5Rabi-ul-Awwal</v>
      </c>
      <c r="S310" s="67">
        <f t="shared" si="56"/>
        <v>43771</v>
      </c>
    </row>
    <row r="311" spans="16:19" hidden="1" x14ac:dyDescent="0.25">
      <c r="P311" s="54">
        <f t="shared" si="65"/>
        <v>6</v>
      </c>
      <c r="Q311" s="61" t="str">
        <f t="shared" si="66"/>
        <v>Rabi-ul-Awwal</v>
      </c>
      <c r="R311" s="61" t="str">
        <f t="shared" si="55"/>
        <v>6Rabi-ul-Awwal</v>
      </c>
      <c r="S311" s="67">
        <f t="shared" si="56"/>
        <v>43772</v>
      </c>
    </row>
    <row r="312" spans="16:19" hidden="1" x14ac:dyDescent="0.25">
      <c r="P312" s="54">
        <f t="shared" si="65"/>
        <v>7</v>
      </c>
      <c r="Q312" s="61" t="str">
        <f t="shared" si="66"/>
        <v>Rabi-ul-Awwal</v>
      </c>
      <c r="R312" s="61" t="str">
        <f t="shared" si="55"/>
        <v>7Rabi-ul-Awwal</v>
      </c>
      <c r="S312" s="67">
        <f t="shared" si="56"/>
        <v>43773</v>
      </c>
    </row>
    <row r="313" spans="16:19" hidden="1" x14ac:dyDescent="0.25">
      <c r="P313" s="54">
        <f t="shared" si="65"/>
        <v>8</v>
      </c>
      <c r="Q313" s="61" t="str">
        <f t="shared" si="66"/>
        <v>Rabi-ul-Awwal</v>
      </c>
      <c r="R313" s="61" t="str">
        <f t="shared" si="55"/>
        <v>8Rabi-ul-Awwal</v>
      </c>
      <c r="S313" s="67">
        <f t="shared" si="56"/>
        <v>43774</v>
      </c>
    </row>
    <row r="314" spans="16:19" hidden="1" x14ac:dyDescent="0.25">
      <c r="P314" s="54">
        <f t="shared" si="65"/>
        <v>9</v>
      </c>
      <c r="Q314" s="61" t="str">
        <f t="shared" si="66"/>
        <v>Rabi-ul-Awwal</v>
      </c>
      <c r="R314" s="61" t="str">
        <f t="shared" si="55"/>
        <v>9Rabi-ul-Awwal</v>
      </c>
      <c r="S314" s="67">
        <f t="shared" si="56"/>
        <v>43775</v>
      </c>
    </row>
    <row r="315" spans="16:19" hidden="1" x14ac:dyDescent="0.25">
      <c r="P315" s="54">
        <f t="shared" si="65"/>
        <v>10</v>
      </c>
      <c r="Q315" s="61" t="str">
        <f t="shared" si="66"/>
        <v>Rabi-ul-Awwal</v>
      </c>
      <c r="R315" s="61" t="str">
        <f t="shared" si="55"/>
        <v>10Rabi-ul-Awwal</v>
      </c>
      <c r="S315" s="67">
        <f t="shared" si="56"/>
        <v>43776</v>
      </c>
    </row>
    <row r="316" spans="16:19" hidden="1" x14ac:dyDescent="0.25">
      <c r="P316" s="54">
        <f t="shared" si="65"/>
        <v>11</v>
      </c>
      <c r="Q316" s="61" t="str">
        <f t="shared" si="66"/>
        <v>Rabi-ul-Awwal</v>
      </c>
      <c r="R316" s="61" t="str">
        <f t="shared" si="55"/>
        <v>11Rabi-ul-Awwal</v>
      </c>
      <c r="S316" s="67">
        <f t="shared" si="56"/>
        <v>43777</v>
      </c>
    </row>
    <row r="317" spans="16:19" hidden="1" x14ac:dyDescent="0.25">
      <c r="P317" s="54">
        <f t="shared" si="65"/>
        <v>12</v>
      </c>
      <c r="Q317" s="61" t="str">
        <f t="shared" si="66"/>
        <v>Rabi-ul-Awwal</v>
      </c>
      <c r="R317" s="61" t="str">
        <f t="shared" si="55"/>
        <v>12Rabi-ul-Awwal</v>
      </c>
      <c r="S317" s="67">
        <f t="shared" si="56"/>
        <v>43778</v>
      </c>
    </row>
    <row r="318" spans="16:19" hidden="1" x14ac:dyDescent="0.25">
      <c r="P318" s="54">
        <f t="shared" si="65"/>
        <v>13</v>
      </c>
      <c r="Q318" s="61" t="str">
        <f t="shared" si="66"/>
        <v>Rabi-ul-Awwal</v>
      </c>
      <c r="R318" s="61" t="str">
        <f t="shared" si="55"/>
        <v>13Rabi-ul-Awwal</v>
      </c>
      <c r="S318" s="67">
        <f t="shared" si="56"/>
        <v>43779</v>
      </c>
    </row>
    <row r="319" spans="16:19" hidden="1" x14ac:dyDescent="0.25">
      <c r="P319" s="54">
        <f t="shared" si="65"/>
        <v>14</v>
      </c>
      <c r="Q319" s="61" t="str">
        <f t="shared" si="66"/>
        <v>Rabi-ul-Awwal</v>
      </c>
      <c r="R319" s="61" t="str">
        <f t="shared" si="55"/>
        <v>14Rabi-ul-Awwal</v>
      </c>
      <c r="S319" s="67">
        <f t="shared" si="56"/>
        <v>43780</v>
      </c>
    </row>
    <row r="320" spans="16:19" hidden="1" x14ac:dyDescent="0.25">
      <c r="P320" s="54">
        <f t="shared" si="65"/>
        <v>15</v>
      </c>
      <c r="Q320" s="61" t="str">
        <f t="shared" si="66"/>
        <v>Rabi-ul-Awwal</v>
      </c>
      <c r="R320" s="61" t="str">
        <f t="shared" si="55"/>
        <v>15Rabi-ul-Awwal</v>
      </c>
      <c r="S320" s="67">
        <f t="shared" si="56"/>
        <v>43781</v>
      </c>
    </row>
    <row r="321" spans="16:19" hidden="1" x14ac:dyDescent="0.25">
      <c r="P321" s="54">
        <f t="shared" si="65"/>
        <v>16</v>
      </c>
      <c r="Q321" s="61" t="str">
        <f t="shared" si="66"/>
        <v>Rabi-ul-Awwal</v>
      </c>
      <c r="R321" s="61" t="str">
        <f t="shared" si="55"/>
        <v>16Rabi-ul-Awwal</v>
      </c>
      <c r="S321" s="67">
        <f t="shared" si="56"/>
        <v>43782</v>
      </c>
    </row>
    <row r="322" spans="16:19" hidden="1" x14ac:dyDescent="0.25">
      <c r="P322" s="54">
        <f t="shared" si="65"/>
        <v>17</v>
      </c>
      <c r="Q322" s="61" t="str">
        <f t="shared" si="66"/>
        <v>Rabi-ul-Awwal</v>
      </c>
      <c r="R322" s="61" t="str">
        <f t="shared" si="55"/>
        <v>17Rabi-ul-Awwal</v>
      </c>
      <c r="S322" s="67">
        <f t="shared" si="56"/>
        <v>43783</v>
      </c>
    </row>
    <row r="323" spans="16:19" hidden="1" x14ac:dyDescent="0.25">
      <c r="P323" s="54">
        <f t="shared" si="65"/>
        <v>18</v>
      </c>
      <c r="Q323" s="61" t="str">
        <f t="shared" si="66"/>
        <v>Rabi-ul-Awwal</v>
      </c>
      <c r="R323" s="61" t="str">
        <f t="shared" si="55"/>
        <v>18Rabi-ul-Awwal</v>
      </c>
      <c r="S323" s="67">
        <f t="shared" si="56"/>
        <v>43784</v>
      </c>
    </row>
    <row r="324" spans="16:19" hidden="1" x14ac:dyDescent="0.25">
      <c r="P324" s="54">
        <f t="shared" si="65"/>
        <v>19</v>
      </c>
      <c r="Q324" s="61" t="str">
        <f t="shared" si="66"/>
        <v>Rabi-ul-Awwal</v>
      </c>
      <c r="R324" s="61" t="str">
        <f t="shared" si="55"/>
        <v>19Rabi-ul-Awwal</v>
      </c>
      <c r="S324" s="67">
        <f t="shared" si="56"/>
        <v>43785</v>
      </c>
    </row>
    <row r="325" spans="16:19" hidden="1" x14ac:dyDescent="0.25">
      <c r="P325" s="54">
        <f t="shared" si="65"/>
        <v>20</v>
      </c>
      <c r="Q325" s="61" t="str">
        <f t="shared" si="66"/>
        <v>Rabi-ul-Awwal</v>
      </c>
      <c r="R325" s="61" t="str">
        <f t="shared" si="55"/>
        <v>20Rabi-ul-Awwal</v>
      </c>
      <c r="S325" s="67">
        <f t="shared" si="56"/>
        <v>43786</v>
      </c>
    </row>
    <row r="326" spans="16:19" hidden="1" x14ac:dyDescent="0.25">
      <c r="P326" s="54">
        <f t="shared" si="65"/>
        <v>21</v>
      </c>
      <c r="Q326" s="61" t="str">
        <f t="shared" si="66"/>
        <v>Rabi-ul-Awwal</v>
      </c>
      <c r="R326" s="61" t="str">
        <f t="shared" ref="R326:R369" si="67">P326&amp;Q326</f>
        <v>21Rabi-ul-Awwal</v>
      </c>
      <c r="S326" s="67">
        <f t="shared" si="56"/>
        <v>43787</v>
      </c>
    </row>
    <row r="327" spans="16:19" hidden="1" x14ac:dyDescent="0.25">
      <c r="P327" s="54">
        <f t="shared" si="65"/>
        <v>22</v>
      </c>
      <c r="Q327" s="61" t="str">
        <f t="shared" si="66"/>
        <v>Rabi-ul-Awwal</v>
      </c>
      <c r="R327" s="61" t="str">
        <f t="shared" si="67"/>
        <v>22Rabi-ul-Awwal</v>
      </c>
      <c r="S327" s="67">
        <f t="shared" ref="S327:S369" si="68">S326+1</f>
        <v>43788</v>
      </c>
    </row>
    <row r="328" spans="16:19" hidden="1" x14ac:dyDescent="0.25">
      <c r="P328" s="54">
        <f t="shared" si="65"/>
        <v>23</v>
      </c>
      <c r="Q328" s="61" t="str">
        <f t="shared" si="66"/>
        <v>Rabi-ul-Awwal</v>
      </c>
      <c r="R328" s="61" t="str">
        <f t="shared" si="67"/>
        <v>23Rabi-ul-Awwal</v>
      </c>
      <c r="S328" s="67">
        <f t="shared" si="68"/>
        <v>43789</v>
      </c>
    </row>
    <row r="329" spans="16:19" hidden="1" x14ac:dyDescent="0.25">
      <c r="P329" s="54">
        <f t="shared" si="65"/>
        <v>24</v>
      </c>
      <c r="Q329" s="61" t="str">
        <f t="shared" si="66"/>
        <v>Rabi-ul-Awwal</v>
      </c>
      <c r="R329" s="61" t="str">
        <f t="shared" si="67"/>
        <v>24Rabi-ul-Awwal</v>
      </c>
      <c r="S329" s="67">
        <f t="shared" si="68"/>
        <v>43790</v>
      </c>
    </row>
    <row r="330" spans="16:19" hidden="1" x14ac:dyDescent="0.25">
      <c r="P330" s="54">
        <f t="shared" si="65"/>
        <v>25</v>
      </c>
      <c r="Q330" s="61" t="str">
        <f t="shared" si="66"/>
        <v>Rabi-ul-Awwal</v>
      </c>
      <c r="R330" s="61" t="str">
        <f t="shared" si="67"/>
        <v>25Rabi-ul-Awwal</v>
      </c>
      <c r="S330" s="67">
        <f t="shared" si="68"/>
        <v>43791</v>
      </c>
    </row>
    <row r="331" spans="16:19" hidden="1" x14ac:dyDescent="0.25">
      <c r="P331" s="54">
        <f t="shared" si="65"/>
        <v>26</v>
      </c>
      <c r="Q331" s="61" t="str">
        <f t="shared" si="66"/>
        <v>Rabi-ul-Awwal</v>
      </c>
      <c r="R331" s="61" t="str">
        <f t="shared" si="67"/>
        <v>26Rabi-ul-Awwal</v>
      </c>
      <c r="S331" s="67">
        <f t="shared" si="68"/>
        <v>43792</v>
      </c>
    </row>
    <row r="332" spans="16:19" hidden="1" x14ac:dyDescent="0.25">
      <c r="P332" s="54">
        <f t="shared" si="65"/>
        <v>27</v>
      </c>
      <c r="Q332" s="61" t="str">
        <f t="shared" si="66"/>
        <v>Rabi-ul-Awwal</v>
      </c>
      <c r="R332" s="61" t="str">
        <f t="shared" si="67"/>
        <v>27Rabi-ul-Awwal</v>
      </c>
      <c r="S332" s="67">
        <f t="shared" si="68"/>
        <v>43793</v>
      </c>
    </row>
    <row r="333" spans="16:19" hidden="1" x14ac:dyDescent="0.25">
      <c r="P333" s="54">
        <f t="shared" si="65"/>
        <v>28</v>
      </c>
      <c r="Q333" s="61" t="str">
        <f t="shared" si="66"/>
        <v>Rabi-ul-Awwal</v>
      </c>
      <c r="R333" s="61" t="str">
        <f t="shared" si="67"/>
        <v>28Rabi-ul-Awwal</v>
      </c>
      <c r="S333" s="67">
        <f t="shared" si="68"/>
        <v>43794</v>
      </c>
    </row>
    <row r="334" spans="16:19" hidden="1" x14ac:dyDescent="0.25">
      <c r="P334" s="54">
        <f t="shared" si="65"/>
        <v>29</v>
      </c>
      <c r="Q334" s="61" t="str">
        <f t="shared" si="66"/>
        <v>Rabi-ul-Awwal</v>
      </c>
      <c r="R334" s="61" t="str">
        <f t="shared" si="67"/>
        <v>29Rabi-ul-Awwal</v>
      </c>
      <c r="S334" s="67">
        <f t="shared" si="68"/>
        <v>43795</v>
      </c>
    </row>
    <row r="335" spans="16:19" hidden="1" x14ac:dyDescent="0.25">
      <c r="P335" s="54">
        <f t="shared" si="65"/>
        <v>30</v>
      </c>
      <c r="Q335" s="61" t="str">
        <f t="shared" si="66"/>
        <v>Rabi-ul-Awwal</v>
      </c>
      <c r="R335" s="61" t="str">
        <f t="shared" si="67"/>
        <v>30Rabi-ul-Awwal</v>
      </c>
      <c r="S335" s="67">
        <f t="shared" si="68"/>
        <v>43796</v>
      </c>
    </row>
    <row r="336" spans="16:19" hidden="1" x14ac:dyDescent="0.25">
      <c r="P336" s="54">
        <v>1</v>
      </c>
      <c r="Q336" s="61" t="s">
        <v>27</v>
      </c>
      <c r="R336" s="61" t="str">
        <f t="shared" si="67"/>
        <v>1Rabi-us-Thaani</v>
      </c>
      <c r="S336" s="67">
        <f t="shared" si="68"/>
        <v>43797</v>
      </c>
    </row>
    <row r="337" spans="16:19" hidden="1" x14ac:dyDescent="0.25">
      <c r="P337" s="54">
        <f t="shared" ref="P337" si="69">P336+1</f>
        <v>2</v>
      </c>
      <c r="Q337" s="61" t="str">
        <f t="shared" ref="Q337" si="70">Q336</f>
        <v>Rabi-us-Thaani</v>
      </c>
      <c r="R337" s="61" t="str">
        <f t="shared" si="67"/>
        <v>2Rabi-us-Thaani</v>
      </c>
      <c r="S337" s="67">
        <f t="shared" si="68"/>
        <v>43798</v>
      </c>
    </row>
    <row r="338" spans="16:19" hidden="1" x14ac:dyDescent="0.25">
      <c r="P338" s="54">
        <f t="shared" ref="P338:P364" si="71">P337+1</f>
        <v>3</v>
      </c>
      <c r="Q338" s="61" t="str">
        <f t="shared" ref="Q338:Q364" si="72">Q337</f>
        <v>Rabi-us-Thaani</v>
      </c>
      <c r="R338" s="61" t="str">
        <f t="shared" si="67"/>
        <v>3Rabi-us-Thaani</v>
      </c>
      <c r="S338" s="67">
        <f t="shared" si="68"/>
        <v>43799</v>
      </c>
    </row>
    <row r="339" spans="16:19" hidden="1" x14ac:dyDescent="0.25">
      <c r="P339" s="54">
        <f t="shared" si="71"/>
        <v>4</v>
      </c>
      <c r="Q339" s="61" t="str">
        <f t="shared" si="72"/>
        <v>Rabi-us-Thaani</v>
      </c>
      <c r="R339" s="61" t="str">
        <f t="shared" si="67"/>
        <v>4Rabi-us-Thaani</v>
      </c>
      <c r="S339" s="67">
        <f t="shared" si="68"/>
        <v>43800</v>
      </c>
    </row>
    <row r="340" spans="16:19" hidden="1" x14ac:dyDescent="0.25">
      <c r="P340" s="54">
        <f t="shared" si="71"/>
        <v>5</v>
      </c>
      <c r="Q340" s="61" t="str">
        <f t="shared" si="72"/>
        <v>Rabi-us-Thaani</v>
      </c>
      <c r="R340" s="61" t="str">
        <f t="shared" si="67"/>
        <v>5Rabi-us-Thaani</v>
      </c>
      <c r="S340" s="67">
        <f t="shared" si="68"/>
        <v>43801</v>
      </c>
    </row>
    <row r="341" spans="16:19" hidden="1" x14ac:dyDescent="0.25">
      <c r="P341" s="54">
        <f t="shared" si="71"/>
        <v>6</v>
      </c>
      <c r="Q341" s="61" t="str">
        <f t="shared" si="72"/>
        <v>Rabi-us-Thaani</v>
      </c>
      <c r="R341" s="61" t="str">
        <f t="shared" si="67"/>
        <v>6Rabi-us-Thaani</v>
      </c>
      <c r="S341" s="67">
        <f t="shared" si="68"/>
        <v>43802</v>
      </c>
    </row>
    <row r="342" spans="16:19" hidden="1" x14ac:dyDescent="0.25">
      <c r="P342" s="54">
        <f t="shared" si="71"/>
        <v>7</v>
      </c>
      <c r="Q342" s="61" t="str">
        <f t="shared" si="72"/>
        <v>Rabi-us-Thaani</v>
      </c>
      <c r="R342" s="61" t="str">
        <f t="shared" si="67"/>
        <v>7Rabi-us-Thaani</v>
      </c>
      <c r="S342" s="67">
        <f t="shared" si="68"/>
        <v>43803</v>
      </c>
    </row>
    <row r="343" spans="16:19" hidden="1" x14ac:dyDescent="0.25">
      <c r="P343" s="54">
        <f t="shared" si="71"/>
        <v>8</v>
      </c>
      <c r="Q343" s="61" t="str">
        <f t="shared" si="72"/>
        <v>Rabi-us-Thaani</v>
      </c>
      <c r="R343" s="61" t="str">
        <f t="shared" si="67"/>
        <v>8Rabi-us-Thaani</v>
      </c>
      <c r="S343" s="67">
        <f t="shared" si="68"/>
        <v>43804</v>
      </c>
    </row>
    <row r="344" spans="16:19" hidden="1" x14ac:dyDescent="0.25">
      <c r="P344" s="54">
        <f t="shared" si="71"/>
        <v>9</v>
      </c>
      <c r="Q344" s="61" t="str">
        <f t="shared" si="72"/>
        <v>Rabi-us-Thaani</v>
      </c>
      <c r="R344" s="61" t="str">
        <f t="shared" si="67"/>
        <v>9Rabi-us-Thaani</v>
      </c>
      <c r="S344" s="67">
        <f t="shared" si="68"/>
        <v>43805</v>
      </c>
    </row>
    <row r="345" spans="16:19" hidden="1" x14ac:dyDescent="0.25">
      <c r="P345" s="54">
        <f t="shared" si="71"/>
        <v>10</v>
      </c>
      <c r="Q345" s="61" t="str">
        <f t="shared" si="72"/>
        <v>Rabi-us-Thaani</v>
      </c>
      <c r="R345" s="61" t="str">
        <f t="shared" si="67"/>
        <v>10Rabi-us-Thaani</v>
      </c>
      <c r="S345" s="67">
        <f t="shared" si="68"/>
        <v>43806</v>
      </c>
    </row>
    <row r="346" spans="16:19" hidden="1" x14ac:dyDescent="0.25">
      <c r="P346" s="54">
        <f t="shared" si="71"/>
        <v>11</v>
      </c>
      <c r="Q346" s="61" t="str">
        <f t="shared" si="72"/>
        <v>Rabi-us-Thaani</v>
      </c>
      <c r="R346" s="61" t="str">
        <f t="shared" si="67"/>
        <v>11Rabi-us-Thaani</v>
      </c>
      <c r="S346" s="67">
        <f t="shared" si="68"/>
        <v>43807</v>
      </c>
    </row>
    <row r="347" spans="16:19" hidden="1" x14ac:dyDescent="0.25">
      <c r="P347" s="54">
        <f t="shared" si="71"/>
        <v>12</v>
      </c>
      <c r="Q347" s="61" t="str">
        <f t="shared" si="72"/>
        <v>Rabi-us-Thaani</v>
      </c>
      <c r="R347" s="61" t="str">
        <f t="shared" si="67"/>
        <v>12Rabi-us-Thaani</v>
      </c>
      <c r="S347" s="67">
        <f t="shared" si="68"/>
        <v>43808</v>
      </c>
    </row>
    <row r="348" spans="16:19" hidden="1" x14ac:dyDescent="0.25">
      <c r="P348" s="54">
        <f t="shared" si="71"/>
        <v>13</v>
      </c>
      <c r="Q348" s="61" t="str">
        <f t="shared" si="72"/>
        <v>Rabi-us-Thaani</v>
      </c>
      <c r="R348" s="61" t="str">
        <f t="shared" si="67"/>
        <v>13Rabi-us-Thaani</v>
      </c>
      <c r="S348" s="67">
        <f t="shared" si="68"/>
        <v>43809</v>
      </c>
    </row>
    <row r="349" spans="16:19" hidden="1" x14ac:dyDescent="0.25">
      <c r="P349" s="54">
        <f t="shared" si="71"/>
        <v>14</v>
      </c>
      <c r="Q349" s="61" t="str">
        <f t="shared" si="72"/>
        <v>Rabi-us-Thaani</v>
      </c>
      <c r="R349" s="61" t="str">
        <f t="shared" si="67"/>
        <v>14Rabi-us-Thaani</v>
      </c>
      <c r="S349" s="67">
        <f t="shared" si="68"/>
        <v>43810</v>
      </c>
    </row>
    <row r="350" spans="16:19" hidden="1" x14ac:dyDescent="0.25">
      <c r="P350" s="54">
        <f t="shared" si="71"/>
        <v>15</v>
      </c>
      <c r="Q350" s="61" t="str">
        <f t="shared" si="72"/>
        <v>Rabi-us-Thaani</v>
      </c>
      <c r="R350" s="61" t="str">
        <f t="shared" si="67"/>
        <v>15Rabi-us-Thaani</v>
      </c>
      <c r="S350" s="67">
        <f t="shared" si="68"/>
        <v>43811</v>
      </c>
    </row>
    <row r="351" spans="16:19" hidden="1" x14ac:dyDescent="0.25">
      <c r="P351" s="54">
        <f t="shared" si="71"/>
        <v>16</v>
      </c>
      <c r="Q351" s="61" t="str">
        <f t="shared" si="72"/>
        <v>Rabi-us-Thaani</v>
      </c>
      <c r="R351" s="61" t="str">
        <f t="shared" si="67"/>
        <v>16Rabi-us-Thaani</v>
      </c>
      <c r="S351" s="67">
        <f t="shared" si="68"/>
        <v>43812</v>
      </c>
    </row>
    <row r="352" spans="16:19" hidden="1" x14ac:dyDescent="0.25">
      <c r="P352" s="54">
        <f t="shared" si="71"/>
        <v>17</v>
      </c>
      <c r="Q352" s="61" t="str">
        <f t="shared" si="72"/>
        <v>Rabi-us-Thaani</v>
      </c>
      <c r="R352" s="61" t="str">
        <f t="shared" si="67"/>
        <v>17Rabi-us-Thaani</v>
      </c>
      <c r="S352" s="67">
        <f t="shared" si="68"/>
        <v>43813</v>
      </c>
    </row>
    <row r="353" spans="16:19" hidden="1" x14ac:dyDescent="0.25">
      <c r="P353" s="54">
        <f t="shared" si="71"/>
        <v>18</v>
      </c>
      <c r="Q353" s="61" t="str">
        <f t="shared" si="72"/>
        <v>Rabi-us-Thaani</v>
      </c>
      <c r="R353" s="61" t="str">
        <f t="shared" si="67"/>
        <v>18Rabi-us-Thaani</v>
      </c>
      <c r="S353" s="67">
        <f t="shared" si="68"/>
        <v>43814</v>
      </c>
    </row>
    <row r="354" spans="16:19" hidden="1" x14ac:dyDescent="0.25">
      <c r="P354" s="54">
        <f t="shared" si="71"/>
        <v>19</v>
      </c>
      <c r="Q354" s="61" t="str">
        <f t="shared" si="72"/>
        <v>Rabi-us-Thaani</v>
      </c>
      <c r="R354" s="61" t="str">
        <f t="shared" si="67"/>
        <v>19Rabi-us-Thaani</v>
      </c>
      <c r="S354" s="67">
        <f t="shared" si="68"/>
        <v>43815</v>
      </c>
    </row>
    <row r="355" spans="16:19" hidden="1" x14ac:dyDescent="0.25">
      <c r="P355" s="54">
        <f t="shared" si="71"/>
        <v>20</v>
      </c>
      <c r="Q355" s="61" t="str">
        <f t="shared" si="72"/>
        <v>Rabi-us-Thaani</v>
      </c>
      <c r="R355" s="61" t="str">
        <f t="shared" si="67"/>
        <v>20Rabi-us-Thaani</v>
      </c>
      <c r="S355" s="67">
        <f t="shared" si="68"/>
        <v>43816</v>
      </c>
    </row>
    <row r="356" spans="16:19" hidden="1" x14ac:dyDescent="0.25">
      <c r="P356" s="54">
        <f t="shared" si="71"/>
        <v>21</v>
      </c>
      <c r="Q356" s="61" t="str">
        <f t="shared" si="72"/>
        <v>Rabi-us-Thaani</v>
      </c>
      <c r="R356" s="61" t="str">
        <f t="shared" si="67"/>
        <v>21Rabi-us-Thaani</v>
      </c>
      <c r="S356" s="67">
        <f t="shared" si="68"/>
        <v>43817</v>
      </c>
    </row>
    <row r="357" spans="16:19" hidden="1" x14ac:dyDescent="0.25">
      <c r="P357" s="54">
        <f t="shared" si="71"/>
        <v>22</v>
      </c>
      <c r="Q357" s="61" t="str">
        <f t="shared" si="72"/>
        <v>Rabi-us-Thaani</v>
      </c>
      <c r="R357" s="61" t="str">
        <f t="shared" si="67"/>
        <v>22Rabi-us-Thaani</v>
      </c>
      <c r="S357" s="67">
        <f t="shared" si="68"/>
        <v>43818</v>
      </c>
    </row>
    <row r="358" spans="16:19" hidden="1" x14ac:dyDescent="0.25">
      <c r="P358" s="54">
        <f t="shared" si="71"/>
        <v>23</v>
      </c>
      <c r="Q358" s="61" t="str">
        <f t="shared" si="72"/>
        <v>Rabi-us-Thaani</v>
      </c>
      <c r="R358" s="61" t="str">
        <f t="shared" si="67"/>
        <v>23Rabi-us-Thaani</v>
      </c>
      <c r="S358" s="67">
        <f t="shared" si="68"/>
        <v>43819</v>
      </c>
    </row>
    <row r="359" spans="16:19" hidden="1" x14ac:dyDescent="0.25">
      <c r="P359" s="54">
        <f t="shared" si="71"/>
        <v>24</v>
      </c>
      <c r="Q359" s="61" t="str">
        <f t="shared" si="72"/>
        <v>Rabi-us-Thaani</v>
      </c>
      <c r="R359" s="61" t="str">
        <f t="shared" si="67"/>
        <v>24Rabi-us-Thaani</v>
      </c>
      <c r="S359" s="67">
        <f t="shared" si="68"/>
        <v>43820</v>
      </c>
    </row>
    <row r="360" spans="16:19" hidden="1" x14ac:dyDescent="0.25">
      <c r="P360" s="54">
        <f t="shared" si="71"/>
        <v>25</v>
      </c>
      <c r="Q360" s="61" t="str">
        <f t="shared" si="72"/>
        <v>Rabi-us-Thaani</v>
      </c>
      <c r="R360" s="61" t="str">
        <f t="shared" si="67"/>
        <v>25Rabi-us-Thaani</v>
      </c>
      <c r="S360" s="67">
        <f t="shared" si="68"/>
        <v>43821</v>
      </c>
    </row>
    <row r="361" spans="16:19" hidden="1" x14ac:dyDescent="0.25">
      <c r="P361" s="54">
        <f t="shared" si="71"/>
        <v>26</v>
      </c>
      <c r="Q361" s="61" t="str">
        <f t="shared" si="72"/>
        <v>Rabi-us-Thaani</v>
      </c>
      <c r="R361" s="61" t="str">
        <f t="shared" si="67"/>
        <v>26Rabi-us-Thaani</v>
      </c>
      <c r="S361" s="67">
        <f t="shared" si="68"/>
        <v>43822</v>
      </c>
    </row>
    <row r="362" spans="16:19" hidden="1" x14ac:dyDescent="0.25">
      <c r="P362" s="54">
        <f t="shared" si="71"/>
        <v>27</v>
      </c>
      <c r="Q362" s="61" t="str">
        <f t="shared" si="72"/>
        <v>Rabi-us-Thaani</v>
      </c>
      <c r="R362" s="61" t="str">
        <f t="shared" si="67"/>
        <v>27Rabi-us-Thaani</v>
      </c>
      <c r="S362" s="67">
        <f t="shared" si="68"/>
        <v>43823</v>
      </c>
    </row>
    <row r="363" spans="16:19" hidden="1" x14ac:dyDescent="0.25">
      <c r="P363" s="54">
        <f t="shared" si="71"/>
        <v>28</v>
      </c>
      <c r="Q363" s="61" t="str">
        <f t="shared" si="72"/>
        <v>Rabi-us-Thaani</v>
      </c>
      <c r="R363" s="61" t="str">
        <f t="shared" si="67"/>
        <v>28Rabi-us-Thaani</v>
      </c>
      <c r="S363" s="67">
        <f t="shared" si="68"/>
        <v>43824</v>
      </c>
    </row>
    <row r="364" spans="16:19" hidden="1" x14ac:dyDescent="0.25">
      <c r="P364" s="54">
        <f t="shared" si="71"/>
        <v>29</v>
      </c>
      <c r="Q364" s="61" t="str">
        <f t="shared" si="72"/>
        <v>Rabi-us-Thaani</v>
      </c>
      <c r="R364" s="61" t="str">
        <f t="shared" si="67"/>
        <v>29Rabi-us-Thaani</v>
      </c>
      <c r="S364" s="67">
        <f t="shared" si="68"/>
        <v>43825</v>
      </c>
    </row>
    <row r="365" spans="16:19" hidden="1" x14ac:dyDescent="0.25">
      <c r="P365" s="54">
        <v>1</v>
      </c>
      <c r="Q365" s="61" t="s">
        <v>28</v>
      </c>
      <c r="R365" s="61" t="str">
        <f t="shared" si="67"/>
        <v>1Jumad-al-Ula</v>
      </c>
      <c r="S365" s="67">
        <f t="shared" si="68"/>
        <v>43826</v>
      </c>
    </row>
    <row r="366" spans="16:19" hidden="1" x14ac:dyDescent="0.25">
      <c r="P366" s="54">
        <f t="shared" ref="P366" si="73">P365+1</f>
        <v>2</v>
      </c>
      <c r="Q366" s="61" t="str">
        <f t="shared" ref="Q366" si="74">Q365</f>
        <v>Jumad-al-Ula</v>
      </c>
      <c r="R366" s="61" t="str">
        <f t="shared" si="67"/>
        <v>2Jumad-al-Ula</v>
      </c>
      <c r="S366" s="67">
        <f t="shared" si="68"/>
        <v>43827</v>
      </c>
    </row>
    <row r="367" spans="16:19" hidden="1" x14ac:dyDescent="0.25">
      <c r="P367" s="54">
        <f t="shared" ref="P367:P369" si="75">P366+1</f>
        <v>3</v>
      </c>
      <c r="Q367" s="61" t="str">
        <f t="shared" ref="Q367:Q369" si="76">Q366</f>
        <v>Jumad-al-Ula</v>
      </c>
      <c r="R367" s="61" t="str">
        <f t="shared" si="67"/>
        <v>3Jumad-al-Ula</v>
      </c>
      <c r="S367" s="67">
        <f t="shared" si="68"/>
        <v>43828</v>
      </c>
    </row>
    <row r="368" spans="16:19" hidden="1" x14ac:dyDescent="0.25">
      <c r="P368" s="54">
        <f t="shared" si="75"/>
        <v>4</v>
      </c>
      <c r="Q368" s="61" t="str">
        <f t="shared" si="76"/>
        <v>Jumad-al-Ula</v>
      </c>
      <c r="R368" s="61" t="str">
        <f t="shared" si="67"/>
        <v>4Jumad-al-Ula</v>
      </c>
      <c r="S368" s="67">
        <f t="shared" si="68"/>
        <v>43829</v>
      </c>
    </row>
    <row r="369" spans="16:19" hidden="1" x14ac:dyDescent="0.25">
      <c r="P369" s="54">
        <f t="shared" si="75"/>
        <v>5</v>
      </c>
      <c r="Q369" s="61" t="str">
        <f t="shared" si="76"/>
        <v>Jumad-al-Ula</v>
      </c>
      <c r="R369" s="61" t="str">
        <f t="shared" si="67"/>
        <v>5Jumad-al-Ula</v>
      </c>
      <c r="S369" s="67">
        <f t="shared" si="68"/>
        <v>43830</v>
      </c>
    </row>
  </sheetData>
  <sheetProtection password="CE6F" sheet="1" objects="1" scenarios="1"/>
  <mergeCells count="8">
    <mergeCell ref="G2:L2"/>
    <mergeCell ref="B2:E2"/>
    <mergeCell ref="G4:H4"/>
    <mergeCell ref="J4:K4"/>
    <mergeCell ref="B3:C3"/>
    <mergeCell ref="D3:E3"/>
    <mergeCell ref="G3:I3"/>
    <mergeCell ref="J3:L3"/>
  </mergeCells>
  <phoneticPr fontId="1" type="noConversion"/>
  <dataValidations count="2">
    <dataValidation type="list" allowBlank="1" showInputMessage="1" showErrorMessage="1" sqref="H8:H23">
      <formula1>LunarMonth</formula1>
    </dataValidation>
    <dataValidation type="list" allowBlank="1" showInputMessage="1" showErrorMessage="1" sqref="H5:H7 K5:K23">
      <formula1>HijriMonth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tabSelected="1"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18" customWidth="1"/>
    <col min="2" max="16384" width="12.44140625" style="118"/>
  </cols>
  <sheetData>
    <row r="4" spans="1:1" s="112" customFormat="1" ht="15.6" customHeight="1" x14ac:dyDescent="0.5">
      <c r="A4" s="111"/>
    </row>
    <row r="5" spans="1:1" s="112" customFormat="1" ht="15.6" customHeight="1" x14ac:dyDescent="0.5">
      <c r="A5" s="113"/>
    </row>
    <row r="40" spans="1:15" s="112" customFormat="1" ht="30" customHeight="1" x14ac:dyDescent="0.5">
      <c r="A40" s="114" t="s">
        <v>62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5"/>
      <c r="N40" s="115"/>
      <c r="O40" s="115"/>
    </row>
    <row r="41" spans="1:15" s="112" customFormat="1" ht="30" customHeight="1" x14ac:dyDescent="0.5">
      <c r="A41" s="116" t="s">
        <v>63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7"/>
      <c r="N41" s="117"/>
      <c r="O41" s="1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18" customWidth="1"/>
    <col min="2" max="16384" width="12.44140625" style="118"/>
  </cols>
  <sheetData>
    <row r="4" spans="1:1" s="112" customFormat="1" ht="15.6" customHeight="1" x14ac:dyDescent="0.5">
      <c r="A4" s="111"/>
    </row>
    <row r="5" spans="1:1" s="112" customFormat="1" ht="15.6" customHeight="1" x14ac:dyDescent="0.5">
      <c r="A5" s="113"/>
    </row>
    <row r="40" spans="1:15" s="112" customFormat="1" ht="30" customHeight="1" x14ac:dyDescent="0.5">
      <c r="A40" s="114" t="s">
        <v>62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5"/>
      <c r="N40" s="115"/>
      <c r="O40" s="115"/>
    </row>
    <row r="41" spans="1:15" s="112" customFormat="1" ht="30" customHeight="1" x14ac:dyDescent="0.5">
      <c r="A41" s="116" t="s">
        <v>63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7"/>
      <c r="N41" s="117"/>
      <c r="O41" s="1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Calendar</vt:lpstr>
      <vt:lpstr>Holiday and Event</vt:lpstr>
      <vt:lpstr>Copyright</vt:lpstr>
      <vt:lpstr>Copyright-2</vt:lpstr>
      <vt:lpstr>GregorianEvent</vt:lpstr>
      <vt:lpstr>GregorianHoliday</vt:lpstr>
      <vt:lpstr>HijriEve</vt:lpstr>
      <vt:lpstr>HijriHol</vt:lpstr>
      <vt:lpstr>HijriMonth</vt:lpstr>
      <vt:lpstr>Calendar!Print_Area</vt:lpstr>
      <vt:lpstr>RamRef</vt:lpstr>
    </vt:vector>
  </TitlesOfParts>
  <Company>Exceltemplate.net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IT</cp:lastModifiedBy>
  <cp:lastPrinted>2019-01-21T05:39:35Z</cp:lastPrinted>
  <dcterms:created xsi:type="dcterms:W3CDTF">2008-10-29T15:28:11Z</dcterms:created>
  <dcterms:modified xsi:type="dcterms:W3CDTF">2019-07-23T11:53:30Z</dcterms:modified>
</cp:coreProperties>
</file>