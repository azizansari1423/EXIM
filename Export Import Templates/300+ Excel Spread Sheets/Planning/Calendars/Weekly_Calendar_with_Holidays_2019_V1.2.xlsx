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calendar\"/>
    </mc:Choice>
  </mc:AlternateContent>
  <bookViews>
    <workbookView xWindow="0" yWindow="0" windowWidth="23040" windowHeight="9336" activeTab="2"/>
  </bookViews>
  <sheets>
    <sheet name="Weekly" sheetId="1" r:id="rId1"/>
    <sheet name="Schedule" sheetId="6" state="hidden" r:id="rId2"/>
    <sheet name="Events and Holidays" sheetId="5" r:id="rId3"/>
    <sheet name="Copyright" sheetId="7" r:id="rId4"/>
    <sheet name="Copyright-2" sheetId="8" state="hidden" r:id="rId5"/>
  </sheets>
  <definedNames>
    <definedName name="Holiday">'Events and Holidays'!$H$6:$H$34</definedName>
    <definedName name="_xlnm.Print_Area" localSheetId="0">Weekly!$B$1:$P$26</definedName>
    <definedName name="StartingDate">'Events and Holidays'!$D$2</definedName>
  </definedNames>
  <calcPr calcId="162913"/>
</workbook>
</file>

<file path=xl/calcChain.xml><?xml version="1.0" encoding="utf-8"?>
<calcChain xmlns="http://schemas.openxmlformats.org/spreadsheetml/2006/main">
  <c r="C1" i="6" l="1"/>
  <c r="B1" i="6"/>
  <c r="A1" i="6"/>
  <c r="C5" i="1" l="1"/>
  <c r="A2" i="6" l="1"/>
  <c r="E5" i="1"/>
  <c r="C6" i="1"/>
  <c r="B2" i="6" l="1"/>
  <c r="E6" i="1"/>
  <c r="G5" i="1"/>
  <c r="A3" i="6"/>
  <c r="C7" i="1"/>
  <c r="D7" i="1"/>
  <c r="B3" i="6" l="1"/>
  <c r="F7" i="1"/>
  <c r="E7" i="1"/>
  <c r="A4" i="6"/>
  <c r="D8" i="1"/>
  <c r="C8" i="1"/>
  <c r="C2" i="6"/>
  <c r="I5" i="1"/>
  <c r="G6" i="1"/>
  <c r="B4" i="6" l="1"/>
  <c r="E8" i="1"/>
  <c r="F8" i="1"/>
  <c r="D2" i="6"/>
  <c r="K5" i="1"/>
  <c r="I6" i="1"/>
  <c r="A5" i="6"/>
  <c r="C9" i="1"/>
  <c r="D9" i="1"/>
  <c r="G7" i="1"/>
  <c r="C3" i="6"/>
  <c r="H7" i="1"/>
  <c r="C4" i="6" l="1"/>
  <c r="H8" i="1"/>
  <c r="G8" i="1"/>
  <c r="A6" i="6"/>
  <c r="D10" i="1"/>
  <c r="C10" i="1"/>
  <c r="D3" i="6"/>
  <c r="J7" i="1"/>
  <c r="I7" i="1"/>
  <c r="E2" i="6"/>
  <c r="M5" i="1"/>
  <c r="K6" i="1"/>
  <c r="B5" i="6"/>
  <c r="F9" i="1"/>
  <c r="E9" i="1"/>
  <c r="F2" i="6" l="1"/>
  <c r="M6" i="1"/>
  <c r="O5" i="1"/>
  <c r="C11" i="1"/>
  <c r="A7" i="6"/>
  <c r="D11" i="1"/>
  <c r="I8" i="1"/>
  <c r="D4" i="6"/>
  <c r="J8" i="1"/>
  <c r="E3" i="6"/>
  <c r="K7" i="1"/>
  <c r="L7" i="1"/>
  <c r="B6" i="6"/>
  <c r="E10" i="1"/>
  <c r="F10" i="1"/>
  <c r="C5" i="6"/>
  <c r="G9" i="1"/>
  <c r="H9" i="1"/>
  <c r="D5" i="6" l="1"/>
  <c r="J9" i="1"/>
  <c r="I9" i="1"/>
  <c r="G2" i="6"/>
  <c r="O6" i="1"/>
  <c r="E4" i="6"/>
  <c r="L8" i="1"/>
  <c r="K8" i="1"/>
  <c r="C6" i="6"/>
  <c r="H10" i="1"/>
  <c r="G10" i="1"/>
  <c r="B7" i="6"/>
  <c r="F11" i="1"/>
  <c r="E11" i="1"/>
  <c r="A8" i="6"/>
  <c r="D12" i="1"/>
  <c r="C12" i="1"/>
  <c r="F3" i="6"/>
  <c r="N7" i="1"/>
  <c r="M7" i="1"/>
  <c r="G3" i="6" l="1"/>
  <c r="O7" i="1"/>
  <c r="P7" i="1"/>
  <c r="A9" i="6"/>
  <c r="C13" i="1"/>
  <c r="D13" i="1"/>
  <c r="F4" i="6"/>
  <c r="M8" i="1"/>
  <c r="N8" i="1"/>
  <c r="E5" i="6"/>
  <c r="K9" i="1"/>
  <c r="L9" i="1"/>
  <c r="C7" i="6"/>
  <c r="G11" i="1"/>
  <c r="H11" i="1"/>
  <c r="E12" i="1"/>
  <c r="B8" i="6"/>
  <c r="F12" i="1"/>
  <c r="D6" i="6"/>
  <c r="I10" i="1"/>
  <c r="J10" i="1"/>
  <c r="A10" i="6" l="1"/>
  <c r="C14" i="1"/>
  <c r="D14" i="1"/>
  <c r="F5" i="6"/>
  <c r="N9" i="1"/>
  <c r="M9" i="1"/>
  <c r="E6" i="6"/>
  <c r="L10" i="1"/>
  <c r="K10" i="1"/>
  <c r="D7" i="6"/>
  <c r="J11" i="1"/>
  <c r="I11" i="1"/>
  <c r="B9" i="6"/>
  <c r="E13" i="1"/>
  <c r="F13" i="1"/>
  <c r="C8" i="6"/>
  <c r="H12" i="1"/>
  <c r="G12" i="1"/>
  <c r="G4" i="6"/>
  <c r="P8" i="1"/>
  <c r="O8" i="1"/>
  <c r="E14" i="1" l="1"/>
  <c r="B10" i="6"/>
  <c r="F14" i="1"/>
  <c r="C15" i="1"/>
  <c r="A11" i="6"/>
  <c r="D15" i="1"/>
  <c r="C9" i="6"/>
  <c r="G13" i="1"/>
  <c r="H13" i="1"/>
  <c r="F6" i="6"/>
  <c r="M10" i="1"/>
  <c r="N10" i="1"/>
  <c r="G5" i="6"/>
  <c r="O9" i="1"/>
  <c r="P9" i="1"/>
  <c r="E7" i="6"/>
  <c r="K11" i="1"/>
  <c r="L11" i="1"/>
  <c r="D8" i="6"/>
  <c r="I12" i="1"/>
  <c r="J12" i="1"/>
  <c r="G6" i="6" l="1"/>
  <c r="P10" i="1"/>
  <c r="O10" i="1"/>
  <c r="A12" i="6"/>
  <c r="D16" i="1"/>
  <c r="C16" i="1"/>
  <c r="E8" i="6"/>
  <c r="L12" i="1"/>
  <c r="K12" i="1"/>
  <c r="J13" i="1"/>
  <c r="D9" i="6"/>
  <c r="I13" i="1"/>
  <c r="C10" i="6"/>
  <c r="G14" i="1"/>
  <c r="H14" i="1"/>
  <c r="F7" i="6"/>
  <c r="N11" i="1"/>
  <c r="M11" i="1"/>
  <c r="B11" i="6"/>
  <c r="F15" i="1"/>
  <c r="E15" i="1"/>
  <c r="G15" i="1" l="1"/>
  <c r="C11" i="6"/>
  <c r="H15" i="1"/>
  <c r="G7" i="6"/>
  <c r="O11" i="1"/>
  <c r="P11" i="1"/>
  <c r="M12" i="1"/>
  <c r="F8" i="6"/>
  <c r="N12" i="1"/>
  <c r="A13" i="6"/>
  <c r="C17" i="1"/>
  <c r="D17" i="1"/>
  <c r="E16" i="1"/>
  <c r="B12" i="6"/>
  <c r="F16" i="1"/>
  <c r="I14" i="1"/>
  <c r="D10" i="6"/>
  <c r="J14" i="1"/>
  <c r="E9" i="6"/>
  <c r="K13" i="1"/>
  <c r="L13" i="1"/>
  <c r="D11" i="6" l="1"/>
  <c r="I15" i="1"/>
  <c r="J15" i="1"/>
  <c r="F9" i="6"/>
  <c r="N13" i="1"/>
  <c r="M13" i="1"/>
  <c r="G8" i="6"/>
  <c r="P12" i="1"/>
  <c r="O12" i="1"/>
  <c r="L14" i="1"/>
  <c r="E10" i="6"/>
  <c r="K14" i="1"/>
  <c r="B13" i="6"/>
  <c r="F17" i="1"/>
  <c r="E17" i="1"/>
  <c r="A14" i="6"/>
  <c r="D18" i="1"/>
  <c r="C18" i="1"/>
  <c r="C12" i="6"/>
  <c r="G16" i="1"/>
  <c r="H16" i="1"/>
  <c r="E18" i="1" l="1"/>
  <c r="B14" i="6"/>
  <c r="F18" i="1"/>
  <c r="I16" i="1"/>
  <c r="D12" i="6"/>
  <c r="J16" i="1"/>
  <c r="C19" i="1"/>
  <c r="D19" i="1"/>
  <c r="A15" i="6"/>
  <c r="M14" i="1"/>
  <c r="F10" i="6"/>
  <c r="N14" i="1"/>
  <c r="C13" i="6"/>
  <c r="G17" i="1"/>
  <c r="H17" i="1"/>
  <c r="K15" i="1"/>
  <c r="E11" i="6"/>
  <c r="L15" i="1"/>
  <c r="G9" i="6"/>
  <c r="O13" i="1"/>
  <c r="P13" i="1"/>
  <c r="E12" i="6" l="1"/>
  <c r="K16" i="1"/>
  <c r="L16" i="1"/>
  <c r="G18" i="1"/>
  <c r="C14" i="6"/>
  <c r="H18" i="1"/>
  <c r="D20" i="1"/>
  <c r="A16" i="6"/>
  <c r="C20" i="1"/>
  <c r="D13" i="6"/>
  <c r="J17" i="1"/>
  <c r="I17" i="1"/>
  <c r="G10" i="6"/>
  <c r="P14" i="1"/>
  <c r="O14" i="1"/>
  <c r="F11" i="6"/>
  <c r="N15" i="1"/>
  <c r="M15" i="1"/>
  <c r="B15" i="6"/>
  <c r="F19" i="1"/>
  <c r="E19" i="1"/>
  <c r="M16" i="1" l="1"/>
  <c r="F12" i="6"/>
  <c r="N16" i="1"/>
  <c r="A17" i="6"/>
  <c r="C21" i="1"/>
  <c r="D21" i="1"/>
  <c r="I18" i="1"/>
  <c r="J18" i="1"/>
  <c r="D14" i="6"/>
  <c r="E20" i="1"/>
  <c r="F20" i="1"/>
  <c r="B16" i="6"/>
  <c r="O15" i="1"/>
  <c r="G11" i="6"/>
  <c r="P15" i="1"/>
  <c r="G19" i="1"/>
  <c r="C15" i="6"/>
  <c r="H19" i="1"/>
  <c r="E13" i="6"/>
  <c r="K17" i="1"/>
  <c r="L17" i="1"/>
  <c r="F21" i="1" l="1"/>
  <c r="B17" i="6"/>
  <c r="E21" i="1"/>
  <c r="D22" i="1"/>
  <c r="C22" i="1"/>
  <c r="A18" i="6"/>
  <c r="L18" i="1"/>
  <c r="E14" i="6"/>
  <c r="K18" i="1"/>
  <c r="G12" i="6"/>
  <c r="P16" i="1"/>
  <c r="O16" i="1"/>
  <c r="F13" i="6"/>
  <c r="M17" i="1"/>
  <c r="N17" i="1"/>
  <c r="C16" i="6"/>
  <c r="H20" i="1"/>
  <c r="G20" i="1"/>
  <c r="D15" i="6"/>
  <c r="I19" i="1"/>
  <c r="J19" i="1"/>
  <c r="K19" i="1" l="1"/>
  <c r="L19" i="1"/>
  <c r="E15" i="6"/>
  <c r="C17" i="6"/>
  <c r="G21" i="1"/>
  <c r="H21" i="1"/>
  <c r="G13" i="6"/>
  <c r="O17" i="1"/>
  <c r="P17" i="1"/>
  <c r="C23" i="1"/>
  <c r="A19" i="6"/>
  <c r="D23" i="1"/>
  <c r="E22" i="1"/>
  <c r="B18" i="6"/>
  <c r="F22" i="1"/>
  <c r="I20" i="1"/>
  <c r="D16" i="6"/>
  <c r="J20" i="1"/>
  <c r="M18" i="1"/>
  <c r="F14" i="6"/>
  <c r="N18" i="1"/>
  <c r="F15" i="6" l="1"/>
  <c r="N19" i="1"/>
  <c r="M19" i="1"/>
  <c r="H22" i="1"/>
  <c r="C18" i="6"/>
  <c r="G22" i="1"/>
  <c r="D17" i="6"/>
  <c r="J21" i="1"/>
  <c r="I21" i="1"/>
  <c r="C24" i="1"/>
  <c r="A20" i="6"/>
  <c r="D24" i="1"/>
  <c r="G14" i="6"/>
  <c r="O18" i="1"/>
  <c r="P18" i="1"/>
  <c r="E16" i="6"/>
  <c r="K20" i="1"/>
  <c r="L20" i="1"/>
  <c r="B19" i="6"/>
  <c r="F23" i="1"/>
  <c r="E23" i="1"/>
  <c r="O19" i="1" l="1"/>
  <c r="G15" i="6"/>
  <c r="P19" i="1"/>
  <c r="G23" i="1"/>
  <c r="C19" i="6"/>
  <c r="H23" i="1"/>
  <c r="M20" i="1"/>
  <c r="N20" i="1"/>
  <c r="F16" i="6"/>
  <c r="E17" i="6"/>
  <c r="K21" i="1"/>
  <c r="L21" i="1"/>
  <c r="E24" i="1"/>
  <c r="B20" i="6"/>
  <c r="F24" i="1"/>
  <c r="A21" i="6"/>
  <c r="C25" i="1"/>
  <c r="D25" i="1"/>
  <c r="I22" i="1"/>
  <c r="J22" i="1"/>
  <c r="D18" i="6"/>
  <c r="D19" i="6" l="1"/>
  <c r="J23" i="1"/>
  <c r="I23" i="1"/>
  <c r="F17" i="6"/>
  <c r="M21" i="1"/>
  <c r="N21" i="1"/>
  <c r="C20" i="6"/>
  <c r="H24" i="1"/>
  <c r="G24" i="1"/>
  <c r="D26" i="1"/>
  <c r="C26" i="1"/>
  <c r="E25" i="1"/>
  <c r="B21" i="6"/>
  <c r="F25" i="1"/>
  <c r="E18" i="6"/>
  <c r="L22" i="1"/>
  <c r="K22" i="1"/>
  <c r="P20" i="1"/>
  <c r="O20" i="1"/>
  <c r="G16" i="6"/>
  <c r="E26" i="1" l="1"/>
  <c r="F26" i="1"/>
  <c r="I24" i="1"/>
  <c r="D20" i="6"/>
  <c r="J24" i="1"/>
  <c r="G17" i="6"/>
  <c r="O21" i="1"/>
  <c r="P21" i="1"/>
  <c r="M22" i="1"/>
  <c r="F18" i="6"/>
  <c r="N22" i="1"/>
  <c r="K23" i="1"/>
  <c r="L23" i="1"/>
  <c r="E19" i="6"/>
  <c r="C21" i="6"/>
  <c r="G25" i="1"/>
  <c r="H25" i="1"/>
  <c r="D21" i="6" l="1"/>
  <c r="J25" i="1"/>
  <c r="I25" i="1"/>
  <c r="H26" i="1"/>
  <c r="G26" i="1"/>
  <c r="L24" i="1"/>
  <c r="K24" i="1"/>
  <c r="E20" i="6"/>
  <c r="F19" i="6"/>
  <c r="N23" i="1"/>
  <c r="M23" i="1"/>
  <c r="G18" i="6"/>
  <c r="O22" i="1"/>
  <c r="P22" i="1"/>
  <c r="M24" i="1" l="1"/>
  <c r="N24" i="1"/>
  <c r="F20" i="6"/>
  <c r="I26" i="1"/>
  <c r="J26" i="1"/>
  <c r="O23" i="1"/>
  <c r="G19" i="6"/>
  <c r="P23" i="1"/>
  <c r="E21" i="6"/>
  <c r="K25" i="1"/>
  <c r="L25" i="1"/>
  <c r="L26" i="1" l="1"/>
  <c r="K26" i="1"/>
  <c r="G20" i="6"/>
  <c r="P24" i="1"/>
  <c r="O24" i="1"/>
  <c r="N25" i="1"/>
  <c r="M25" i="1"/>
  <c r="F21" i="6"/>
  <c r="M26" i="1" l="1"/>
  <c r="N26" i="1"/>
  <c r="G21" i="6"/>
  <c r="O25" i="1"/>
  <c r="P25" i="1"/>
  <c r="O26" i="1" l="1"/>
  <c r="P26" i="1"/>
</calcChain>
</file>

<file path=xl/sharedStrings.xml><?xml version="1.0" encoding="utf-8"?>
<sst xmlns="http://schemas.openxmlformats.org/spreadsheetml/2006/main" count="59" uniqueCount="53">
  <si>
    <t>Event No</t>
  </si>
  <si>
    <t>Lunch Meeting</t>
  </si>
  <si>
    <t>EVENT TABLE</t>
  </si>
  <si>
    <t>No</t>
  </si>
  <si>
    <t>Date</t>
  </si>
  <si>
    <t>Time</t>
  </si>
  <si>
    <t>Description</t>
  </si>
  <si>
    <t>HOLIDAY TABLE</t>
  </si>
  <si>
    <t>STARTING DATE</t>
  </si>
  <si>
    <t>WEEKLY CALENDAR</t>
  </si>
  <si>
    <t>Project Design Deadline  1</t>
  </si>
  <si>
    <t>Project Design Deadline  2</t>
  </si>
  <si>
    <t>Project Design Deadline  3</t>
  </si>
  <si>
    <t>Project Design Deadline  4</t>
  </si>
  <si>
    <t>Project Design Deadline  5</t>
  </si>
  <si>
    <t>Project Design Deadline  6</t>
  </si>
  <si>
    <t>Project Design Deadline  7</t>
  </si>
  <si>
    <t>Project Design Deadline  8</t>
  </si>
  <si>
    <t>Project Design Deadline  9</t>
  </si>
  <si>
    <t>Project Design Deadline  10</t>
  </si>
  <si>
    <t>Project Design Deadline  11</t>
  </si>
  <si>
    <t>Project Design Deadline  12</t>
  </si>
  <si>
    <t>Project Design Deadline  13</t>
  </si>
  <si>
    <t>Project Design Deadline  14</t>
  </si>
  <si>
    <t>Project Design Deadline  15</t>
  </si>
  <si>
    <t>Project Design Deadline  16</t>
  </si>
  <si>
    <t>Project Design Deadline  17</t>
  </si>
  <si>
    <t>Project Design Deadline  18</t>
  </si>
  <si>
    <t>Project Design Deadline  19</t>
  </si>
  <si>
    <t>Project Design Deadline  20</t>
  </si>
  <si>
    <t>Project Design Deadline  21</t>
  </si>
  <si>
    <t>Project Design Deadline  22</t>
  </si>
  <si>
    <t>Project Design Deadline  23</t>
  </si>
  <si>
    <t>Project Design Deadline  24</t>
  </si>
  <si>
    <t>Project Design Deadline  25</t>
  </si>
  <si>
    <t>Project Design Deadline  26</t>
  </si>
  <si>
    <t>Project Design Deadline  27</t>
  </si>
  <si>
    <t>Project Design Deadline  28</t>
  </si>
  <si>
    <t>Project Design Deadline  29</t>
  </si>
  <si>
    <t>Project Design Deadline  30</t>
  </si>
  <si>
    <t>Holiday 1</t>
  </si>
  <si>
    <t>Holiday 2</t>
  </si>
  <si>
    <t>Holiday 3</t>
  </si>
  <si>
    <t>Holiday 4</t>
  </si>
  <si>
    <t>Holiday 5</t>
  </si>
  <si>
    <t>Holiday 6</t>
  </si>
  <si>
    <t>Holiday 7</t>
  </si>
  <si>
    <t>Holiday 8</t>
  </si>
  <si>
    <t>Holiday 9</t>
  </si>
  <si>
    <t>Holiday 10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</si>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</sst>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;@"/>
    <numFmt numFmtId="165" formatCode="[$-F800]dddd\,\ mmmm\ dd\,\ yyyy"/>
    <numFmt numFmtId="166" formatCode="[$-409]h:mm\ AM/PM;@"/>
  </numFmts>
  <fonts count="35" x14ac:knownFonts="1">
    <font>
      <sz val="10"/>
      <name val="Arial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sz val="10"/>
      <name val="Arial"/>
      <family val="2"/>
    </font>
    <font>
      <i/>
      <sz val="11"/>
      <color indexed="55"/>
      <name val="Arial"/>
      <family val="2"/>
    </font>
    <font>
      <sz val="11"/>
      <color indexed="17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sz val="11"/>
      <color indexed="28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b/>
      <sz val="18"/>
      <color indexed="62"/>
      <name val="Franklin Gothic Book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8"/>
      <color indexed="63"/>
      <name val="Calibri"/>
      <family val="2"/>
      <scheme val="minor"/>
    </font>
    <font>
      <sz val="18"/>
      <color indexed="63"/>
      <name val="Calibri"/>
      <family val="2"/>
      <scheme val="minor"/>
    </font>
    <font>
      <sz val="10"/>
      <color theme="0"/>
      <name val="Arial"/>
      <family val="2"/>
    </font>
    <font>
      <sz val="9"/>
      <color theme="0"/>
      <name val="Verdana"/>
      <family val="2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33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0"/>
      </patternFill>
    </fill>
    <fill>
      <patternFill patternType="solid">
        <fgColor indexed="28"/>
      </patternFill>
    </fill>
    <fill>
      <patternFill patternType="solid">
        <fgColor indexed="25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8"/>
      </bottom>
      <diagonal/>
    </border>
    <border>
      <left/>
      <right/>
      <top/>
      <bottom style="thick">
        <color indexed="26"/>
      </bottom>
      <diagonal/>
    </border>
    <border>
      <left/>
      <right/>
      <top/>
      <bottom style="medium">
        <color indexed="26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8"/>
      </top>
      <bottom style="double">
        <color indexed="28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/>
      <top/>
      <bottom style="double">
        <color theme="6" tint="-0.499984740745262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1" applyNumberFormat="0" applyAlignment="0" applyProtection="0"/>
    <xf numFmtId="0" fontId="5" fillId="16" borderId="2" applyNumberFormat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17" borderId="0" applyNumberFormat="0" applyBorder="0" applyAlignment="0" applyProtection="0"/>
    <xf numFmtId="0" fontId="6" fillId="0" borderId="0"/>
    <xf numFmtId="0" fontId="6" fillId="17" borderId="7" applyNumberFormat="0" applyFont="0" applyAlignment="0" applyProtection="0"/>
    <xf numFmtId="0" fontId="15" fillId="4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29" fillId="0" borderId="0"/>
    <xf numFmtId="0" fontId="32" fillId="0" borderId="0" applyNumberFormat="0" applyFill="0" applyBorder="0" applyAlignment="0" applyProtection="0"/>
  </cellStyleXfs>
  <cellXfs count="60">
    <xf numFmtId="0" fontId="0" fillId="0" borderId="0" xfId="0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166" fontId="20" fillId="0" borderId="0" xfId="0" applyNumberFormat="1" applyFont="1" applyAlignment="1">
      <alignment horizontal="center" vertical="center"/>
    </xf>
    <xf numFmtId="0" fontId="21" fillId="18" borderId="10" xfId="0" applyFont="1" applyFill="1" applyBorder="1" applyAlignment="1" applyProtection="1">
      <alignment horizontal="center" vertical="center"/>
      <protection locked="0"/>
    </xf>
    <xf numFmtId="166" fontId="21" fillId="18" borderId="10" xfId="0" applyNumberFormat="1" applyFont="1" applyFill="1" applyBorder="1" applyAlignment="1" applyProtection="1">
      <alignment horizontal="center" vertical="center"/>
      <protection locked="0"/>
    </xf>
    <xf numFmtId="0" fontId="21" fillId="18" borderId="10" xfId="0" applyFont="1" applyFill="1" applyBorder="1" applyAlignment="1" applyProtection="1">
      <alignment horizontal="left" vertical="center"/>
      <protection locked="0"/>
    </xf>
    <xf numFmtId="0" fontId="20" fillId="0" borderId="10" xfId="0" applyFont="1" applyFill="1" applyBorder="1" applyAlignment="1" applyProtection="1">
      <alignment horizontal="center" vertical="center"/>
      <protection locked="0"/>
    </xf>
    <xf numFmtId="164" fontId="20" fillId="0" borderId="10" xfId="0" applyNumberFormat="1" applyFont="1" applyFill="1" applyBorder="1" applyAlignment="1">
      <alignment horizontal="center" vertical="center"/>
    </xf>
    <xf numFmtId="166" fontId="20" fillId="0" borderId="10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vertical="center"/>
    </xf>
    <xf numFmtId="166" fontId="20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10" xfId="0" applyFont="1" applyBorder="1" applyAlignment="1">
      <alignment horizontal="center" vertical="center"/>
    </xf>
    <xf numFmtId="166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1" fillId="19" borderId="11" xfId="0" applyFont="1" applyFill="1" applyBorder="1" applyAlignment="1" applyProtection="1">
      <alignment horizontal="center" vertical="center"/>
      <protection locked="0"/>
    </xf>
    <xf numFmtId="0" fontId="21" fillId="19" borderId="11" xfId="0" applyFont="1" applyFill="1" applyBorder="1" applyAlignment="1" applyProtection="1">
      <alignment horizontal="left" vertical="center"/>
      <protection locked="0"/>
    </xf>
    <xf numFmtId="0" fontId="20" fillId="0" borderId="11" xfId="0" applyFont="1" applyFill="1" applyBorder="1" applyAlignment="1" applyProtection="1">
      <alignment horizontal="center" vertical="center"/>
      <protection locked="0"/>
    </xf>
    <xf numFmtId="164" fontId="20" fillId="0" borderId="11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4" fontId="20" fillId="0" borderId="11" xfId="0" applyNumberFormat="1" applyFont="1" applyFill="1" applyBorder="1" applyAlignment="1" applyProtection="1">
      <alignment vertical="center" wrapText="1"/>
      <protection locked="0"/>
    </xf>
    <xf numFmtId="0" fontId="20" fillId="0" borderId="11" xfId="0" applyFont="1" applyFill="1" applyBorder="1" applyAlignment="1" applyProtection="1">
      <alignment horizontal="left" vertical="center" wrapText="1"/>
      <protection locked="0"/>
    </xf>
    <xf numFmtId="0" fontId="21" fillId="20" borderId="13" xfId="0" applyFont="1" applyFill="1" applyBorder="1" applyAlignment="1">
      <alignment horizontal="left" vertical="center"/>
    </xf>
    <xf numFmtId="0" fontId="22" fillId="20" borderId="14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4" fillId="0" borderId="0" xfId="37" applyFont="1" applyFill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5" fillId="0" borderId="16" xfId="37" applyFont="1" applyFill="1" applyBorder="1" applyAlignment="1">
      <alignment horizontal="left" vertical="center"/>
    </xf>
    <xf numFmtId="0" fontId="26" fillId="0" borderId="16" xfId="37" applyFont="1" applyFill="1" applyBorder="1" applyAlignment="1">
      <alignment horizontal="left" vertical="center"/>
    </xf>
    <xf numFmtId="0" fontId="20" fillId="0" borderId="12" xfId="37" applyFont="1" applyFill="1" applyBorder="1" applyAlignment="1">
      <alignment horizontal="center" vertical="center"/>
    </xf>
    <xf numFmtId="166" fontId="20" fillId="0" borderId="12" xfId="37" applyNumberFormat="1" applyFont="1" applyFill="1" applyBorder="1" applyAlignment="1">
      <alignment vertical="center"/>
    </xf>
    <xf numFmtId="0" fontId="20" fillId="0" borderId="12" xfId="37" applyFont="1" applyFill="1" applyBorder="1" applyAlignment="1">
      <alignment horizontal="left" vertical="center" indent="1"/>
    </xf>
    <xf numFmtId="166" fontId="20" fillId="0" borderId="12" xfId="37" applyNumberFormat="1" applyFont="1" applyFill="1" applyBorder="1" applyAlignment="1">
      <alignment horizontal="right" vertical="center"/>
    </xf>
    <xf numFmtId="0" fontId="20" fillId="21" borderId="12" xfId="37" applyFont="1" applyFill="1" applyBorder="1" applyAlignment="1">
      <alignment horizontal="center" vertical="center"/>
    </xf>
    <xf numFmtId="166" fontId="20" fillId="21" borderId="12" xfId="37" applyNumberFormat="1" applyFont="1" applyFill="1" applyBorder="1" applyAlignment="1">
      <alignment vertical="center"/>
    </xf>
    <xf numFmtId="0" fontId="20" fillId="21" borderId="12" xfId="37" applyFont="1" applyFill="1" applyBorder="1" applyAlignment="1">
      <alignment horizontal="left" vertical="center" indent="1"/>
    </xf>
    <xf numFmtId="166" fontId="20" fillId="21" borderId="12" xfId="37" applyNumberFormat="1" applyFont="1" applyFill="1" applyBorder="1" applyAlignment="1">
      <alignment horizontal="right" vertical="center"/>
    </xf>
    <xf numFmtId="1" fontId="28" fillId="0" borderId="0" xfId="37" applyNumberFormat="1" applyFont="1" applyFill="1" applyBorder="1" applyAlignment="1" applyProtection="1">
      <alignment vertical="center"/>
      <protection hidden="1"/>
    </xf>
    <xf numFmtId="0" fontId="28" fillId="0" borderId="0" xfId="37" applyFont="1" applyFill="1" applyBorder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27" fillId="0" borderId="0" xfId="0" applyFont="1"/>
    <xf numFmtId="0" fontId="28" fillId="0" borderId="0" xfId="0" applyFont="1" applyFill="1" applyAlignment="1" applyProtection="1">
      <alignment vertical="center"/>
      <protection hidden="1"/>
    </xf>
    <xf numFmtId="0" fontId="30" fillId="0" borderId="0" xfId="43" applyFont="1"/>
    <xf numFmtId="0" fontId="31" fillId="0" borderId="0" xfId="43" applyFont="1"/>
    <xf numFmtId="0" fontId="33" fillId="0" borderId="0" xfId="44" applyFont="1"/>
    <xf numFmtId="0" fontId="30" fillId="0" borderId="0" xfId="43" applyFont="1" applyAlignment="1"/>
    <xf numFmtId="0" fontId="34" fillId="0" borderId="0" xfId="44" applyFont="1" applyAlignment="1"/>
    <xf numFmtId="0" fontId="29" fillId="0" borderId="0" xfId="43"/>
    <xf numFmtId="165" fontId="22" fillId="20" borderId="13" xfId="37" applyNumberFormat="1" applyFont="1" applyFill="1" applyBorder="1" applyAlignment="1">
      <alignment horizontal="center" vertical="center"/>
    </xf>
    <xf numFmtId="165" fontId="22" fillId="20" borderId="15" xfId="37" applyNumberFormat="1" applyFont="1" applyFill="1" applyBorder="1" applyAlignment="1">
      <alignment horizontal="center" vertical="center"/>
    </xf>
    <xf numFmtId="0" fontId="22" fillId="20" borderId="12" xfId="0" applyFont="1" applyFill="1" applyBorder="1" applyAlignment="1">
      <alignment horizontal="center" vertical="center" wrapText="1"/>
    </xf>
    <xf numFmtId="0" fontId="22" fillId="20" borderId="13" xfId="37" applyFont="1" applyFill="1" applyBorder="1" applyAlignment="1">
      <alignment horizontal="center" vertical="center"/>
    </xf>
    <xf numFmtId="0" fontId="22" fillId="20" borderId="14" xfId="37" applyFont="1" applyFill="1" applyBorder="1" applyAlignment="1">
      <alignment horizontal="center" vertical="center"/>
    </xf>
    <xf numFmtId="0" fontId="22" fillId="20" borderId="15" xfId="37" applyFont="1" applyFill="1" applyBorder="1" applyAlignment="1">
      <alignment horizontal="center" vertical="center"/>
    </xf>
    <xf numFmtId="0" fontId="21" fillId="19" borderId="11" xfId="0" applyFont="1" applyFill="1" applyBorder="1" applyAlignment="1">
      <alignment horizontal="center" vertical="center"/>
    </xf>
    <xf numFmtId="0" fontId="21" fillId="18" borderId="10" xfId="0" applyFont="1" applyFill="1" applyBorder="1" applyAlignment="1">
      <alignment horizontal="center" vertical="center"/>
    </xf>
    <xf numFmtId="165" fontId="20" fillId="0" borderId="14" xfId="0" applyNumberFormat="1" applyFont="1" applyBorder="1" applyAlignment="1">
      <alignment horizontal="center" vertical="center"/>
    </xf>
    <xf numFmtId="165" fontId="20" fillId="0" borderId="15" xfId="0" applyNumberFormat="1" applyFont="1" applyBorder="1" applyAlignment="1">
      <alignment horizontal="center" vertical="center"/>
    </xf>
    <xf numFmtId="0" fontId="30" fillId="0" borderId="0" xfId="43" applyFont="1" applyAlignment="1">
      <alignment horizontal="left"/>
    </xf>
    <xf numFmtId="0" fontId="34" fillId="0" borderId="0" xfId="44" applyFont="1" applyAlignment="1">
      <alignment horizontal="lef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44" builtinId="8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3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1"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C0D6D5"/>
      <rgbColor rgb="00F4EBC8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EF9F0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V29"/>
  <sheetViews>
    <sheetView showGridLines="0" workbookViewId="0">
      <selection activeCell="C10" sqref="C10"/>
    </sheetView>
  </sheetViews>
  <sheetFormatPr defaultColWidth="0" defaultRowHeight="15" customHeight="1" zeroHeight="1" x14ac:dyDescent="0.25"/>
  <cols>
    <col min="1" max="1" width="2.33203125" style="2" customWidth="1"/>
    <col min="2" max="2" width="6.6640625" style="2" customWidth="1"/>
    <col min="3" max="3" width="9.6640625" style="2" customWidth="1"/>
    <col min="4" max="4" width="30.6640625" style="2" customWidth="1"/>
    <col min="5" max="5" width="9.6640625" style="2" customWidth="1"/>
    <col min="6" max="6" width="30.6640625" style="2" customWidth="1"/>
    <col min="7" max="7" width="9.6640625" style="2" customWidth="1"/>
    <col min="8" max="8" width="30.6640625" style="2" customWidth="1"/>
    <col min="9" max="9" width="9.6640625" style="2" customWidth="1"/>
    <col min="10" max="10" width="30.6640625" style="2" customWidth="1"/>
    <col min="11" max="11" width="9.6640625" style="26" customWidth="1"/>
    <col min="12" max="12" width="30.6640625" style="26" customWidth="1"/>
    <col min="13" max="13" width="9.6640625" style="26" customWidth="1"/>
    <col min="14" max="14" width="30.6640625" style="26" customWidth="1"/>
    <col min="15" max="15" width="9.6640625" style="26" customWidth="1"/>
    <col min="16" max="16" width="30.6640625" style="26" customWidth="1"/>
    <col min="17" max="17" width="5.44140625" style="2" customWidth="1"/>
    <col min="18" max="256" width="0" style="2" hidden="1" customWidth="1"/>
    <col min="257" max="16384" width="9.109375" style="2" hidden="1"/>
  </cols>
  <sheetData>
    <row r="1" spans="2:29" ht="9" customHeight="1" x14ac:dyDescent="0.25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2:29" ht="21" customHeight="1" thickBot="1" x14ac:dyDescent="0.3">
      <c r="B2" s="27" t="s">
        <v>9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2:29" ht="9" customHeight="1" thickTop="1" x14ac:dyDescent="0.25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2:29" ht="13.5" customHeight="1" x14ac:dyDescent="0.25">
      <c r="B4" s="25"/>
    </row>
    <row r="5" spans="2:29" ht="15" customHeight="1" x14ac:dyDescent="0.25">
      <c r="B5" s="50" t="s">
        <v>0</v>
      </c>
      <c r="C5" s="48">
        <f>DATE(Schedule!C1,Schedule!B1,Schedule!A1)+E1</f>
        <v>44196</v>
      </c>
      <c r="D5" s="49"/>
      <c r="E5" s="48">
        <f>C5+1</f>
        <v>44197</v>
      </c>
      <c r="F5" s="49"/>
      <c r="G5" s="48">
        <f>E5+1</f>
        <v>44198</v>
      </c>
      <c r="H5" s="49"/>
      <c r="I5" s="48">
        <f>G5+1</f>
        <v>44199</v>
      </c>
      <c r="J5" s="49"/>
      <c r="K5" s="48">
        <f>I5+1</f>
        <v>44200</v>
      </c>
      <c r="L5" s="49"/>
      <c r="M5" s="48">
        <f>K5+1</f>
        <v>44201</v>
      </c>
      <c r="N5" s="49"/>
      <c r="O5" s="48">
        <f>M5+1</f>
        <v>44202</v>
      </c>
      <c r="P5" s="49"/>
    </row>
    <row r="6" spans="2:29" ht="15" customHeight="1" x14ac:dyDescent="0.25">
      <c r="B6" s="50"/>
      <c r="C6" s="51" t="str">
        <f>IF(ISNA(VLOOKUP(C5,'Events and Holidays'!$H$6:$I$35,2,FALSE)),"",VLOOKUP(C5,'Events and Holidays'!$H$6:$I$35,2,FALSE))</f>
        <v/>
      </c>
      <c r="D6" s="53"/>
      <c r="E6" s="51" t="str">
        <f>IF(ISNA(VLOOKUP(E5,'Events and Holidays'!$H$6:$I$35,2,FALSE)),"",VLOOKUP(E5,'Events and Holidays'!$H$6:$I$35,2,FALSE))</f>
        <v>Holiday 1</v>
      </c>
      <c r="F6" s="53"/>
      <c r="G6" s="51" t="str">
        <f>IF(ISNA(VLOOKUP(G5,'Events and Holidays'!$H$6:$I$35,2,FALSE)),"",VLOOKUP(G5,'Events and Holidays'!$H$6:$I$35,2,FALSE))</f>
        <v/>
      </c>
      <c r="H6" s="53"/>
      <c r="I6" s="51" t="str">
        <f>IF(ISNA(VLOOKUP(I5,'Events and Holidays'!$H$6:$I$35,2,FALSE)),"",VLOOKUP(I5,'Events and Holidays'!$H$6:$I$35,2,FALSE))</f>
        <v/>
      </c>
      <c r="J6" s="53"/>
      <c r="K6" s="51" t="str">
        <f>IF(ISNA(VLOOKUP(K5,'Events and Holidays'!$H$6:$I$35,2,FALSE)),"",VLOOKUP(K5,'Events and Holidays'!$H$6:$I$35,2,FALSE))</f>
        <v/>
      </c>
      <c r="L6" s="53"/>
      <c r="M6" s="51" t="str">
        <f>IF(ISNA(VLOOKUP(M5,'Events and Holidays'!$H$6:$I$35,2,FALSE)),"",VLOOKUP(M5,'Events and Holidays'!$H$6:$I$35,2,FALSE))</f>
        <v/>
      </c>
      <c r="N6" s="53"/>
      <c r="O6" s="51" t="str">
        <f>IF(ISNA(VLOOKUP(O5,'Events and Holidays'!$H$6:$I$35,2,FALSE)),"",VLOOKUP(O5,'Events and Holidays'!$H$6:$I$35,2,FALSE))</f>
        <v>Holiday 2</v>
      </c>
      <c r="P6" s="52"/>
    </row>
    <row r="7" spans="2:29" ht="15" customHeight="1" x14ac:dyDescent="0.25">
      <c r="B7" s="29">
        <v>1</v>
      </c>
      <c r="C7" s="30" t="str">
        <f>IF(ISERROR(Schedule!A2),"",INDEX('Events and Holidays'!$D$6:$D$1003,Schedule!A2))</f>
        <v/>
      </c>
      <c r="D7" s="31" t="str">
        <f>IF(ISERROR(Schedule!A2),"",INDEX('Events and Holidays'!$E$6:$E$1003,Schedule!A2))</f>
        <v/>
      </c>
      <c r="E7" s="30" t="str">
        <f>IF(ISERROR(Schedule!B2),"",INDEX('Events and Holidays'!$D$6:$D$1003,Schedule!B2))</f>
        <v/>
      </c>
      <c r="F7" s="31" t="str">
        <f>IF(ISERROR(Schedule!B2),"",INDEX('Events and Holidays'!$E$6:$E$1003,Schedule!B2))</f>
        <v/>
      </c>
      <c r="G7" s="32">
        <f>IF(ISERROR(Schedule!C2),"",INDEX('Events and Holidays'!$D$6:$D$1003,Schedule!C2))</f>
        <v>0.54166666666666663</v>
      </c>
      <c r="H7" s="31" t="str">
        <f>IF(ISERROR(Schedule!C2),"",INDEX('Events and Holidays'!$E$6:$E$1003,Schedule!C2))</f>
        <v>Lunch Meeting</v>
      </c>
      <c r="I7" s="32">
        <f>IF(ISERROR(Schedule!D2),"",INDEX('Events and Holidays'!$D$6:$D$1003,Schedule!D2))</f>
        <v>0.70833333333333337</v>
      </c>
      <c r="J7" s="31" t="str">
        <f>IF(ISERROR(Schedule!D2),"",INDEX('Events and Holidays'!$E$6:$E$1003,Schedule!D2))</f>
        <v>Project Design Deadline  1</v>
      </c>
      <c r="K7" s="32">
        <f>IF(ISERROR(Schedule!E2),"",INDEX('Events and Holidays'!$D$6:$D$1003,Schedule!E2))</f>
        <v>0</v>
      </c>
      <c r="L7" s="31" t="str">
        <f>IF(ISERROR(Schedule!E2),"",INDEX('Events and Holidays'!$E$6:$E$1003,Schedule!E2))</f>
        <v>Project Design Deadline  15</v>
      </c>
      <c r="M7" s="32">
        <f>IF(ISERROR(Schedule!F2),"",INDEX('Events and Holidays'!$D$6:$D$1003,Schedule!F2))</f>
        <v>0.79166666666666663</v>
      </c>
      <c r="N7" s="31" t="str">
        <f>IF(ISERROR(Schedule!F2),"",INDEX('Events and Holidays'!$E$6:$E$1003,Schedule!F2))</f>
        <v>Project Design Deadline  2</v>
      </c>
      <c r="O7" s="32" t="str">
        <f>IF(ISERROR(Schedule!G2),"",INDEX('Events and Holidays'!$D$6:$D$1003,Schedule!G2))</f>
        <v/>
      </c>
      <c r="P7" s="31" t="str">
        <f>IF(ISERROR(Schedule!G2),"",INDEX('Events and Holidays'!$E$6:$E$1003,Schedule!G2))</f>
        <v/>
      </c>
    </row>
    <row r="8" spans="2:29" ht="15" customHeight="1" x14ac:dyDescent="0.25">
      <c r="B8" s="33">
        <v>2</v>
      </c>
      <c r="C8" s="34" t="str">
        <f ca="1">IF(ISERROR(Schedule!A3),"",INDEX('Events and Holidays'!$D$6:$D$1003,Schedule!A3))</f>
        <v/>
      </c>
      <c r="D8" s="35" t="str">
        <f ca="1">IF(ISERROR(Schedule!A3),"",INDEX('Events and Holidays'!$E$6:$E$1003,Schedule!A3))</f>
        <v/>
      </c>
      <c r="E8" s="34" t="str">
        <f ca="1">IF(ISERROR(Schedule!B3),"",INDEX('Events and Holidays'!$D$6:$D$1003,Schedule!B3))</f>
        <v/>
      </c>
      <c r="F8" s="35" t="str">
        <f ca="1">IF(ISERROR(Schedule!B3),"",INDEX('Events and Holidays'!$E$6:$E$1003,Schedule!B3))</f>
        <v/>
      </c>
      <c r="G8" s="36" t="str">
        <f ca="1">IF(ISERROR(Schedule!C3),"",INDEX('Events and Holidays'!$D$6:$D$1003,Schedule!C3))</f>
        <v/>
      </c>
      <c r="H8" s="35" t="str">
        <f ca="1">IF(ISERROR(Schedule!C3),"",INDEX('Events and Holidays'!$E$6:$E$1003,Schedule!C3))</f>
        <v/>
      </c>
      <c r="I8" s="36" t="str">
        <f ca="1">IF(ISERROR(Schedule!D3),"",INDEX('Events and Holidays'!$D$6:$D$1003,Schedule!D3))</f>
        <v/>
      </c>
      <c r="J8" s="35" t="str">
        <f ca="1">IF(ISERROR(Schedule!D3),"",INDEX('Events and Holidays'!$E$6:$E$1003,Schedule!D3))</f>
        <v/>
      </c>
      <c r="K8" s="36">
        <f ca="1">IF(ISERROR(Schedule!E3),"",INDEX('Events and Holidays'!$D$6:$D$1003,Schedule!E3))</f>
        <v>0</v>
      </c>
      <c r="L8" s="35" t="str">
        <f ca="1">IF(ISERROR(Schedule!E3),"",INDEX('Events and Holidays'!$E$6:$E$1003,Schedule!E3))</f>
        <v>Project Design Deadline  16</v>
      </c>
      <c r="M8" s="36" t="str">
        <f ca="1">IF(ISERROR(Schedule!F3),"",INDEX('Events and Holidays'!$D$6:$D$1003,Schedule!F3))</f>
        <v/>
      </c>
      <c r="N8" s="35" t="str">
        <f ca="1">IF(ISERROR(Schedule!F3),"",INDEX('Events and Holidays'!$E$6:$E$1003,Schedule!F3))</f>
        <v/>
      </c>
      <c r="O8" s="36" t="str">
        <f ca="1">IF(ISERROR(Schedule!G3),"",INDEX('Events and Holidays'!$D$6:$D$1003,Schedule!G3))</f>
        <v/>
      </c>
      <c r="P8" s="35" t="str">
        <f ca="1">IF(ISERROR(Schedule!G3),"",INDEX('Events and Holidays'!$E$6:$E$1003,Schedule!G3))</f>
        <v/>
      </c>
    </row>
    <row r="9" spans="2:29" ht="15" customHeight="1" x14ac:dyDescent="0.25">
      <c r="B9" s="29">
        <v>3</v>
      </c>
      <c r="C9" s="30" t="str">
        <f ca="1">IF(ISERROR(Schedule!A4),"",INDEX('Events and Holidays'!$D$6:$D$1003,Schedule!A4))</f>
        <v/>
      </c>
      <c r="D9" s="31" t="str">
        <f ca="1">IF(ISERROR(Schedule!A4),"",INDEX('Events and Holidays'!$E$6:$E$1003,Schedule!A4))</f>
        <v/>
      </c>
      <c r="E9" s="30" t="str">
        <f ca="1">IF(ISERROR(Schedule!B4),"",INDEX('Events and Holidays'!$D$6:$D$1003,Schedule!B4))</f>
        <v/>
      </c>
      <c r="F9" s="31" t="str">
        <f ca="1">IF(ISERROR(Schedule!B4),"",INDEX('Events and Holidays'!$E$6:$E$1003,Schedule!B4))</f>
        <v/>
      </c>
      <c r="G9" s="32" t="str">
        <f ca="1">IF(ISERROR(Schedule!C4),"",INDEX('Events and Holidays'!$D$6:$D$1003,Schedule!C4))</f>
        <v/>
      </c>
      <c r="H9" s="31" t="str">
        <f ca="1">IF(ISERROR(Schedule!C4),"",INDEX('Events and Holidays'!$E$6:$E$1003,Schedule!C4))</f>
        <v/>
      </c>
      <c r="I9" s="32" t="str">
        <f ca="1">IF(ISERROR(Schedule!D4),"",INDEX('Events and Holidays'!$D$6:$D$1003,Schedule!D4))</f>
        <v/>
      </c>
      <c r="J9" s="31" t="str">
        <f ca="1">IF(ISERROR(Schedule!D4),"",INDEX('Events and Holidays'!$E$6:$E$1003,Schedule!D4))</f>
        <v/>
      </c>
      <c r="K9" s="32">
        <f ca="1">IF(ISERROR(Schedule!E4),"",INDEX('Events and Holidays'!$D$6:$D$1003,Schedule!E4))</f>
        <v>0</v>
      </c>
      <c r="L9" s="31" t="str">
        <f ca="1">IF(ISERROR(Schedule!E4),"",INDEX('Events and Holidays'!$E$6:$E$1003,Schedule!E4))</f>
        <v>Project Design Deadline  17</v>
      </c>
      <c r="M9" s="32" t="str">
        <f ca="1">IF(ISERROR(Schedule!F4),"",INDEX('Events and Holidays'!$D$6:$D$1003,Schedule!F4))</f>
        <v/>
      </c>
      <c r="N9" s="31" t="str">
        <f ca="1">IF(ISERROR(Schedule!F4),"",INDEX('Events and Holidays'!$E$6:$E$1003,Schedule!F4))</f>
        <v/>
      </c>
      <c r="O9" s="32" t="str">
        <f ca="1">IF(ISERROR(Schedule!G4),"",INDEX('Events and Holidays'!$D$6:$D$1003,Schedule!G4))</f>
        <v/>
      </c>
      <c r="P9" s="31" t="str">
        <f ca="1">IF(ISERROR(Schedule!G4),"",INDEX('Events and Holidays'!$E$6:$E$1003,Schedule!G4))</f>
        <v/>
      </c>
    </row>
    <row r="10" spans="2:29" ht="15" customHeight="1" x14ac:dyDescent="0.25">
      <c r="B10" s="33">
        <v>4</v>
      </c>
      <c r="C10" s="34" t="str">
        <f ca="1">IF(ISERROR(Schedule!A5),"",INDEX('Events and Holidays'!$D$6:$D$1003,Schedule!A5))</f>
        <v/>
      </c>
      <c r="D10" s="35" t="str">
        <f ca="1">IF(ISERROR(Schedule!A5),"",INDEX('Events and Holidays'!$E$6:$E$1003,Schedule!A5))</f>
        <v/>
      </c>
      <c r="E10" s="34" t="str">
        <f ca="1">IF(ISERROR(Schedule!B5),"",INDEX('Events and Holidays'!$D$6:$D$1003,Schedule!B5))</f>
        <v/>
      </c>
      <c r="F10" s="35" t="str">
        <f ca="1">IF(ISERROR(Schedule!B5),"",INDEX('Events and Holidays'!$E$6:$E$1003,Schedule!B5))</f>
        <v/>
      </c>
      <c r="G10" s="36" t="str">
        <f ca="1">IF(ISERROR(Schedule!C5),"",INDEX('Events and Holidays'!$D$6:$D$1003,Schedule!C5))</f>
        <v/>
      </c>
      <c r="H10" s="35" t="str">
        <f ca="1">IF(ISERROR(Schedule!C5),"",INDEX('Events and Holidays'!$E$6:$E$1003,Schedule!C5))</f>
        <v/>
      </c>
      <c r="I10" s="36" t="str">
        <f ca="1">IF(ISERROR(Schedule!D5),"",INDEX('Events and Holidays'!$D$6:$D$1003,Schedule!D5))</f>
        <v/>
      </c>
      <c r="J10" s="35" t="str">
        <f ca="1">IF(ISERROR(Schedule!D5),"",INDEX('Events and Holidays'!$E$6:$E$1003,Schedule!D5))</f>
        <v/>
      </c>
      <c r="K10" s="36">
        <f ca="1">IF(ISERROR(Schedule!E5),"",INDEX('Events and Holidays'!$D$6:$D$1003,Schedule!E5))</f>
        <v>0</v>
      </c>
      <c r="L10" s="35" t="str">
        <f ca="1">IF(ISERROR(Schedule!E5),"",INDEX('Events and Holidays'!$E$6:$E$1003,Schedule!E5))</f>
        <v>Project Design Deadline  18</v>
      </c>
      <c r="M10" s="36" t="str">
        <f ca="1">IF(ISERROR(Schedule!F5),"",INDEX('Events and Holidays'!$D$6:$D$1003,Schedule!F5))</f>
        <v/>
      </c>
      <c r="N10" s="35" t="str">
        <f ca="1">IF(ISERROR(Schedule!F5),"",INDEX('Events and Holidays'!$E$6:$E$1003,Schedule!F5))</f>
        <v/>
      </c>
      <c r="O10" s="36" t="str">
        <f ca="1">IF(ISERROR(Schedule!G5),"",INDEX('Events and Holidays'!$D$6:$D$1003,Schedule!G5))</f>
        <v/>
      </c>
      <c r="P10" s="35" t="str">
        <f ca="1">IF(ISERROR(Schedule!G5),"",INDEX('Events and Holidays'!$E$6:$E$1003,Schedule!G5))</f>
        <v/>
      </c>
    </row>
    <row r="11" spans="2:29" ht="15" customHeight="1" x14ac:dyDescent="0.25">
      <c r="B11" s="29">
        <v>5</v>
      </c>
      <c r="C11" s="30" t="str">
        <f ca="1">IF(ISERROR(Schedule!A6),"",INDEX('Events and Holidays'!$D$6:$D$1003,Schedule!A6))</f>
        <v/>
      </c>
      <c r="D11" s="31" t="str">
        <f ca="1">IF(ISERROR(Schedule!A6),"",INDEX('Events and Holidays'!$E$6:$E$1003,Schedule!A6))</f>
        <v/>
      </c>
      <c r="E11" s="30" t="str">
        <f ca="1">IF(ISERROR(Schedule!B6),"",INDEX('Events and Holidays'!$D$6:$D$1003,Schedule!B6))</f>
        <v/>
      </c>
      <c r="F11" s="31" t="str">
        <f ca="1">IF(ISERROR(Schedule!B6),"",INDEX('Events and Holidays'!$E$6:$E$1003,Schedule!B6))</f>
        <v/>
      </c>
      <c r="G11" s="32" t="str">
        <f ca="1">IF(ISERROR(Schedule!C6),"",INDEX('Events and Holidays'!$D$6:$D$1003,Schedule!C6))</f>
        <v/>
      </c>
      <c r="H11" s="31" t="str">
        <f ca="1">IF(ISERROR(Schedule!C6),"",INDEX('Events and Holidays'!$E$6:$E$1003,Schedule!C6))</f>
        <v/>
      </c>
      <c r="I11" s="32" t="str">
        <f ca="1">IF(ISERROR(Schedule!D6),"",INDEX('Events and Holidays'!$D$6:$D$1003,Schedule!D6))</f>
        <v/>
      </c>
      <c r="J11" s="31" t="str">
        <f ca="1">IF(ISERROR(Schedule!D6),"",INDEX('Events and Holidays'!$E$6:$E$1003,Schedule!D6))</f>
        <v/>
      </c>
      <c r="K11" s="32">
        <f ca="1">IF(ISERROR(Schedule!E6),"",INDEX('Events and Holidays'!$D$6:$D$1003,Schedule!E6))</f>
        <v>0</v>
      </c>
      <c r="L11" s="31" t="str">
        <f ca="1">IF(ISERROR(Schedule!E6),"",INDEX('Events and Holidays'!$E$6:$E$1003,Schedule!E6))</f>
        <v>Project Design Deadline  19</v>
      </c>
      <c r="M11" s="32" t="str">
        <f ca="1">IF(ISERROR(Schedule!F6),"",INDEX('Events and Holidays'!$D$6:$D$1003,Schedule!F6))</f>
        <v/>
      </c>
      <c r="N11" s="31" t="str">
        <f ca="1">IF(ISERROR(Schedule!F6),"",INDEX('Events and Holidays'!$E$6:$E$1003,Schedule!F6))</f>
        <v/>
      </c>
      <c r="O11" s="32" t="str">
        <f ca="1">IF(ISERROR(Schedule!G6),"",INDEX('Events and Holidays'!$D$6:$D$1003,Schedule!G6))</f>
        <v/>
      </c>
      <c r="P11" s="31" t="str">
        <f ca="1">IF(ISERROR(Schedule!G6),"",INDEX('Events and Holidays'!$E$6:$E$1003,Schedule!G6))</f>
        <v/>
      </c>
    </row>
    <row r="12" spans="2:29" ht="15" customHeight="1" x14ac:dyDescent="0.25">
      <c r="B12" s="33">
        <v>6</v>
      </c>
      <c r="C12" s="34" t="str">
        <f ca="1">IF(ISERROR(Schedule!A7),"",INDEX('Events and Holidays'!$D$6:$D$1003,Schedule!A7))</f>
        <v/>
      </c>
      <c r="D12" s="35" t="str">
        <f ca="1">IF(ISERROR(Schedule!A7),"",INDEX('Events and Holidays'!$E$6:$E$1003,Schedule!A7))</f>
        <v/>
      </c>
      <c r="E12" s="34" t="str">
        <f ca="1">IF(ISERROR(Schedule!B7),"",INDEX('Events and Holidays'!$D$6:$D$1003,Schedule!B7))</f>
        <v/>
      </c>
      <c r="F12" s="35" t="str">
        <f ca="1">IF(ISERROR(Schedule!B7),"",INDEX('Events and Holidays'!$E$6:$E$1003,Schedule!B7))</f>
        <v/>
      </c>
      <c r="G12" s="36" t="str">
        <f ca="1">IF(ISERROR(Schedule!C7),"",INDEX('Events and Holidays'!$D$6:$D$1003,Schedule!C7))</f>
        <v/>
      </c>
      <c r="H12" s="35" t="str">
        <f ca="1">IF(ISERROR(Schedule!C7),"",INDEX('Events and Holidays'!$E$6:$E$1003,Schedule!C7))</f>
        <v/>
      </c>
      <c r="I12" s="36" t="str">
        <f ca="1">IF(ISERROR(Schedule!D7),"",INDEX('Events and Holidays'!$D$6:$D$1003,Schedule!D7))</f>
        <v/>
      </c>
      <c r="J12" s="35" t="str">
        <f ca="1">IF(ISERROR(Schedule!D7),"",INDEX('Events and Holidays'!$E$6:$E$1003,Schedule!D7))</f>
        <v/>
      </c>
      <c r="K12" s="36">
        <f ca="1">IF(ISERROR(Schedule!E7),"",INDEX('Events and Holidays'!$D$6:$D$1003,Schedule!E7))</f>
        <v>0</v>
      </c>
      <c r="L12" s="35" t="str">
        <f ca="1">IF(ISERROR(Schedule!E7),"",INDEX('Events and Holidays'!$E$6:$E$1003,Schedule!E7))</f>
        <v>Project Design Deadline  20</v>
      </c>
      <c r="M12" s="36" t="str">
        <f ca="1">IF(ISERROR(Schedule!F7),"",INDEX('Events and Holidays'!$D$6:$D$1003,Schedule!F7))</f>
        <v/>
      </c>
      <c r="N12" s="35" t="str">
        <f ca="1">IF(ISERROR(Schedule!F7),"",INDEX('Events and Holidays'!$E$6:$E$1003,Schedule!F7))</f>
        <v/>
      </c>
      <c r="O12" s="36" t="str">
        <f ca="1">IF(ISERROR(Schedule!G7),"",INDEX('Events and Holidays'!$D$6:$D$1003,Schedule!G7))</f>
        <v/>
      </c>
      <c r="P12" s="35" t="str">
        <f ca="1">IF(ISERROR(Schedule!G7),"",INDEX('Events and Holidays'!$E$6:$E$1003,Schedule!G7))</f>
        <v/>
      </c>
    </row>
    <row r="13" spans="2:29" ht="15" customHeight="1" x14ac:dyDescent="0.25">
      <c r="B13" s="29">
        <v>7</v>
      </c>
      <c r="C13" s="30" t="str">
        <f ca="1">IF(ISERROR(Schedule!A8),"",INDEX('Events and Holidays'!$D$6:$D$1003,Schedule!A8))</f>
        <v/>
      </c>
      <c r="D13" s="31" t="str">
        <f ca="1">IF(ISERROR(Schedule!A8),"",INDEX('Events and Holidays'!$E$6:$E$1003,Schedule!A8))</f>
        <v/>
      </c>
      <c r="E13" s="30" t="str">
        <f ca="1">IF(ISERROR(Schedule!B8),"",INDEX('Events and Holidays'!$D$6:$D$1003,Schedule!B8))</f>
        <v/>
      </c>
      <c r="F13" s="31" t="str">
        <f ca="1">IF(ISERROR(Schedule!B8),"",INDEX('Events and Holidays'!$E$6:$E$1003,Schedule!B8))</f>
        <v/>
      </c>
      <c r="G13" s="32" t="str">
        <f ca="1">IF(ISERROR(Schedule!C8),"",INDEX('Events and Holidays'!$D$6:$D$1003,Schedule!C8))</f>
        <v/>
      </c>
      <c r="H13" s="31" t="str">
        <f ca="1">IF(ISERROR(Schedule!C8),"",INDEX('Events and Holidays'!$E$6:$E$1003,Schedule!C8))</f>
        <v/>
      </c>
      <c r="I13" s="32" t="str">
        <f ca="1">IF(ISERROR(Schedule!D8),"",INDEX('Events and Holidays'!$D$6:$D$1003,Schedule!D8))</f>
        <v/>
      </c>
      <c r="J13" s="31" t="str">
        <f ca="1">IF(ISERROR(Schedule!D8),"",INDEX('Events and Holidays'!$E$6:$E$1003,Schedule!D8))</f>
        <v/>
      </c>
      <c r="K13" s="32">
        <f ca="1">IF(ISERROR(Schedule!E8),"",INDEX('Events and Holidays'!$D$6:$D$1003,Schedule!E8))</f>
        <v>0</v>
      </c>
      <c r="L13" s="31" t="str">
        <f ca="1">IF(ISERROR(Schedule!E8),"",INDEX('Events and Holidays'!$E$6:$E$1003,Schedule!E8))</f>
        <v>Project Design Deadline  21</v>
      </c>
      <c r="M13" s="32" t="str">
        <f ca="1">IF(ISERROR(Schedule!F8),"",INDEX('Events and Holidays'!$D$6:$D$1003,Schedule!F8))</f>
        <v/>
      </c>
      <c r="N13" s="31" t="str">
        <f ca="1">IF(ISERROR(Schedule!F8),"",INDEX('Events and Holidays'!$E$6:$E$1003,Schedule!F8))</f>
        <v/>
      </c>
      <c r="O13" s="32" t="str">
        <f ca="1">IF(ISERROR(Schedule!G8),"",INDEX('Events and Holidays'!$D$6:$D$1003,Schedule!G8))</f>
        <v/>
      </c>
      <c r="P13" s="31" t="str">
        <f ca="1">IF(ISERROR(Schedule!G8),"",INDEX('Events and Holidays'!$E$6:$E$1003,Schedule!G8))</f>
        <v/>
      </c>
    </row>
    <row r="14" spans="2:29" ht="15" customHeight="1" x14ac:dyDescent="0.25">
      <c r="B14" s="33">
        <v>8</v>
      </c>
      <c r="C14" s="34" t="str">
        <f ca="1">IF(ISERROR(Schedule!A9),"",INDEX('Events and Holidays'!$D$6:$D$1003,Schedule!A9))</f>
        <v/>
      </c>
      <c r="D14" s="35" t="str">
        <f ca="1">IF(ISERROR(Schedule!A9),"",INDEX('Events and Holidays'!$E$6:$E$1003,Schedule!A9))</f>
        <v/>
      </c>
      <c r="E14" s="34" t="str">
        <f ca="1">IF(ISERROR(Schedule!B9),"",INDEX('Events and Holidays'!$D$6:$D$1003,Schedule!B9))</f>
        <v/>
      </c>
      <c r="F14" s="35" t="str">
        <f ca="1">IF(ISERROR(Schedule!B9),"",INDEX('Events and Holidays'!$E$6:$E$1003,Schedule!B9))</f>
        <v/>
      </c>
      <c r="G14" s="36" t="str">
        <f ca="1">IF(ISERROR(Schedule!C9),"",INDEX('Events and Holidays'!$D$6:$D$1003,Schedule!C9))</f>
        <v/>
      </c>
      <c r="H14" s="35" t="str">
        <f ca="1">IF(ISERROR(Schedule!C9),"",INDEX('Events and Holidays'!$E$6:$E$1003,Schedule!C9))</f>
        <v/>
      </c>
      <c r="I14" s="36" t="str">
        <f ca="1">IF(ISERROR(Schedule!D9),"",INDEX('Events and Holidays'!$D$6:$D$1003,Schedule!D9))</f>
        <v/>
      </c>
      <c r="J14" s="35" t="str">
        <f ca="1">IF(ISERROR(Schedule!D9),"",INDEX('Events and Holidays'!$E$6:$E$1003,Schedule!D9))</f>
        <v/>
      </c>
      <c r="K14" s="36">
        <f ca="1">IF(ISERROR(Schedule!E9),"",INDEX('Events and Holidays'!$D$6:$D$1003,Schedule!E9))</f>
        <v>0</v>
      </c>
      <c r="L14" s="35" t="str">
        <f ca="1">IF(ISERROR(Schedule!E9),"",INDEX('Events and Holidays'!$E$6:$E$1003,Schedule!E9))</f>
        <v>Project Design Deadline  22</v>
      </c>
      <c r="M14" s="36" t="str">
        <f ca="1">IF(ISERROR(Schedule!F9),"",INDEX('Events and Holidays'!$D$6:$D$1003,Schedule!F9))</f>
        <v/>
      </c>
      <c r="N14" s="35" t="str">
        <f ca="1">IF(ISERROR(Schedule!F9),"",INDEX('Events and Holidays'!$E$6:$E$1003,Schedule!F9))</f>
        <v/>
      </c>
      <c r="O14" s="36" t="str">
        <f ca="1">IF(ISERROR(Schedule!G9),"",INDEX('Events and Holidays'!$D$6:$D$1003,Schedule!G9))</f>
        <v/>
      </c>
      <c r="P14" s="35" t="str">
        <f ca="1">IF(ISERROR(Schedule!G9),"",INDEX('Events and Holidays'!$E$6:$E$1003,Schedule!G9))</f>
        <v/>
      </c>
    </row>
    <row r="15" spans="2:29" ht="15" customHeight="1" x14ac:dyDescent="0.25">
      <c r="B15" s="29">
        <v>9</v>
      </c>
      <c r="C15" s="30" t="str">
        <f ca="1">IF(ISERROR(Schedule!A10),"",INDEX('Events and Holidays'!$D$6:$D$1003,Schedule!A10))</f>
        <v/>
      </c>
      <c r="D15" s="31" t="str">
        <f ca="1">IF(ISERROR(Schedule!A10),"",INDEX('Events and Holidays'!$E$6:$E$1003,Schedule!A10))</f>
        <v/>
      </c>
      <c r="E15" s="30" t="str">
        <f ca="1">IF(ISERROR(Schedule!B10),"",INDEX('Events and Holidays'!$D$6:$D$1003,Schedule!B10))</f>
        <v/>
      </c>
      <c r="F15" s="31" t="str">
        <f ca="1">IF(ISERROR(Schedule!B10),"",INDEX('Events and Holidays'!$E$6:$E$1003,Schedule!B10))</f>
        <v/>
      </c>
      <c r="G15" s="32" t="str">
        <f ca="1">IF(ISERROR(Schedule!C10),"",INDEX('Events and Holidays'!$D$6:$D$1003,Schedule!C10))</f>
        <v/>
      </c>
      <c r="H15" s="31" t="str">
        <f ca="1">IF(ISERROR(Schedule!C10),"",INDEX('Events and Holidays'!$E$6:$E$1003,Schedule!C10))</f>
        <v/>
      </c>
      <c r="I15" s="32" t="str">
        <f ca="1">IF(ISERROR(Schedule!D10),"",INDEX('Events and Holidays'!$D$6:$D$1003,Schedule!D10))</f>
        <v/>
      </c>
      <c r="J15" s="31" t="str">
        <f ca="1">IF(ISERROR(Schedule!D10),"",INDEX('Events and Holidays'!$E$6:$E$1003,Schedule!D10))</f>
        <v/>
      </c>
      <c r="K15" s="32">
        <f ca="1">IF(ISERROR(Schedule!E10),"",INDEX('Events and Holidays'!$D$6:$D$1003,Schedule!E10))</f>
        <v>0</v>
      </c>
      <c r="L15" s="31" t="str">
        <f ca="1">IF(ISERROR(Schedule!E10),"",INDEX('Events and Holidays'!$E$6:$E$1003,Schedule!E10))</f>
        <v>Project Design Deadline  23</v>
      </c>
      <c r="M15" s="32" t="str">
        <f ca="1">IF(ISERROR(Schedule!F10),"",INDEX('Events and Holidays'!$D$6:$D$1003,Schedule!F10))</f>
        <v/>
      </c>
      <c r="N15" s="31" t="str">
        <f ca="1">IF(ISERROR(Schedule!F10),"",INDEX('Events and Holidays'!$E$6:$E$1003,Schedule!F10))</f>
        <v/>
      </c>
      <c r="O15" s="32" t="str">
        <f ca="1">IF(ISERROR(Schedule!G10),"",INDEX('Events and Holidays'!$D$6:$D$1003,Schedule!G10))</f>
        <v/>
      </c>
      <c r="P15" s="31" t="str">
        <f ca="1">IF(ISERROR(Schedule!G10),"",INDEX('Events and Holidays'!$E$6:$E$1003,Schedule!G10))</f>
        <v/>
      </c>
    </row>
    <row r="16" spans="2:29" ht="15" customHeight="1" x14ac:dyDescent="0.25">
      <c r="B16" s="33">
        <v>10</v>
      </c>
      <c r="C16" s="34" t="str">
        <f ca="1">IF(ISERROR(Schedule!A11),"",INDEX('Events and Holidays'!$D$6:$D$1003,Schedule!A11))</f>
        <v/>
      </c>
      <c r="D16" s="35" t="str">
        <f ca="1">IF(ISERROR(Schedule!A11),"",INDEX('Events and Holidays'!$E$6:$E$1003,Schedule!A11))</f>
        <v/>
      </c>
      <c r="E16" s="34" t="str">
        <f ca="1">IF(ISERROR(Schedule!B11),"",INDEX('Events and Holidays'!$D$6:$D$1003,Schedule!B11))</f>
        <v/>
      </c>
      <c r="F16" s="35" t="str">
        <f ca="1">IF(ISERROR(Schedule!B11),"",INDEX('Events and Holidays'!$E$6:$E$1003,Schedule!B11))</f>
        <v/>
      </c>
      <c r="G16" s="36" t="str">
        <f ca="1">IF(ISERROR(Schedule!C11),"",INDEX('Events and Holidays'!$D$6:$D$1003,Schedule!C11))</f>
        <v/>
      </c>
      <c r="H16" s="35" t="str">
        <f ca="1">IF(ISERROR(Schedule!C11),"",INDEX('Events and Holidays'!$E$6:$E$1003,Schedule!C11))</f>
        <v/>
      </c>
      <c r="I16" s="36" t="str">
        <f ca="1">IF(ISERROR(Schedule!D11),"",INDEX('Events and Holidays'!$D$6:$D$1003,Schedule!D11))</f>
        <v/>
      </c>
      <c r="J16" s="35" t="str">
        <f ca="1">IF(ISERROR(Schedule!D11),"",INDEX('Events and Holidays'!$E$6:$E$1003,Schedule!D11))</f>
        <v/>
      </c>
      <c r="K16" s="36">
        <f ca="1">IF(ISERROR(Schedule!E11),"",INDEX('Events and Holidays'!$D$6:$D$1003,Schedule!E11))</f>
        <v>0</v>
      </c>
      <c r="L16" s="35" t="str">
        <f ca="1">IF(ISERROR(Schedule!E11),"",INDEX('Events and Holidays'!$E$6:$E$1003,Schedule!E11))</f>
        <v>Project Design Deadline  24</v>
      </c>
      <c r="M16" s="36" t="str">
        <f ca="1">IF(ISERROR(Schedule!F11),"",INDEX('Events and Holidays'!$D$6:$D$1003,Schedule!F11))</f>
        <v/>
      </c>
      <c r="N16" s="35" t="str">
        <f ca="1">IF(ISERROR(Schedule!F11),"",INDEX('Events and Holidays'!$E$6:$E$1003,Schedule!F11))</f>
        <v/>
      </c>
      <c r="O16" s="36" t="str">
        <f ca="1">IF(ISERROR(Schedule!G11),"",INDEX('Events and Holidays'!$D$6:$D$1003,Schedule!G11))</f>
        <v/>
      </c>
      <c r="P16" s="35" t="str">
        <f ca="1">IF(ISERROR(Schedule!G11),"",INDEX('Events and Holidays'!$E$6:$E$1003,Schedule!G11))</f>
        <v/>
      </c>
    </row>
    <row r="17" spans="2:16" ht="15" customHeight="1" x14ac:dyDescent="0.25">
      <c r="B17" s="29">
        <v>11</v>
      </c>
      <c r="C17" s="30" t="str">
        <f ca="1">IF(ISERROR(Schedule!A12),"",INDEX('Events and Holidays'!$D$6:$D$1003,Schedule!A12))</f>
        <v/>
      </c>
      <c r="D17" s="31" t="str">
        <f ca="1">IF(ISERROR(Schedule!A12),"",INDEX('Events and Holidays'!$E$6:$E$1003,Schedule!A12))</f>
        <v/>
      </c>
      <c r="E17" s="30" t="str">
        <f ca="1">IF(ISERROR(Schedule!B12),"",INDEX('Events and Holidays'!$D$6:$D$1003,Schedule!B12))</f>
        <v/>
      </c>
      <c r="F17" s="31" t="str">
        <f ca="1">IF(ISERROR(Schedule!B12),"",INDEX('Events and Holidays'!$E$6:$E$1003,Schedule!B12))</f>
        <v/>
      </c>
      <c r="G17" s="32" t="str">
        <f ca="1">IF(ISERROR(Schedule!C12),"",INDEX('Events and Holidays'!$D$6:$D$1003,Schedule!C12))</f>
        <v/>
      </c>
      <c r="H17" s="31" t="str">
        <f ca="1">IF(ISERROR(Schedule!C12),"",INDEX('Events and Holidays'!$E$6:$E$1003,Schedule!C12))</f>
        <v/>
      </c>
      <c r="I17" s="32" t="str">
        <f ca="1">IF(ISERROR(Schedule!D12),"",INDEX('Events and Holidays'!$D$6:$D$1003,Schedule!D12))</f>
        <v/>
      </c>
      <c r="J17" s="31" t="str">
        <f ca="1">IF(ISERROR(Schedule!D12),"",INDEX('Events and Holidays'!$E$6:$E$1003,Schedule!D12))</f>
        <v/>
      </c>
      <c r="K17" s="32">
        <f ca="1">IF(ISERROR(Schedule!E12),"",INDEX('Events and Holidays'!$D$6:$D$1003,Schedule!E12))</f>
        <v>0</v>
      </c>
      <c r="L17" s="31" t="str">
        <f ca="1">IF(ISERROR(Schedule!E12),"",INDEX('Events and Holidays'!$E$6:$E$1003,Schedule!E12))</f>
        <v>Project Design Deadline  25</v>
      </c>
      <c r="M17" s="32" t="str">
        <f ca="1">IF(ISERROR(Schedule!F12),"",INDEX('Events and Holidays'!$D$6:$D$1003,Schedule!F12))</f>
        <v/>
      </c>
      <c r="N17" s="31" t="str">
        <f ca="1">IF(ISERROR(Schedule!F12),"",INDEX('Events and Holidays'!$E$6:$E$1003,Schedule!F12))</f>
        <v/>
      </c>
      <c r="O17" s="32" t="str">
        <f ca="1">IF(ISERROR(Schedule!G12),"",INDEX('Events and Holidays'!$D$6:$D$1003,Schedule!G12))</f>
        <v/>
      </c>
      <c r="P17" s="31" t="str">
        <f ca="1">IF(ISERROR(Schedule!G12),"",INDEX('Events and Holidays'!$E$6:$E$1003,Schedule!G12))</f>
        <v/>
      </c>
    </row>
    <row r="18" spans="2:16" ht="15" customHeight="1" x14ac:dyDescent="0.25">
      <c r="B18" s="33">
        <v>12</v>
      </c>
      <c r="C18" s="34" t="str">
        <f ca="1">IF(ISERROR(Schedule!A13),"",INDEX('Events and Holidays'!$D$6:$D$1003,Schedule!A13))</f>
        <v/>
      </c>
      <c r="D18" s="35" t="str">
        <f ca="1">IF(ISERROR(Schedule!A13),"",INDEX('Events and Holidays'!$E$6:$E$1003,Schedule!A13))</f>
        <v/>
      </c>
      <c r="E18" s="34" t="str">
        <f ca="1">IF(ISERROR(Schedule!B13),"",INDEX('Events and Holidays'!$D$6:$D$1003,Schedule!B13))</f>
        <v/>
      </c>
      <c r="F18" s="35" t="str">
        <f ca="1">IF(ISERROR(Schedule!B13),"",INDEX('Events and Holidays'!$E$6:$E$1003,Schedule!B13))</f>
        <v/>
      </c>
      <c r="G18" s="36" t="str">
        <f ca="1">IF(ISERROR(Schedule!C13),"",INDEX('Events and Holidays'!$D$6:$D$1003,Schedule!C13))</f>
        <v/>
      </c>
      <c r="H18" s="35" t="str">
        <f ca="1">IF(ISERROR(Schedule!C13),"",INDEX('Events and Holidays'!$E$6:$E$1003,Schedule!C13))</f>
        <v/>
      </c>
      <c r="I18" s="36" t="str">
        <f ca="1">IF(ISERROR(Schedule!D13),"",INDEX('Events and Holidays'!$D$6:$D$1003,Schedule!D13))</f>
        <v/>
      </c>
      <c r="J18" s="35" t="str">
        <f ca="1">IF(ISERROR(Schedule!D13),"",INDEX('Events and Holidays'!$E$6:$E$1003,Schedule!D13))</f>
        <v/>
      </c>
      <c r="K18" s="36">
        <f ca="1">IF(ISERROR(Schedule!E13),"",INDEX('Events and Holidays'!$D$6:$D$1003,Schedule!E13))</f>
        <v>0</v>
      </c>
      <c r="L18" s="35" t="str">
        <f ca="1">IF(ISERROR(Schedule!E13),"",INDEX('Events and Holidays'!$E$6:$E$1003,Schedule!E13))</f>
        <v>Project Design Deadline  26</v>
      </c>
      <c r="M18" s="36" t="str">
        <f ca="1">IF(ISERROR(Schedule!F13),"",INDEX('Events and Holidays'!$D$6:$D$1003,Schedule!F13))</f>
        <v/>
      </c>
      <c r="N18" s="35" t="str">
        <f ca="1">IF(ISERROR(Schedule!F13),"",INDEX('Events and Holidays'!$E$6:$E$1003,Schedule!F13))</f>
        <v/>
      </c>
      <c r="O18" s="36" t="str">
        <f ca="1">IF(ISERROR(Schedule!G13),"",INDEX('Events and Holidays'!$D$6:$D$1003,Schedule!G13))</f>
        <v/>
      </c>
      <c r="P18" s="35" t="str">
        <f ca="1">IF(ISERROR(Schedule!G13),"",INDEX('Events and Holidays'!$E$6:$E$1003,Schedule!G13))</f>
        <v/>
      </c>
    </row>
    <row r="19" spans="2:16" ht="15" customHeight="1" x14ac:dyDescent="0.25">
      <c r="B19" s="29">
        <v>13</v>
      </c>
      <c r="C19" s="30" t="str">
        <f ca="1">IF(ISERROR(Schedule!A14),"",INDEX('Events and Holidays'!$D$6:$D$1003,Schedule!A14))</f>
        <v/>
      </c>
      <c r="D19" s="31" t="str">
        <f ca="1">IF(ISERROR(Schedule!A14),"",INDEX('Events and Holidays'!$E$6:$E$1003,Schedule!A14))</f>
        <v/>
      </c>
      <c r="E19" s="30" t="str">
        <f ca="1">IF(ISERROR(Schedule!B14),"",INDEX('Events and Holidays'!$D$6:$D$1003,Schedule!B14))</f>
        <v/>
      </c>
      <c r="F19" s="31" t="str">
        <f ca="1">IF(ISERROR(Schedule!B14),"",INDEX('Events and Holidays'!$E$6:$E$1003,Schedule!B14))</f>
        <v/>
      </c>
      <c r="G19" s="32" t="str">
        <f ca="1">IF(ISERROR(Schedule!C14),"",INDEX('Events and Holidays'!$D$6:$D$1003,Schedule!C14))</f>
        <v/>
      </c>
      <c r="H19" s="31" t="str">
        <f ca="1">IF(ISERROR(Schedule!C14),"",INDEX('Events and Holidays'!$E$6:$E$1003,Schedule!C14))</f>
        <v/>
      </c>
      <c r="I19" s="32" t="str">
        <f ca="1">IF(ISERROR(Schedule!D14),"",INDEX('Events and Holidays'!$D$6:$D$1003,Schedule!D14))</f>
        <v/>
      </c>
      <c r="J19" s="31" t="str">
        <f ca="1">IF(ISERROR(Schedule!D14),"",INDEX('Events and Holidays'!$E$6:$E$1003,Schedule!D14))</f>
        <v/>
      </c>
      <c r="K19" s="32">
        <f ca="1">IF(ISERROR(Schedule!E14),"",INDEX('Events and Holidays'!$D$6:$D$1003,Schedule!E14))</f>
        <v>0</v>
      </c>
      <c r="L19" s="31" t="str">
        <f ca="1">IF(ISERROR(Schedule!E14),"",INDEX('Events and Holidays'!$E$6:$E$1003,Schedule!E14))</f>
        <v>Project Design Deadline  27</v>
      </c>
      <c r="M19" s="32" t="str">
        <f ca="1">IF(ISERROR(Schedule!F14),"",INDEX('Events and Holidays'!$D$6:$D$1003,Schedule!F14))</f>
        <v/>
      </c>
      <c r="N19" s="31" t="str">
        <f ca="1">IF(ISERROR(Schedule!F14),"",INDEX('Events and Holidays'!$E$6:$E$1003,Schedule!F14))</f>
        <v/>
      </c>
      <c r="O19" s="32" t="str">
        <f ca="1">IF(ISERROR(Schedule!G14),"",INDEX('Events and Holidays'!$D$6:$D$1003,Schedule!G14))</f>
        <v/>
      </c>
      <c r="P19" s="31" t="str">
        <f ca="1">IF(ISERROR(Schedule!G14),"",INDEX('Events and Holidays'!$E$6:$E$1003,Schedule!G14))</f>
        <v/>
      </c>
    </row>
    <row r="20" spans="2:16" ht="15" customHeight="1" x14ac:dyDescent="0.25">
      <c r="B20" s="33">
        <v>14</v>
      </c>
      <c r="C20" s="34" t="str">
        <f ca="1">IF(ISERROR(Schedule!A15),"",INDEX('Events and Holidays'!$D$6:$D$1003,Schedule!A15))</f>
        <v/>
      </c>
      <c r="D20" s="35" t="str">
        <f ca="1">IF(ISERROR(Schedule!A15),"",INDEX('Events and Holidays'!$E$6:$E$1003,Schedule!A15))</f>
        <v/>
      </c>
      <c r="E20" s="34" t="str">
        <f ca="1">IF(ISERROR(Schedule!B15),"",INDEX('Events and Holidays'!$D$6:$D$1003,Schedule!B15))</f>
        <v/>
      </c>
      <c r="F20" s="35" t="str">
        <f ca="1">IF(ISERROR(Schedule!B15),"",INDEX('Events and Holidays'!$E$6:$E$1003,Schedule!B15))</f>
        <v/>
      </c>
      <c r="G20" s="36" t="str">
        <f ca="1">IF(ISERROR(Schedule!C15),"",INDEX('Events and Holidays'!$D$6:$D$1003,Schedule!C15))</f>
        <v/>
      </c>
      <c r="H20" s="35" t="str">
        <f ca="1">IF(ISERROR(Schedule!C15),"",INDEX('Events and Holidays'!$E$6:$E$1003,Schedule!C15))</f>
        <v/>
      </c>
      <c r="I20" s="36" t="str">
        <f ca="1">IF(ISERROR(Schedule!D15),"",INDEX('Events and Holidays'!$D$6:$D$1003,Schedule!D15))</f>
        <v/>
      </c>
      <c r="J20" s="35" t="str">
        <f ca="1">IF(ISERROR(Schedule!D15),"",INDEX('Events and Holidays'!$E$6:$E$1003,Schedule!D15))</f>
        <v/>
      </c>
      <c r="K20" s="36">
        <f ca="1">IF(ISERROR(Schedule!E15),"",INDEX('Events and Holidays'!$D$6:$D$1003,Schedule!E15))</f>
        <v>0</v>
      </c>
      <c r="L20" s="35" t="str">
        <f ca="1">IF(ISERROR(Schedule!E15),"",INDEX('Events and Holidays'!$E$6:$E$1003,Schedule!E15))</f>
        <v>Project Design Deadline  28</v>
      </c>
      <c r="M20" s="36" t="str">
        <f ca="1">IF(ISERROR(Schedule!F15),"",INDEX('Events and Holidays'!$D$6:$D$1003,Schedule!F15))</f>
        <v/>
      </c>
      <c r="N20" s="35" t="str">
        <f ca="1">IF(ISERROR(Schedule!F15),"",INDEX('Events and Holidays'!$E$6:$E$1003,Schedule!F15))</f>
        <v/>
      </c>
      <c r="O20" s="36" t="str">
        <f ca="1">IF(ISERROR(Schedule!G15),"",INDEX('Events and Holidays'!$D$6:$D$1003,Schedule!G15))</f>
        <v/>
      </c>
      <c r="P20" s="35" t="str">
        <f ca="1">IF(ISERROR(Schedule!G15),"",INDEX('Events and Holidays'!$E$6:$E$1003,Schedule!G15))</f>
        <v/>
      </c>
    </row>
    <row r="21" spans="2:16" ht="15" customHeight="1" x14ac:dyDescent="0.25">
      <c r="B21" s="29">
        <v>15</v>
      </c>
      <c r="C21" s="30" t="str">
        <f ca="1">IF(ISERROR(Schedule!A16),"",INDEX('Events and Holidays'!$D$6:$D$1003,Schedule!A16))</f>
        <v/>
      </c>
      <c r="D21" s="31" t="str">
        <f ca="1">IF(ISERROR(Schedule!A16),"",INDEX('Events and Holidays'!$E$6:$E$1003,Schedule!A16))</f>
        <v/>
      </c>
      <c r="E21" s="30" t="str">
        <f ca="1">IF(ISERROR(Schedule!B16),"",INDEX('Events and Holidays'!$D$6:$D$1003,Schedule!B16))</f>
        <v/>
      </c>
      <c r="F21" s="31" t="str">
        <f ca="1">IF(ISERROR(Schedule!B16),"",INDEX('Events and Holidays'!$E$6:$E$1003,Schedule!B16))</f>
        <v/>
      </c>
      <c r="G21" s="32" t="str">
        <f ca="1">IF(ISERROR(Schedule!C16),"",INDEX('Events and Holidays'!$D$6:$D$1003,Schedule!C16))</f>
        <v/>
      </c>
      <c r="H21" s="31" t="str">
        <f ca="1">IF(ISERROR(Schedule!C16),"",INDEX('Events and Holidays'!$E$6:$E$1003,Schedule!C16))</f>
        <v/>
      </c>
      <c r="I21" s="32" t="str">
        <f ca="1">IF(ISERROR(Schedule!D16),"",INDEX('Events and Holidays'!$D$6:$D$1003,Schedule!D16))</f>
        <v/>
      </c>
      <c r="J21" s="31" t="str">
        <f ca="1">IF(ISERROR(Schedule!D16),"",INDEX('Events and Holidays'!$E$6:$E$1003,Schedule!D16))</f>
        <v/>
      </c>
      <c r="K21" s="32" t="str">
        <f ca="1">IF(ISERROR(Schedule!E16),"",INDEX('Events and Holidays'!$D$6:$D$1003,Schedule!E16))</f>
        <v/>
      </c>
      <c r="L21" s="31" t="str">
        <f ca="1">IF(ISERROR(Schedule!E16),"",INDEX('Events and Holidays'!$E$6:$E$1003,Schedule!E16))</f>
        <v/>
      </c>
      <c r="M21" s="32" t="str">
        <f ca="1">IF(ISERROR(Schedule!F16),"",INDEX('Events and Holidays'!$D$6:$D$1003,Schedule!F16))</f>
        <v/>
      </c>
      <c r="N21" s="31" t="str">
        <f ca="1">IF(ISERROR(Schedule!F16),"",INDEX('Events and Holidays'!$E$6:$E$1003,Schedule!F16))</f>
        <v/>
      </c>
      <c r="O21" s="32" t="str">
        <f ca="1">IF(ISERROR(Schedule!G16),"",INDEX('Events and Holidays'!$D$6:$D$1003,Schedule!G16))</f>
        <v/>
      </c>
      <c r="P21" s="31" t="str">
        <f ca="1">IF(ISERROR(Schedule!G16),"",INDEX('Events and Holidays'!$E$6:$E$1003,Schedule!G16))</f>
        <v/>
      </c>
    </row>
    <row r="22" spans="2:16" ht="15" customHeight="1" x14ac:dyDescent="0.25">
      <c r="B22" s="33">
        <v>16</v>
      </c>
      <c r="C22" s="34" t="str">
        <f ca="1">IF(ISERROR(Schedule!A17),"",INDEX('Events and Holidays'!$D$6:$D$1003,Schedule!A17))</f>
        <v/>
      </c>
      <c r="D22" s="35" t="str">
        <f ca="1">IF(ISERROR(Schedule!A17),"",INDEX('Events and Holidays'!$E$6:$E$1003,Schedule!A17))</f>
        <v/>
      </c>
      <c r="E22" s="34" t="str">
        <f ca="1">IF(ISERROR(Schedule!B17),"",INDEX('Events and Holidays'!$D$6:$D$1003,Schedule!B17))</f>
        <v/>
      </c>
      <c r="F22" s="35" t="str">
        <f ca="1">IF(ISERROR(Schedule!B17),"",INDEX('Events and Holidays'!$E$6:$E$1003,Schedule!B17))</f>
        <v/>
      </c>
      <c r="G22" s="36" t="str">
        <f ca="1">IF(ISERROR(Schedule!C17),"",INDEX('Events and Holidays'!$D$6:$D$1003,Schedule!C17))</f>
        <v/>
      </c>
      <c r="H22" s="35" t="str">
        <f ca="1">IF(ISERROR(Schedule!C17),"",INDEX('Events and Holidays'!$E$6:$E$1003,Schedule!C17))</f>
        <v/>
      </c>
      <c r="I22" s="36" t="str">
        <f ca="1">IF(ISERROR(Schedule!D17),"",INDEX('Events and Holidays'!$D$6:$D$1003,Schedule!D17))</f>
        <v/>
      </c>
      <c r="J22" s="35" t="str">
        <f ca="1">IF(ISERROR(Schedule!D17),"",INDEX('Events and Holidays'!$E$6:$E$1003,Schedule!D17))</f>
        <v/>
      </c>
      <c r="K22" s="36" t="str">
        <f ca="1">IF(ISERROR(Schedule!E17),"",INDEX('Events and Holidays'!$D$6:$D$1003,Schedule!E17))</f>
        <v/>
      </c>
      <c r="L22" s="35" t="str">
        <f ca="1">IF(ISERROR(Schedule!E17),"",INDEX('Events and Holidays'!$E$6:$E$1003,Schedule!E17))</f>
        <v/>
      </c>
      <c r="M22" s="36" t="str">
        <f ca="1">IF(ISERROR(Schedule!F17),"",INDEX('Events and Holidays'!$D$6:$D$1003,Schedule!F17))</f>
        <v/>
      </c>
      <c r="N22" s="35" t="str">
        <f ca="1">IF(ISERROR(Schedule!F17),"",INDEX('Events and Holidays'!$E$6:$E$1003,Schedule!F17))</f>
        <v/>
      </c>
      <c r="O22" s="36" t="str">
        <f ca="1">IF(ISERROR(Schedule!G17),"",INDEX('Events and Holidays'!$D$6:$D$1003,Schedule!G17))</f>
        <v/>
      </c>
      <c r="P22" s="35" t="str">
        <f ca="1">IF(ISERROR(Schedule!G17),"",INDEX('Events and Holidays'!$E$6:$E$1003,Schedule!G17))</f>
        <v/>
      </c>
    </row>
    <row r="23" spans="2:16" ht="15" customHeight="1" x14ac:dyDescent="0.25">
      <c r="B23" s="29">
        <v>17</v>
      </c>
      <c r="C23" s="30" t="str">
        <f ca="1">IF(ISERROR(Schedule!A18),"",INDEX('Events and Holidays'!$D$6:$D$1003,Schedule!A18))</f>
        <v/>
      </c>
      <c r="D23" s="31" t="str">
        <f ca="1">IF(ISERROR(Schedule!A18),"",INDEX('Events and Holidays'!$E$6:$E$1003,Schedule!A18))</f>
        <v/>
      </c>
      <c r="E23" s="30" t="str">
        <f ca="1">IF(ISERROR(Schedule!B18),"",INDEX('Events and Holidays'!$D$6:$D$1003,Schedule!B18))</f>
        <v/>
      </c>
      <c r="F23" s="31" t="str">
        <f ca="1">IF(ISERROR(Schedule!B18),"",INDEX('Events and Holidays'!$E$6:$E$1003,Schedule!B18))</f>
        <v/>
      </c>
      <c r="G23" s="32" t="str">
        <f ca="1">IF(ISERROR(Schedule!C18),"",INDEX('Events and Holidays'!$D$6:$D$1003,Schedule!C18))</f>
        <v/>
      </c>
      <c r="H23" s="31" t="str">
        <f ca="1">IF(ISERROR(Schedule!C18),"",INDEX('Events and Holidays'!$E$6:$E$1003,Schedule!C18))</f>
        <v/>
      </c>
      <c r="I23" s="32" t="str">
        <f ca="1">IF(ISERROR(Schedule!D18),"",INDEX('Events and Holidays'!$D$6:$D$1003,Schedule!D18))</f>
        <v/>
      </c>
      <c r="J23" s="31" t="str">
        <f ca="1">IF(ISERROR(Schedule!D18),"",INDEX('Events and Holidays'!$E$6:$E$1003,Schedule!D18))</f>
        <v/>
      </c>
      <c r="K23" s="32" t="str">
        <f ca="1">IF(ISERROR(Schedule!E18),"",INDEX('Events and Holidays'!$D$6:$D$1003,Schedule!E18))</f>
        <v/>
      </c>
      <c r="L23" s="31" t="str">
        <f ca="1">IF(ISERROR(Schedule!E18),"",INDEX('Events and Holidays'!$E$6:$E$1003,Schedule!E18))</f>
        <v/>
      </c>
      <c r="M23" s="32" t="str">
        <f ca="1">IF(ISERROR(Schedule!F18),"",INDEX('Events and Holidays'!$D$6:$D$1003,Schedule!F18))</f>
        <v/>
      </c>
      <c r="N23" s="31" t="str">
        <f ca="1">IF(ISERROR(Schedule!F18),"",INDEX('Events and Holidays'!$E$6:$E$1003,Schedule!F18))</f>
        <v/>
      </c>
      <c r="O23" s="32" t="str">
        <f ca="1">IF(ISERROR(Schedule!G18),"",INDEX('Events and Holidays'!$D$6:$D$1003,Schedule!G18))</f>
        <v/>
      </c>
      <c r="P23" s="31" t="str">
        <f ca="1">IF(ISERROR(Schedule!G18),"",INDEX('Events and Holidays'!$E$6:$E$1003,Schedule!G18))</f>
        <v/>
      </c>
    </row>
    <row r="24" spans="2:16" ht="15" customHeight="1" x14ac:dyDescent="0.25">
      <c r="B24" s="33">
        <v>18</v>
      </c>
      <c r="C24" s="34" t="str">
        <f ca="1">IF(ISERROR(Schedule!A19),"",INDEX('Events and Holidays'!$D$6:$D$1003,Schedule!A19))</f>
        <v/>
      </c>
      <c r="D24" s="35" t="str">
        <f ca="1">IF(ISERROR(Schedule!A19),"",INDEX('Events and Holidays'!$E$6:$E$1003,Schedule!A19))</f>
        <v/>
      </c>
      <c r="E24" s="34" t="str">
        <f ca="1">IF(ISERROR(Schedule!B19),"",INDEX('Events and Holidays'!$D$6:$D$1003,Schedule!B19))</f>
        <v/>
      </c>
      <c r="F24" s="35" t="str">
        <f ca="1">IF(ISERROR(Schedule!B19),"",INDEX('Events and Holidays'!$E$6:$E$1003,Schedule!B19))</f>
        <v/>
      </c>
      <c r="G24" s="36" t="str">
        <f ca="1">IF(ISERROR(Schedule!C19),"",INDEX('Events and Holidays'!$D$6:$D$1003,Schedule!C19))</f>
        <v/>
      </c>
      <c r="H24" s="35" t="str">
        <f ca="1">IF(ISERROR(Schedule!C19),"",INDEX('Events and Holidays'!$E$6:$E$1003,Schedule!C19))</f>
        <v/>
      </c>
      <c r="I24" s="36" t="str">
        <f ca="1">IF(ISERROR(Schedule!D19),"",INDEX('Events and Holidays'!$D$6:$D$1003,Schedule!D19))</f>
        <v/>
      </c>
      <c r="J24" s="35" t="str">
        <f ca="1">IF(ISERROR(Schedule!D19),"",INDEX('Events and Holidays'!$E$6:$E$1003,Schedule!D19))</f>
        <v/>
      </c>
      <c r="K24" s="36" t="str">
        <f ca="1">IF(ISERROR(Schedule!E19),"",INDEX('Events and Holidays'!$D$6:$D$1003,Schedule!E19))</f>
        <v/>
      </c>
      <c r="L24" s="35" t="str">
        <f ca="1">IF(ISERROR(Schedule!E19),"",INDEX('Events and Holidays'!$E$6:$E$1003,Schedule!E19))</f>
        <v/>
      </c>
      <c r="M24" s="36" t="str">
        <f ca="1">IF(ISERROR(Schedule!F19),"",INDEX('Events and Holidays'!$D$6:$D$1003,Schedule!F19))</f>
        <v/>
      </c>
      <c r="N24" s="35" t="str">
        <f ca="1">IF(ISERROR(Schedule!F19),"",INDEX('Events and Holidays'!$E$6:$E$1003,Schedule!F19))</f>
        <v/>
      </c>
      <c r="O24" s="36" t="str">
        <f ca="1">IF(ISERROR(Schedule!G19),"",INDEX('Events and Holidays'!$D$6:$D$1003,Schedule!G19))</f>
        <v/>
      </c>
      <c r="P24" s="35" t="str">
        <f ca="1">IF(ISERROR(Schedule!G19),"",INDEX('Events and Holidays'!$E$6:$E$1003,Schedule!G19))</f>
        <v/>
      </c>
    </row>
    <row r="25" spans="2:16" ht="15" customHeight="1" x14ac:dyDescent="0.25">
      <c r="B25" s="29">
        <v>19</v>
      </c>
      <c r="C25" s="30" t="str">
        <f ca="1">IF(ISERROR(Schedule!A20),"",INDEX('Events and Holidays'!$D$6:$D$1003,Schedule!A20))</f>
        <v/>
      </c>
      <c r="D25" s="31" t="str">
        <f ca="1">IF(ISERROR(Schedule!A20),"",INDEX('Events and Holidays'!$E$6:$E$1003,Schedule!A20))</f>
        <v/>
      </c>
      <c r="E25" s="30" t="str">
        <f ca="1">IF(ISERROR(Schedule!B20),"",INDEX('Events and Holidays'!$D$6:$D$1003,Schedule!B20))</f>
        <v/>
      </c>
      <c r="F25" s="31" t="str">
        <f ca="1">IF(ISERROR(Schedule!B20),"",INDEX('Events and Holidays'!$E$6:$E$1003,Schedule!B20))</f>
        <v/>
      </c>
      <c r="G25" s="32" t="str">
        <f ca="1">IF(ISERROR(Schedule!C20),"",INDEX('Events and Holidays'!$D$6:$D$1003,Schedule!C20))</f>
        <v/>
      </c>
      <c r="H25" s="31" t="str">
        <f ca="1">IF(ISERROR(Schedule!C20),"",INDEX('Events and Holidays'!$E$6:$E$1003,Schedule!C20))</f>
        <v/>
      </c>
      <c r="I25" s="32" t="str">
        <f ca="1">IF(ISERROR(Schedule!D20),"",INDEX('Events and Holidays'!$D$6:$D$1003,Schedule!D20))</f>
        <v/>
      </c>
      <c r="J25" s="31" t="str">
        <f ca="1">IF(ISERROR(Schedule!D20),"",INDEX('Events and Holidays'!$E$6:$E$1003,Schedule!D20))</f>
        <v/>
      </c>
      <c r="K25" s="32" t="str">
        <f ca="1">IF(ISERROR(Schedule!E20),"",INDEX('Events and Holidays'!$D$6:$D$1003,Schedule!E20))</f>
        <v/>
      </c>
      <c r="L25" s="31" t="str">
        <f ca="1">IF(ISERROR(Schedule!E20),"",INDEX('Events and Holidays'!$E$6:$E$1003,Schedule!E20))</f>
        <v/>
      </c>
      <c r="M25" s="32" t="str">
        <f ca="1">IF(ISERROR(Schedule!F20),"",INDEX('Events and Holidays'!$D$6:$D$1003,Schedule!F20))</f>
        <v/>
      </c>
      <c r="N25" s="31" t="str">
        <f ca="1">IF(ISERROR(Schedule!F20),"",INDEX('Events and Holidays'!$E$6:$E$1003,Schedule!F20))</f>
        <v/>
      </c>
      <c r="O25" s="32" t="str">
        <f ca="1">IF(ISERROR(Schedule!G20),"",INDEX('Events and Holidays'!$D$6:$D$1003,Schedule!G20))</f>
        <v/>
      </c>
      <c r="P25" s="31" t="str">
        <f ca="1">IF(ISERROR(Schedule!G20),"",INDEX('Events and Holidays'!$E$6:$E$1003,Schedule!G20))</f>
        <v/>
      </c>
    </row>
    <row r="26" spans="2:16" ht="15" customHeight="1" x14ac:dyDescent="0.25">
      <c r="B26" s="33">
        <v>20</v>
      </c>
      <c r="C26" s="34" t="str">
        <f ca="1">IF(ISERROR(Schedule!A21),"",INDEX('Events and Holidays'!$D$6:$D$1003,Schedule!A21))</f>
        <v/>
      </c>
      <c r="D26" s="35" t="str">
        <f ca="1">IF(ISERROR(Schedule!A21),"",INDEX('Events and Holidays'!$E$6:$E$1003,Schedule!A21))</f>
        <v/>
      </c>
      <c r="E26" s="34" t="str">
        <f ca="1">IF(ISERROR(Schedule!B21),"",INDEX('Events and Holidays'!$D$6:$D$1003,Schedule!B21))</f>
        <v/>
      </c>
      <c r="F26" s="35" t="str">
        <f ca="1">IF(ISERROR(Schedule!B21),"",INDEX('Events and Holidays'!$E$6:$E$1003,Schedule!B21))</f>
        <v/>
      </c>
      <c r="G26" s="36" t="str">
        <f ca="1">IF(ISERROR(Schedule!C21),"",INDEX('Events and Holidays'!$D$6:$D$1003,Schedule!C21))</f>
        <v/>
      </c>
      <c r="H26" s="35" t="str">
        <f ca="1">IF(ISERROR(Schedule!C21),"",INDEX('Events and Holidays'!$E$6:$E$1003,Schedule!C21))</f>
        <v/>
      </c>
      <c r="I26" s="36" t="str">
        <f ca="1">IF(ISERROR(Schedule!D21),"",INDEX('Events and Holidays'!$D$6:$D$1003,Schedule!D21))</f>
        <v/>
      </c>
      <c r="J26" s="35" t="str">
        <f ca="1">IF(ISERROR(Schedule!D21),"",INDEX('Events and Holidays'!$E$6:$E$1003,Schedule!D21))</f>
        <v/>
      </c>
      <c r="K26" s="36" t="str">
        <f ca="1">IF(ISERROR(Schedule!E21),"",INDEX('Events and Holidays'!$D$6:$D$1003,Schedule!E21))</f>
        <v/>
      </c>
      <c r="L26" s="35" t="str">
        <f ca="1">IF(ISERROR(Schedule!E21),"",INDEX('Events and Holidays'!$E$6:$E$1003,Schedule!E21))</f>
        <v/>
      </c>
      <c r="M26" s="36" t="str">
        <f ca="1">IF(ISERROR(Schedule!F21),"",INDEX('Events and Holidays'!$D$6:$D$1003,Schedule!F21))</f>
        <v/>
      </c>
      <c r="N26" s="35" t="str">
        <f ca="1">IF(ISERROR(Schedule!F21),"",INDEX('Events and Holidays'!$E$6:$E$1003,Schedule!F21))</f>
        <v/>
      </c>
      <c r="O26" s="36" t="str">
        <f ca="1">IF(ISERROR(Schedule!G21),"",INDEX('Events and Holidays'!$D$6:$D$1003,Schedule!G21))</f>
        <v/>
      </c>
      <c r="P26" s="35" t="str">
        <f ca="1">IF(ISERROR(Schedule!G21),"",INDEX('Events and Holidays'!$E$6:$E$1003,Schedule!G21))</f>
        <v/>
      </c>
    </row>
    <row r="27" spans="2:16" ht="15" customHeight="1" x14ac:dyDescent="0.25"/>
    <row r="28" spans="2:16" ht="15" customHeight="1" x14ac:dyDescent="0.25">
      <c r="B28" s="2" t="s">
        <v>52</v>
      </c>
    </row>
    <row r="29" spans="2:16" ht="15" customHeight="1" x14ac:dyDescent="0.25"/>
  </sheetData>
  <mergeCells count="15">
    <mergeCell ref="K5:L5"/>
    <mergeCell ref="M5:N5"/>
    <mergeCell ref="O5:P5"/>
    <mergeCell ref="I5:J5"/>
    <mergeCell ref="B5:B6"/>
    <mergeCell ref="C5:D5"/>
    <mergeCell ref="E5:F5"/>
    <mergeCell ref="G5:H5"/>
    <mergeCell ref="O6:P6"/>
    <mergeCell ref="C6:D6"/>
    <mergeCell ref="E6:F6"/>
    <mergeCell ref="G6:H6"/>
    <mergeCell ref="I6:J6"/>
    <mergeCell ref="K6:L6"/>
    <mergeCell ref="M6:N6"/>
  </mergeCells>
  <phoneticPr fontId="19" type="noConversion"/>
  <conditionalFormatting sqref="C5:P6">
    <cfRule type="expression" dxfId="0" priority="1" stopIfTrue="1">
      <formula>MATCH(C$5,Holiday,0)</formula>
    </cfRule>
  </conditionalFormatting>
  <pageMargins left="0.42" right="0.49" top="0.32" bottom="0.28000000000000003" header="0.25" footer="0.19"/>
  <pageSetup scale="41" orientation="landscape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workbookViewId="0">
      <selection activeCell="D14" sqref="D14"/>
    </sheetView>
  </sheetViews>
  <sheetFormatPr defaultColWidth="8.6640625" defaultRowHeight="13.2" x14ac:dyDescent="0.25"/>
  <cols>
    <col min="1" max="16384" width="8.6640625" style="40"/>
  </cols>
  <sheetData>
    <row r="1" spans="1:7" x14ac:dyDescent="0.25">
      <c r="A1" s="37">
        <f>DAY(StartingDate)</f>
        <v>31</v>
      </c>
      <c r="B1" s="37">
        <f>MONTH(StartingDate)</f>
        <v>12</v>
      </c>
      <c r="C1" s="38">
        <f>YEAR(StartingDate)</f>
        <v>2020</v>
      </c>
      <c r="D1" s="39"/>
      <c r="E1" s="39"/>
      <c r="F1" s="39"/>
      <c r="G1" s="39"/>
    </row>
    <row r="2" spans="1:7" x14ac:dyDescent="0.25">
      <c r="A2" s="39" t="e">
        <f>MATCH(Weekly!C$5,'Events and Holidays'!$C$6:$C$1003,0)</f>
        <v>#N/A</v>
      </c>
      <c r="B2" s="39" t="e">
        <f>MATCH(Weekly!E$5,'Events and Holidays'!$C$6:$C$1003,0)</f>
        <v>#N/A</v>
      </c>
      <c r="C2" s="39">
        <f>MATCH(Weekly!G$5,'Events and Holidays'!$C$6:$C$1003,0)</f>
        <v>1</v>
      </c>
      <c r="D2" s="39">
        <f>MATCH(Weekly!I$5,'Events and Holidays'!$C$6:$C$1003,0)</f>
        <v>2</v>
      </c>
      <c r="E2" s="39">
        <f>MATCH(Weekly!K$5,'Events and Holidays'!$C$6:$C$1003,0)</f>
        <v>16</v>
      </c>
      <c r="F2" s="39">
        <f>MATCH(Weekly!M$5,'Events and Holidays'!$C$6:$C$1003,0)</f>
        <v>3</v>
      </c>
      <c r="G2" s="39" t="e">
        <f>MATCH(Weekly!O$5,'Events and Holidays'!$C$6:$C$1003,0)</f>
        <v>#N/A</v>
      </c>
    </row>
    <row r="3" spans="1:7" x14ac:dyDescent="0.25">
      <c r="A3" s="39" t="e">
        <f ca="1">IF(A2&gt;0,MATCH(Weekly!C$5,OFFSET('Events and Holidays'!$C$6:$C$1003,A2,0),0)+A2,"")</f>
        <v>#N/A</v>
      </c>
      <c r="B3" s="39" t="e">
        <f ca="1">IF(B2&gt;0,MATCH(Weekly!E$5,OFFSET('Events and Holidays'!$C$6:$C$1003,B2,0),0)+B2,"")</f>
        <v>#N/A</v>
      </c>
      <c r="C3" s="39" t="e">
        <f ca="1">IF(C2&gt;0,MATCH(Weekly!G$5,OFFSET('Events and Holidays'!$C$6:$C$1003,C2,0),0)+C2,"")</f>
        <v>#N/A</v>
      </c>
      <c r="D3" s="39" t="e">
        <f ca="1">IF(D2&gt;0,MATCH(Weekly!I$5,OFFSET('Events and Holidays'!$C$6:$C$1003,D2,0),0)+D2,"")</f>
        <v>#N/A</v>
      </c>
      <c r="E3" s="39">
        <f ca="1">IF(E2&gt;0,MATCH(Weekly!K$5,OFFSET('Events and Holidays'!$C$6:$C$1003,E2,0),0)+E2,"")</f>
        <v>17</v>
      </c>
      <c r="F3" s="39" t="e">
        <f ca="1">IF(F2&gt;0,MATCH(Weekly!M$5,OFFSET('Events and Holidays'!$C$6:$C$1003,F2,0),0)+F2,"")</f>
        <v>#N/A</v>
      </c>
      <c r="G3" s="39" t="e">
        <f ca="1">IF(G2&gt;0,MATCH(Weekly!O$5,OFFSET('Events and Holidays'!$C$6:$C$1003,G2,0),0)+G2,"")</f>
        <v>#N/A</v>
      </c>
    </row>
    <row r="4" spans="1:7" x14ac:dyDescent="0.25">
      <c r="A4" s="39" t="e">
        <f ca="1">IF(A3&gt;0,MATCH(Weekly!C$5,OFFSET('Events and Holidays'!$C$6:$C$1003,A3,0),0)+A3,"")</f>
        <v>#N/A</v>
      </c>
      <c r="B4" s="39" t="e">
        <f ca="1">IF(B3&gt;0,MATCH(Weekly!E$5,OFFSET('Events and Holidays'!$C$6:$C$1003,B3,0),0)+B3,"")</f>
        <v>#N/A</v>
      </c>
      <c r="C4" s="39" t="e">
        <f ca="1">IF(C3&gt;0,MATCH(Weekly!G$5,OFFSET('Events and Holidays'!$C$6:$C$1003,C3,0),0)+C3,"")</f>
        <v>#N/A</v>
      </c>
      <c r="D4" s="39" t="e">
        <f ca="1">IF(D3&gt;0,MATCH(Weekly!I$5,OFFSET('Events and Holidays'!$C$6:$C$1003,D3,0),0)+D3,"")</f>
        <v>#N/A</v>
      </c>
      <c r="E4" s="39">
        <f ca="1">IF(E3&gt;0,MATCH(Weekly!K$5,OFFSET('Events and Holidays'!$C$6:$C$1003,E3,0),0)+E3,"")</f>
        <v>18</v>
      </c>
      <c r="F4" s="39" t="e">
        <f ca="1">IF(F3&gt;0,MATCH(Weekly!M$5,OFFSET('Events and Holidays'!$C$6:$C$1003,F3,0),0)+F3,"")</f>
        <v>#N/A</v>
      </c>
      <c r="G4" s="39" t="e">
        <f ca="1">IF(G3&gt;0,MATCH(Weekly!O$5,OFFSET('Events and Holidays'!$C$6:$C$1003,G3,0),0)+G3,"")</f>
        <v>#N/A</v>
      </c>
    </row>
    <row r="5" spans="1:7" x14ac:dyDescent="0.25">
      <c r="A5" s="41" t="e">
        <f ca="1">IF(A4&gt;0,MATCH(Weekly!C$5,OFFSET('Events and Holidays'!$C$6:$C$1003,A4,0),0)+A4,"")</f>
        <v>#N/A</v>
      </c>
      <c r="B5" s="39" t="e">
        <f ca="1">IF(B4&gt;0,MATCH(Weekly!E$5,OFFSET('Events and Holidays'!$C$6:$C$1003,B4,0),0)+B4,"")</f>
        <v>#N/A</v>
      </c>
      <c r="C5" s="39" t="e">
        <f ca="1">IF(C4&gt;0,MATCH(Weekly!G$5,OFFSET('Events and Holidays'!$C$6:$C$1003,C4,0),0)+C4,"")</f>
        <v>#N/A</v>
      </c>
      <c r="D5" s="39" t="e">
        <f ca="1">IF(D4&gt;0,MATCH(Weekly!I$5,OFFSET('Events and Holidays'!$C$6:$C$1003,D4,0),0)+D4,"")</f>
        <v>#N/A</v>
      </c>
      <c r="E5" s="39">
        <f ca="1">IF(E4&gt;0,MATCH(Weekly!K$5,OFFSET('Events and Holidays'!$C$6:$C$1003,E4,0),0)+E4,"")</f>
        <v>19</v>
      </c>
      <c r="F5" s="39" t="e">
        <f ca="1">IF(F4&gt;0,MATCH(Weekly!M$5,OFFSET('Events and Holidays'!$C$6:$C$1003,F4,0),0)+F4,"")</f>
        <v>#N/A</v>
      </c>
      <c r="G5" s="39" t="e">
        <f ca="1">IF(G4&gt;0,MATCH(Weekly!O$5,OFFSET('Events and Holidays'!$C$6:$C$1003,G4,0),0)+G4,"")</f>
        <v>#N/A</v>
      </c>
    </row>
    <row r="6" spans="1:7" x14ac:dyDescent="0.25">
      <c r="A6" s="39" t="e">
        <f ca="1">IF(A5&gt;0,MATCH(Weekly!C$5,OFFSET('Events and Holidays'!$C$6:$C$1003,A5,0),0)+A5,"")</f>
        <v>#N/A</v>
      </c>
      <c r="B6" s="39" t="e">
        <f ca="1">IF(B5&gt;0,MATCH(Weekly!E$5,OFFSET('Events and Holidays'!$C$6:$C$1003,B5,0),0)+B5,"")</f>
        <v>#N/A</v>
      </c>
      <c r="C6" s="39" t="e">
        <f ca="1">IF(C5&gt;0,MATCH(Weekly!G$5,OFFSET('Events and Holidays'!$C$6:$C$1003,C5,0),0)+C5,"")</f>
        <v>#N/A</v>
      </c>
      <c r="D6" s="39" t="e">
        <f ca="1">IF(D5&gt;0,MATCH(Weekly!I$5,OFFSET('Events and Holidays'!$C$6:$C$1003,D5,0),0)+D5,"")</f>
        <v>#N/A</v>
      </c>
      <c r="E6" s="39">
        <f ca="1">IF(E5&gt;0,MATCH(Weekly!K$5,OFFSET('Events and Holidays'!$C$6:$C$1003,E5,0),0)+E5,"")</f>
        <v>20</v>
      </c>
      <c r="F6" s="39" t="e">
        <f ca="1">IF(F5&gt;0,MATCH(Weekly!M$5,OFFSET('Events and Holidays'!$C$6:$C$1003,F5,0),0)+F5,"")</f>
        <v>#N/A</v>
      </c>
      <c r="G6" s="39" t="e">
        <f ca="1">IF(G5&gt;0,MATCH(Weekly!O$5,OFFSET('Events and Holidays'!$C$6:$C$1003,G5,0),0)+G5,"")</f>
        <v>#N/A</v>
      </c>
    </row>
    <row r="7" spans="1:7" x14ac:dyDescent="0.25">
      <c r="A7" s="39" t="e">
        <f ca="1">IF(A6&gt;0,MATCH(Weekly!C$5,OFFSET('Events and Holidays'!$C$6:$C$1003,A6,0),0)+A6,"")</f>
        <v>#N/A</v>
      </c>
      <c r="B7" s="39" t="e">
        <f ca="1">IF(B6&gt;0,MATCH(Weekly!E$5,OFFSET('Events and Holidays'!$C$6:$C$1003,B6,0),0)+B6,"")</f>
        <v>#N/A</v>
      </c>
      <c r="C7" s="39" t="e">
        <f ca="1">IF(C6&gt;0,MATCH(Weekly!G$5,OFFSET('Events and Holidays'!$C$6:$C$1003,C6,0),0)+C6,"")</f>
        <v>#N/A</v>
      </c>
      <c r="D7" s="39" t="e">
        <f ca="1">IF(D6&gt;0,MATCH(Weekly!I$5,OFFSET('Events and Holidays'!$C$6:$C$1003,D6,0),0)+D6,"")</f>
        <v>#N/A</v>
      </c>
      <c r="E7" s="39">
        <f ca="1">IF(E6&gt;0,MATCH(Weekly!K$5,OFFSET('Events and Holidays'!$C$6:$C$1003,E6,0),0)+E6,"")</f>
        <v>21</v>
      </c>
      <c r="F7" s="39" t="e">
        <f ca="1">IF(F6&gt;0,MATCH(Weekly!M$5,OFFSET('Events and Holidays'!$C$6:$C$1003,F6,0),0)+F6,"")</f>
        <v>#N/A</v>
      </c>
      <c r="G7" s="39" t="e">
        <f ca="1">IF(G6&gt;0,MATCH(Weekly!O$5,OFFSET('Events and Holidays'!$C$6:$C$1003,G6,0),0)+G6,"")</f>
        <v>#N/A</v>
      </c>
    </row>
    <row r="8" spans="1:7" x14ac:dyDescent="0.25">
      <c r="A8" s="39" t="e">
        <f ca="1">IF(A7&gt;0,MATCH(Weekly!C$5,OFFSET('Events and Holidays'!$C$6:$C$1003,A7,0),0)+A7,"")</f>
        <v>#N/A</v>
      </c>
      <c r="B8" s="39" t="e">
        <f ca="1">IF(B7&gt;0,MATCH(Weekly!E$5,OFFSET('Events and Holidays'!$C$6:$C$1003,B7,0),0)+B7,"")</f>
        <v>#N/A</v>
      </c>
      <c r="C8" s="39" t="e">
        <f ca="1">IF(C7&gt;0,MATCH(Weekly!G$5,OFFSET('Events and Holidays'!$C$6:$C$1003,C7,0),0)+C7,"")</f>
        <v>#N/A</v>
      </c>
      <c r="D8" s="39" t="e">
        <f ca="1">IF(D7&gt;0,MATCH(Weekly!I$5,OFFSET('Events and Holidays'!$C$6:$C$1003,D7,0),0)+D7,"")</f>
        <v>#N/A</v>
      </c>
      <c r="E8" s="39">
        <f ca="1">IF(E7&gt;0,MATCH(Weekly!K$5,OFFSET('Events and Holidays'!$C$6:$C$1003,E7,0),0)+E7,"")</f>
        <v>22</v>
      </c>
      <c r="F8" s="39" t="e">
        <f ca="1">IF(F7&gt;0,MATCH(Weekly!M$5,OFFSET('Events and Holidays'!$C$6:$C$1003,F7,0),0)+F7,"")</f>
        <v>#N/A</v>
      </c>
      <c r="G8" s="39" t="e">
        <f ca="1">IF(G7&gt;0,MATCH(Weekly!O$5,OFFSET('Events and Holidays'!$C$6:$C$1003,G7,0),0)+G7,"")</f>
        <v>#N/A</v>
      </c>
    </row>
    <row r="9" spans="1:7" x14ac:dyDescent="0.25">
      <c r="A9" s="39" t="e">
        <f ca="1">IF(A8&gt;0,MATCH(Weekly!C$5,OFFSET('Events and Holidays'!$C$6:$C$1003,A8,0),0)+A8,"")</f>
        <v>#N/A</v>
      </c>
      <c r="B9" s="39" t="e">
        <f ca="1">IF(B8&gt;0,MATCH(Weekly!E$5,OFFSET('Events and Holidays'!$C$6:$C$1003,B8,0),0)+B8,"")</f>
        <v>#N/A</v>
      </c>
      <c r="C9" s="39" t="e">
        <f ca="1">IF(C8&gt;0,MATCH(Weekly!G$5,OFFSET('Events and Holidays'!$C$6:$C$1003,C8,0),0)+C8,"")</f>
        <v>#N/A</v>
      </c>
      <c r="D9" s="39" t="e">
        <f ca="1">IF(D8&gt;0,MATCH(Weekly!I$5,OFFSET('Events and Holidays'!$C$6:$C$1003,D8,0),0)+D8,"")</f>
        <v>#N/A</v>
      </c>
      <c r="E9" s="39">
        <f ca="1">IF(E8&gt;0,MATCH(Weekly!K$5,OFFSET('Events and Holidays'!$C$6:$C$1003,E8,0),0)+E8,"")</f>
        <v>23</v>
      </c>
      <c r="F9" s="39" t="e">
        <f ca="1">IF(F8&gt;0,MATCH(Weekly!M$5,OFFSET('Events and Holidays'!$C$6:$C$1003,F8,0),0)+F8,"")</f>
        <v>#N/A</v>
      </c>
      <c r="G9" s="39" t="e">
        <f ca="1">IF(G8&gt;0,MATCH(Weekly!O$5,OFFSET('Events and Holidays'!$C$6:$C$1003,G8,0),0)+G8,"")</f>
        <v>#N/A</v>
      </c>
    </row>
    <row r="10" spans="1:7" x14ac:dyDescent="0.25">
      <c r="A10" s="39" t="e">
        <f ca="1">IF(A9&gt;0,MATCH(Weekly!C$5,OFFSET('Events and Holidays'!$C$6:$C$1003,A9,0),0)+A9,"")</f>
        <v>#N/A</v>
      </c>
      <c r="B10" s="39" t="e">
        <f ca="1">IF(B9&gt;0,MATCH(Weekly!E$5,OFFSET('Events and Holidays'!$C$6:$C$1003,B9,0),0)+B9,"")</f>
        <v>#N/A</v>
      </c>
      <c r="C10" s="39" t="e">
        <f ca="1">IF(C9&gt;0,MATCH(Weekly!G$5,OFFSET('Events and Holidays'!$C$6:$C$1003,C9,0),0)+C9,"")</f>
        <v>#N/A</v>
      </c>
      <c r="D10" s="39" t="e">
        <f ca="1">IF(D9&gt;0,MATCH(Weekly!I$5,OFFSET('Events and Holidays'!$C$6:$C$1003,D9,0),0)+D9,"")</f>
        <v>#N/A</v>
      </c>
      <c r="E10" s="39">
        <f ca="1">IF(E9&gt;0,MATCH(Weekly!K$5,OFFSET('Events and Holidays'!$C$6:$C$1003,E9,0),0)+E9,"")</f>
        <v>24</v>
      </c>
      <c r="F10" s="39" t="e">
        <f ca="1">IF(F9&gt;0,MATCH(Weekly!M$5,OFFSET('Events and Holidays'!$C$6:$C$1003,F9,0),0)+F9,"")</f>
        <v>#N/A</v>
      </c>
      <c r="G10" s="39" t="e">
        <f ca="1">IF(G9&gt;0,MATCH(Weekly!O$5,OFFSET('Events and Holidays'!$C$6:$C$1003,G9,0),0)+G9,"")</f>
        <v>#N/A</v>
      </c>
    </row>
    <row r="11" spans="1:7" x14ac:dyDescent="0.25">
      <c r="A11" s="39" t="e">
        <f ca="1">IF(A10&gt;0,MATCH(Weekly!C$5,OFFSET('Events and Holidays'!$C$6:$C$1003,A10,0),0)+A10,"")</f>
        <v>#N/A</v>
      </c>
      <c r="B11" s="39" t="e">
        <f ca="1">IF(B10&gt;0,MATCH(Weekly!E$5,OFFSET('Events and Holidays'!$C$6:$C$1003,B10,0),0)+B10,"")</f>
        <v>#N/A</v>
      </c>
      <c r="C11" s="39" t="e">
        <f ca="1">IF(C10&gt;0,MATCH(Weekly!G$5,OFFSET('Events and Holidays'!$C$6:$C$1003,C10,0),0)+C10,"")</f>
        <v>#N/A</v>
      </c>
      <c r="D11" s="39" t="e">
        <f ca="1">IF(D10&gt;0,MATCH(Weekly!I$5,OFFSET('Events and Holidays'!$C$6:$C$1003,D10,0),0)+D10,"")</f>
        <v>#N/A</v>
      </c>
      <c r="E11" s="39">
        <f ca="1">IF(E10&gt;0,MATCH(Weekly!K$5,OFFSET('Events and Holidays'!$C$6:$C$1003,E10,0),0)+E10,"")</f>
        <v>25</v>
      </c>
      <c r="F11" s="39" t="e">
        <f ca="1">IF(F10&gt;0,MATCH(Weekly!M$5,OFFSET('Events and Holidays'!$C$6:$C$1003,F10,0),0)+F10,"")</f>
        <v>#N/A</v>
      </c>
      <c r="G11" s="39" t="e">
        <f ca="1">IF(G10&gt;0,MATCH(Weekly!O$5,OFFSET('Events and Holidays'!$C$6:$C$1003,G10,0),0)+G10,"")</f>
        <v>#N/A</v>
      </c>
    </row>
    <row r="12" spans="1:7" x14ac:dyDescent="0.25">
      <c r="A12" s="39" t="e">
        <f ca="1">IF(A11&gt;0,MATCH(Weekly!C$5,OFFSET('Events and Holidays'!$C$6:$C$1003,A11,0),0)+A11,"")</f>
        <v>#N/A</v>
      </c>
      <c r="B12" s="39" t="e">
        <f ca="1">IF(B11&gt;0,MATCH(Weekly!E$5,OFFSET('Events and Holidays'!$C$6:$C$1003,B11,0),0)+B11,"")</f>
        <v>#N/A</v>
      </c>
      <c r="C12" s="39" t="e">
        <f ca="1">IF(C11&gt;0,MATCH(Weekly!G$5,OFFSET('Events and Holidays'!$C$6:$C$1003,C11,0),0)+C11,"")</f>
        <v>#N/A</v>
      </c>
      <c r="D12" s="39" t="e">
        <f ca="1">IF(D11&gt;0,MATCH(Weekly!I$5,OFFSET('Events and Holidays'!$C$6:$C$1003,D11,0),0)+D11,"")</f>
        <v>#N/A</v>
      </c>
      <c r="E12" s="39">
        <f ca="1">IF(E11&gt;0,MATCH(Weekly!K$5,OFFSET('Events and Holidays'!$C$6:$C$1003,E11,0),0)+E11,"")</f>
        <v>26</v>
      </c>
      <c r="F12" s="39" t="e">
        <f ca="1">IF(F11&gt;0,MATCH(Weekly!M$5,OFFSET('Events and Holidays'!$C$6:$C$1003,F11,0),0)+F11,"")</f>
        <v>#N/A</v>
      </c>
      <c r="G12" s="39" t="e">
        <f ca="1">IF(G11&gt;0,MATCH(Weekly!O$5,OFFSET('Events and Holidays'!$C$6:$C$1003,G11,0),0)+G11,"")</f>
        <v>#N/A</v>
      </c>
    </row>
    <row r="13" spans="1:7" x14ac:dyDescent="0.25">
      <c r="A13" s="39" t="e">
        <f ca="1">IF(A12&gt;0,MATCH(Weekly!C$5,OFFSET('Events and Holidays'!$C$6:$C$1003,A12,0),0)+A12,"")</f>
        <v>#N/A</v>
      </c>
      <c r="B13" s="39" t="e">
        <f ca="1">IF(B12&gt;0,MATCH(Weekly!E$5,OFFSET('Events and Holidays'!$C$6:$C$1003,B12,0),0)+B12,"")</f>
        <v>#N/A</v>
      </c>
      <c r="C13" s="39" t="e">
        <f ca="1">IF(C12&gt;0,MATCH(Weekly!G$5,OFFSET('Events and Holidays'!$C$6:$C$1003,C12,0),0)+C12,"")</f>
        <v>#N/A</v>
      </c>
      <c r="D13" s="39" t="e">
        <f ca="1">IF(D12&gt;0,MATCH(Weekly!I$5,OFFSET('Events and Holidays'!$C$6:$C$1003,D12,0),0)+D12,"")</f>
        <v>#N/A</v>
      </c>
      <c r="E13" s="39">
        <f ca="1">IF(E12&gt;0,MATCH(Weekly!K$5,OFFSET('Events and Holidays'!$C$6:$C$1003,E12,0),0)+E12,"")</f>
        <v>27</v>
      </c>
      <c r="F13" s="39" t="e">
        <f ca="1">IF(F12&gt;0,MATCH(Weekly!M$5,OFFSET('Events and Holidays'!$C$6:$C$1003,F12,0),0)+F12,"")</f>
        <v>#N/A</v>
      </c>
      <c r="G13" s="39" t="e">
        <f ca="1">IF(G12&gt;0,MATCH(Weekly!O$5,OFFSET('Events and Holidays'!$C$6:$C$1003,G12,0),0)+G12,"")</f>
        <v>#N/A</v>
      </c>
    </row>
    <row r="14" spans="1:7" x14ac:dyDescent="0.25">
      <c r="A14" s="39" t="e">
        <f ca="1">IF(A13&gt;0,MATCH(Weekly!C$5,OFFSET('Events and Holidays'!$C$6:$C$1003,A13,0),0)+A13,"")</f>
        <v>#N/A</v>
      </c>
      <c r="B14" s="39" t="e">
        <f ca="1">IF(B13&gt;0,MATCH(Weekly!E$5,OFFSET('Events and Holidays'!$C$6:$C$1003,B13,0),0)+B13,"")</f>
        <v>#N/A</v>
      </c>
      <c r="C14" s="39" t="e">
        <f ca="1">IF(C13&gt;0,MATCH(Weekly!G$5,OFFSET('Events and Holidays'!$C$6:$C$1003,C13,0),0)+C13,"")</f>
        <v>#N/A</v>
      </c>
      <c r="D14" s="39" t="e">
        <f ca="1">IF(D13&gt;0,MATCH(Weekly!I$5,OFFSET('Events and Holidays'!$C$6:$C$1003,D13,0),0)+D13,"")</f>
        <v>#N/A</v>
      </c>
      <c r="E14" s="39">
        <f ca="1">IF(E13&gt;0,MATCH(Weekly!K$5,OFFSET('Events and Holidays'!$C$6:$C$1003,E13,0),0)+E13,"")</f>
        <v>28</v>
      </c>
      <c r="F14" s="39" t="e">
        <f ca="1">IF(F13&gt;0,MATCH(Weekly!M$5,OFFSET('Events and Holidays'!$C$6:$C$1003,F13,0),0)+F13,"")</f>
        <v>#N/A</v>
      </c>
      <c r="G14" s="39" t="e">
        <f ca="1">IF(G13&gt;0,MATCH(Weekly!O$5,OFFSET('Events and Holidays'!$C$6:$C$1003,G13,0),0)+G13,"")</f>
        <v>#N/A</v>
      </c>
    </row>
    <row r="15" spans="1:7" x14ac:dyDescent="0.25">
      <c r="A15" s="39" t="e">
        <f ca="1">IF(A14&gt;0,MATCH(Weekly!C$5,OFFSET('Events and Holidays'!$C$6:$C$1003,A14,0),0)+A14,"")</f>
        <v>#N/A</v>
      </c>
      <c r="B15" s="39" t="e">
        <f ca="1">IF(B14&gt;0,MATCH(Weekly!E$5,OFFSET('Events and Holidays'!$C$6:$C$1003,B14,0),0)+B14,"")</f>
        <v>#N/A</v>
      </c>
      <c r="C15" s="39" t="e">
        <f ca="1">IF(C14&gt;0,MATCH(Weekly!G$5,OFFSET('Events and Holidays'!$C$6:$C$1003,C14,0),0)+C14,"")</f>
        <v>#N/A</v>
      </c>
      <c r="D15" s="39" t="e">
        <f ca="1">IF(D14&gt;0,MATCH(Weekly!I$5,OFFSET('Events and Holidays'!$C$6:$C$1003,D14,0),0)+D14,"")</f>
        <v>#N/A</v>
      </c>
      <c r="E15" s="39">
        <f ca="1">IF(E14&gt;0,MATCH(Weekly!K$5,OFFSET('Events and Holidays'!$C$6:$C$1003,E14,0),0)+E14,"")</f>
        <v>29</v>
      </c>
      <c r="F15" s="39" t="e">
        <f ca="1">IF(F14&gt;0,MATCH(Weekly!M$5,OFFSET('Events and Holidays'!$C$6:$C$1003,F14,0),0)+F14,"")</f>
        <v>#N/A</v>
      </c>
      <c r="G15" s="39" t="e">
        <f ca="1">IF(G14&gt;0,MATCH(Weekly!O$5,OFFSET('Events and Holidays'!$C$6:$C$1003,G14,0),0)+G14,"")</f>
        <v>#N/A</v>
      </c>
    </row>
    <row r="16" spans="1:7" x14ac:dyDescent="0.25">
      <c r="A16" s="39" t="e">
        <f ca="1">IF(A15&gt;0,MATCH(Weekly!C$5,OFFSET('Events and Holidays'!$C$6:$C$1003,A15,0),0)+A15,"")</f>
        <v>#N/A</v>
      </c>
      <c r="B16" s="39" t="e">
        <f ca="1">IF(B15&gt;0,MATCH(Weekly!E$5,OFFSET('Events and Holidays'!$C$6:$C$1003,B15,0),0)+B15,"")</f>
        <v>#N/A</v>
      </c>
      <c r="C16" s="39" t="e">
        <f ca="1">IF(C15&gt;0,MATCH(Weekly!G$5,OFFSET('Events and Holidays'!$C$6:$C$1003,C15,0),0)+C15,"")</f>
        <v>#N/A</v>
      </c>
      <c r="D16" s="39" t="e">
        <f ca="1">IF(D15&gt;0,MATCH(Weekly!I$5,OFFSET('Events and Holidays'!$C$6:$C$1003,D15,0),0)+D15,"")</f>
        <v>#N/A</v>
      </c>
      <c r="E16" s="39" t="e">
        <f ca="1">IF(E15&gt;0,MATCH(Weekly!K$5,OFFSET('Events and Holidays'!$C$6:$C$1003,E15,0),0)+E15,"")</f>
        <v>#N/A</v>
      </c>
      <c r="F16" s="39" t="e">
        <f ca="1">IF(F15&gt;0,MATCH(Weekly!M$5,OFFSET('Events and Holidays'!$C$6:$C$1003,F15,0),0)+F15,"")</f>
        <v>#N/A</v>
      </c>
      <c r="G16" s="39" t="e">
        <f ca="1">IF(G15&gt;0,MATCH(Weekly!O$5,OFFSET('Events and Holidays'!$C$6:$C$1003,G15,0),0)+G15,"")</f>
        <v>#N/A</v>
      </c>
    </row>
    <row r="17" spans="1:7" x14ac:dyDescent="0.25">
      <c r="A17" s="39" t="e">
        <f ca="1">IF(A16&gt;0,MATCH(Weekly!C$5,OFFSET('Events and Holidays'!$C$6:$C$1003,A16,0),0)+A16,"")</f>
        <v>#N/A</v>
      </c>
      <c r="B17" s="39" t="e">
        <f ca="1">IF(B16&gt;0,MATCH(Weekly!E$5,OFFSET('Events and Holidays'!$C$6:$C$1003,B16,0),0)+B16,"")</f>
        <v>#N/A</v>
      </c>
      <c r="C17" s="39" t="e">
        <f ca="1">IF(C16&gt;0,MATCH(Weekly!G$5,OFFSET('Events and Holidays'!$C$6:$C$1003,C16,0),0)+C16,"")</f>
        <v>#N/A</v>
      </c>
      <c r="D17" s="39" t="e">
        <f ca="1">IF(D16&gt;0,MATCH(Weekly!I$5,OFFSET('Events and Holidays'!$C$6:$C$1003,D16,0),0)+D16,"")</f>
        <v>#N/A</v>
      </c>
      <c r="E17" s="39" t="e">
        <f ca="1">IF(E16&gt;0,MATCH(Weekly!K$5,OFFSET('Events and Holidays'!$C$6:$C$1003,E16,0),0)+E16,"")</f>
        <v>#N/A</v>
      </c>
      <c r="F17" s="39" t="e">
        <f ca="1">IF(F16&gt;0,MATCH(Weekly!M$5,OFFSET('Events and Holidays'!$C$6:$C$1003,F16,0),0)+F16,"")</f>
        <v>#N/A</v>
      </c>
      <c r="G17" s="39" t="e">
        <f ca="1">IF(G16&gt;0,MATCH(Weekly!O$5,OFFSET('Events and Holidays'!$C$6:$C$1003,G16,0),0)+G16,"")</f>
        <v>#N/A</v>
      </c>
    </row>
    <row r="18" spans="1:7" x14ac:dyDescent="0.25">
      <c r="A18" s="39" t="e">
        <f ca="1">IF(A17&gt;0,MATCH(Weekly!C$5,OFFSET('Events and Holidays'!$C$6:$C$1003,A17,0),0)+A17,"")</f>
        <v>#N/A</v>
      </c>
      <c r="B18" s="39" t="e">
        <f ca="1">IF(B17&gt;0,MATCH(Weekly!E$5,OFFSET('Events and Holidays'!$C$6:$C$1003,B17,0),0)+B17,"")</f>
        <v>#N/A</v>
      </c>
      <c r="C18" s="39" t="e">
        <f ca="1">IF(C17&gt;0,MATCH(Weekly!G$5,OFFSET('Events and Holidays'!$C$6:$C$1003,C17,0),0)+C17,"")</f>
        <v>#N/A</v>
      </c>
      <c r="D18" s="39" t="e">
        <f ca="1">IF(D17&gt;0,MATCH(Weekly!I$5,OFFSET('Events and Holidays'!$C$6:$C$1003,D17,0),0)+D17,"")</f>
        <v>#N/A</v>
      </c>
      <c r="E18" s="39" t="e">
        <f ca="1">IF(E17&gt;0,MATCH(Weekly!K$5,OFFSET('Events and Holidays'!$C$6:$C$1003,E17,0),0)+E17,"")</f>
        <v>#N/A</v>
      </c>
      <c r="F18" s="39" t="e">
        <f ca="1">IF(F17&gt;0,MATCH(Weekly!M$5,OFFSET('Events and Holidays'!$C$6:$C$1003,F17,0),0)+F17,"")</f>
        <v>#N/A</v>
      </c>
      <c r="G18" s="39" t="e">
        <f ca="1">IF(G17&gt;0,MATCH(Weekly!O$5,OFFSET('Events and Holidays'!$C$6:$C$1003,G17,0),0)+G17,"")</f>
        <v>#N/A</v>
      </c>
    </row>
    <row r="19" spans="1:7" x14ac:dyDescent="0.25">
      <c r="A19" s="39" t="e">
        <f ca="1">IF(A18&gt;0,MATCH(Weekly!C$5,OFFSET('Events and Holidays'!$C$6:$C$1003,A18,0),0)+A18,"")</f>
        <v>#N/A</v>
      </c>
      <c r="B19" s="39" t="e">
        <f ca="1">IF(B18&gt;0,MATCH(Weekly!E$5,OFFSET('Events and Holidays'!$C$6:$C$1003,B18,0),0)+B18,"")</f>
        <v>#N/A</v>
      </c>
      <c r="C19" s="39" t="e">
        <f ca="1">IF(C18&gt;0,MATCH(Weekly!G$5,OFFSET('Events and Holidays'!$C$6:$C$1003,C18,0),0)+C18,"")</f>
        <v>#N/A</v>
      </c>
      <c r="D19" s="39" t="e">
        <f ca="1">IF(D18&gt;0,MATCH(Weekly!I$5,OFFSET('Events and Holidays'!$C$6:$C$1003,D18,0),0)+D18,"")</f>
        <v>#N/A</v>
      </c>
      <c r="E19" s="39" t="e">
        <f ca="1">IF(E18&gt;0,MATCH(Weekly!K$5,OFFSET('Events and Holidays'!$C$6:$C$1003,E18,0),0)+E18,"")</f>
        <v>#N/A</v>
      </c>
      <c r="F19" s="39" t="e">
        <f ca="1">IF(F18&gt;0,MATCH(Weekly!M$5,OFFSET('Events and Holidays'!$C$6:$C$1003,F18,0),0)+F18,"")</f>
        <v>#N/A</v>
      </c>
      <c r="G19" s="39" t="e">
        <f ca="1">IF(G18&gt;0,MATCH(Weekly!O$5,OFFSET('Events and Holidays'!$C$6:$C$1003,G18,0),0)+G18,"")</f>
        <v>#N/A</v>
      </c>
    </row>
    <row r="20" spans="1:7" x14ac:dyDescent="0.25">
      <c r="A20" s="39" t="e">
        <f ca="1">IF(A19&gt;0,MATCH(Weekly!C$5,OFFSET('Events and Holidays'!$C$6:$C$1003,A19,0),0)+A19,"")</f>
        <v>#N/A</v>
      </c>
      <c r="B20" s="39" t="e">
        <f ca="1">IF(B19&gt;0,MATCH(Weekly!E$5,OFFSET('Events and Holidays'!$C$6:$C$1003,B19,0),0)+B19,"")</f>
        <v>#N/A</v>
      </c>
      <c r="C20" s="39" t="e">
        <f ca="1">IF(C19&gt;0,MATCH(Weekly!G$5,OFFSET('Events and Holidays'!$C$6:$C$1003,C19,0),0)+C19,"")</f>
        <v>#N/A</v>
      </c>
      <c r="D20" s="39" t="e">
        <f ca="1">IF(D19&gt;0,MATCH(Weekly!I$5,OFFSET('Events and Holidays'!$C$6:$C$1003,D19,0),0)+D19,"")</f>
        <v>#N/A</v>
      </c>
      <c r="E20" s="39" t="e">
        <f ca="1">IF(E19&gt;0,MATCH(Weekly!K$5,OFFSET('Events and Holidays'!$C$6:$C$1003,E19,0),0)+E19,"")</f>
        <v>#N/A</v>
      </c>
      <c r="F20" s="39" t="e">
        <f ca="1">IF(F19&gt;0,MATCH(Weekly!M$5,OFFSET('Events and Holidays'!$C$6:$C$1003,F19,0),0)+F19,"")</f>
        <v>#N/A</v>
      </c>
      <c r="G20" s="39" t="e">
        <f ca="1">IF(G19&gt;0,MATCH(Weekly!O$5,OFFSET('Events and Holidays'!$C$6:$C$1003,G19,0),0)+G19,"")</f>
        <v>#N/A</v>
      </c>
    </row>
    <row r="21" spans="1:7" x14ac:dyDescent="0.25">
      <c r="A21" s="39" t="e">
        <f ca="1">IF(A20&gt;0,MATCH(Weekly!C$5,OFFSET('Events and Holidays'!$C$6:$C$1003,A20,0),0)+A20,"")</f>
        <v>#N/A</v>
      </c>
      <c r="B21" s="39" t="e">
        <f ca="1">IF(B20&gt;0,MATCH(Weekly!E$5,OFFSET('Events and Holidays'!$C$6:$C$1003,B20,0),0)+B20,"")</f>
        <v>#N/A</v>
      </c>
      <c r="C21" s="39" t="e">
        <f ca="1">IF(C20&gt;0,MATCH(Weekly!G$5,OFFSET('Events and Holidays'!$C$6:$C$1003,C20,0),0)+C20,"")</f>
        <v>#N/A</v>
      </c>
      <c r="D21" s="39" t="e">
        <f ca="1">IF(D20&gt;0,MATCH(Weekly!I$5,OFFSET('Events and Holidays'!$C$6:$C$1003,D20,0),0)+D20,"")</f>
        <v>#N/A</v>
      </c>
      <c r="E21" s="39" t="e">
        <f ca="1">IF(E20&gt;0,MATCH(Weekly!K$5,OFFSET('Events and Holidays'!$C$6:$C$1003,E20,0),0)+E20,"")</f>
        <v>#N/A</v>
      </c>
      <c r="F21" s="39" t="e">
        <f ca="1">IF(F20&gt;0,MATCH(Weekly!M$5,OFFSET('Events and Holidays'!$C$6:$C$1003,F20,0),0)+F20,"")</f>
        <v>#N/A</v>
      </c>
      <c r="G21" s="39" t="e">
        <f ca="1">IF(G20&gt;0,MATCH(Weekly!O$5,OFFSET('Events and Holidays'!$C$6:$C$1003,G20,0),0)+G20,"")</f>
        <v>#N/A</v>
      </c>
    </row>
  </sheetData>
  <sheetProtection password="CE6F" sheet="1" objects="1" scenarios="1" selectLockedCells="1" selectUnlockedCells="1"/>
  <phoneticPr fontId="19" type="noConversion"/>
  <dataValidations count="1">
    <dataValidation type="list" allowBlank="1" showDropDown="1" showInputMessage="1" showErrorMessage="1" sqref="B1">
      <formula1>"1,2,3,4,5,6,7,8,9,10,11,12"</formula1>
    </dataValidation>
  </dataValidation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V1014"/>
  <sheetViews>
    <sheetView showGridLines="0" tabSelected="1" workbookViewId="0">
      <selection activeCell="D2" sqref="D2:E2"/>
    </sheetView>
  </sheetViews>
  <sheetFormatPr defaultColWidth="0" defaultRowHeight="14.4" zeroHeight="1" x14ac:dyDescent="0.25"/>
  <cols>
    <col min="1" max="1" width="4.6640625" style="2" customWidth="1"/>
    <col min="2" max="2" width="4.6640625" style="1" customWidth="1"/>
    <col min="3" max="3" width="10.6640625" style="1" customWidth="1"/>
    <col min="4" max="4" width="10.6640625" style="3" customWidth="1"/>
    <col min="5" max="5" width="30.6640625" style="2" customWidth="1"/>
    <col min="6" max="6" width="4.6640625" style="2" customWidth="1"/>
    <col min="7" max="7" width="4.6640625" style="1" customWidth="1"/>
    <col min="8" max="8" width="10.6640625" style="2" customWidth="1"/>
    <col min="9" max="9" width="30.6640625" style="2" customWidth="1"/>
    <col min="10" max="10" width="4.6640625" style="2" customWidth="1"/>
    <col min="11" max="256" width="0" style="2" hidden="1" customWidth="1"/>
    <col min="257" max="16384" width="9.109375" style="2" hidden="1"/>
  </cols>
  <sheetData>
    <row r="1" spans="2:9" x14ac:dyDescent="0.25"/>
    <row r="2" spans="2:9" x14ac:dyDescent="0.25">
      <c r="B2" s="22" t="s">
        <v>8</v>
      </c>
      <c r="C2" s="23"/>
      <c r="D2" s="56">
        <v>44196</v>
      </c>
      <c r="E2" s="57"/>
      <c r="G2" s="24" t="s">
        <v>52</v>
      </c>
    </row>
    <row r="3" spans="2:9" x14ac:dyDescent="0.25"/>
    <row r="4" spans="2:9" x14ac:dyDescent="0.25">
      <c r="B4" s="55" t="s">
        <v>2</v>
      </c>
      <c r="C4" s="55"/>
      <c r="D4" s="55"/>
      <c r="E4" s="55"/>
      <c r="G4" s="54" t="s">
        <v>7</v>
      </c>
      <c r="H4" s="54"/>
      <c r="I4" s="54"/>
    </row>
    <row r="5" spans="2:9" x14ac:dyDescent="0.25">
      <c r="B5" s="4" t="s">
        <v>3</v>
      </c>
      <c r="C5" s="4" t="s">
        <v>4</v>
      </c>
      <c r="D5" s="5" t="s">
        <v>5</v>
      </c>
      <c r="E5" s="6" t="s">
        <v>6</v>
      </c>
      <c r="G5" s="15" t="s">
        <v>3</v>
      </c>
      <c r="H5" s="15" t="s">
        <v>4</v>
      </c>
      <c r="I5" s="16" t="s">
        <v>6</v>
      </c>
    </row>
    <row r="6" spans="2:9" x14ac:dyDescent="0.25">
      <c r="B6" s="7">
        <v>1</v>
      </c>
      <c r="C6" s="8">
        <v>44198</v>
      </c>
      <c r="D6" s="9">
        <v>0.54166666666666663</v>
      </c>
      <c r="E6" s="10" t="s">
        <v>1</v>
      </c>
      <c r="G6" s="17">
        <v>1</v>
      </c>
      <c r="H6" s="18">
        <v>44197</v>
      </c>
      <c r="I6" s="19" t="s">
        <v>40</v>
      </c>
    </row>
    <row r="7" spans="2:9" x14ac:dyDescent="0.25">
      <c r="B7" s="7">
        <v>2</v>
      </c>
      <c r="C7" s="8">
        <v>44199</v>
      </c>
      <c r="D7" s="9">
        <v>0.70833333333333337</v>
      </c>
      <c r="E7" s="10" t="s">
        <v>10</v>
      </c>
      <c r="G7" s="17">
        <v>2</v>
      </c>
      <c r="H7" s="18">
        <v>44202</v>
      </c>
      <c r="I7" s="19" t="s">
        <v>41</v>
      </c>
    </row>
    <row r="8" spans="2:9" x14ac:dyDescent="0.25">
      <c r="B8" s="7">
        <v>3</v>
      </c>
      <c r="C8" s="8">
        <v>44201</v>
      </c>
      <c r="D8" s="9">
        <v>0.79166666666666663</v>
      </c>
      <c r="E8" s="10" t="s">
        <v>11</v>
      </c>
      <c r="G8" s="17">
        <v>3</v>
      </c>
      <c r="H8" s="18">
        <v>44207</v>
      </c>
      <c r="I8" s="19" t="s">
        <v>42</v>
      </c>
    </row>
    <row r="9" spans="2:9" x14ac:dyDescent="0.25">
      <c r="B9" s="7">
        <v>4</v>
      </c>
      <c r="C9" s="8">
        <v>44203</v>
      </c>
      <c r="D9" s="9"/>
      <c r="E9" s="10" t="s">
        <v>12</v>
      </c>
      <c r="G9" s="17">
        <v>4</v>
      </c>
      <c r="H9" s="18">
        <v>44208</v>
      </c>
      <c r="I9" s="19" t="s">
        <v>43</v>
      </c>
    </row>
    <row r="10" spans="2:9" x14ac:dyDescent="0.25">
      <c r="B10" s="7">
        <v>5</v>
      </c>
      <c r="C10" s="8">
        <v>44204</v>
      </c>
      <c r="D10" s="9"/>
      <c r="E10" s="10" t="s">
        <v>13</v>
      </c>
      <c r="G10" s="17">
        <v>5</v>
      </c>
      <c r="H10" s="18">
        <v>44212</v>
      </c>
      <c r="I10" s="19" t="s">
        <v>44</v>
      </c>
    </row>
    <row r="11" spans="2:9" x14ac:dyDescent="0.25">
      <c r="B11" s="7">
        <v>6</v>
      </c>
      <c r="C11" s="8">
        <v>44204</v>
      </c>
      <c r="D11" s="9"/>
      <c r="E11" s="10" t="s">
        <v>14</v>
      </c>
      <c r="G11" s="17">
        <v>6</v>
      </c>
      <c r="H11" s="18">
        <v>44214</v>
      </c>
      <c r="I11" s="19" t="s">
        <v>45</v>
      </c>
    </row>
    <row r="12" spans="2:9" x14ac:dyDescent="0.25">
      <c r="B12" s="7">
        <v>7</v>
      </c>
      <c r="C12" s="8">
        <v>44205</v>
      </c>
      <c r="D12" s="9"/>
      <c r="E12" s="10" t="s">
        <v>15</v>
      </c>
      <c r="G12" s="17">
        <v>7</v>
      </c>
      <c r="H12" s="18">
        <v>44215</v>
      </c>
      <c r="I12" s="19" t="s">
        <v>46</v>
      </c>
    </row>
    <row r="13" spans="2:9" x14ac:dyDescent="0.25">
      <c r="B13" s="7">
        <v>8</v>
      </c>
      <c r="C13" s="8">
        <v>44206</v>
      </c>
      <c r="D13" s="9"/>
      <c r="E13" s="10" t="s">
        <v>16</v>
      </c>
      <c r="G13" s="17">
        <v>8</v>
      </c>
      <c r="H13" s="18">
        <v>44218</v>
      </c>
      <c r="I13" s="19" t="s">
        <v>47</v>
      </c>
    </row>
    <row r="14" spans="2:9" x14ac:dyDescent="0.25">
      <c r="B14" s="7">
        <v>9</v>
      </c>
      <c r="C14" s="8">
        <v>44207</v>
      </c>
      <c r="D14" s="9"/>
      <c r="E14" s="10" t="s">
        <v>17</v>
      </c>
      <c r="G14" s="17">
        <v>9</v>
      </c>
      <c r="H14" s="18">
        <v>44220</v>
      </c>
      <c r="I14" s="19" t="s">
        <v>48</v>
      </c>
    </row>
    <row r="15" spans="2:9" x14ac:dyDescent="0.25">
      <c r="B15" s="7">
        <v>10</v>
      </c>
      <c r="C15" s="8">
        <v>44209</v>
      </c>
      <c r="D15" s="9"/>
      <c r="E15" s="10" t="s">
        <v>18</v>
      </c>
      <c r="G15" s="17">
        <v>10</v>
      </c>
      <c r="H15" s="18">
        <v>44221</v>
      </c>
      <c r="I15" s="19" t="s">
        <v>49</v>
      </c>
    </row>
    <row r="16" spans="2:9" x14ac:dyDescent="0.25">
      <c r="B16" s="7">
        <v>11</v>
      </c>
      <c r="C16" s="8">
        <v>44211</v>
      </c>
      <c r="D16" s="11"/>
      <c r="E16" s="10" t="s">
        <v>19</v>
      </c>
      <c r="G16" s="17">
        <v>11</v>
      </c>
      <c r="H16" s="18"/>
      <c r="I16" s="19"/>
    </row>
    <row r="17" spans="2:9" x14ac:dyDescent="0.25">
      <c r="B17" s="7">
        <v>12</v>
      </c>
      <c r="C17" s="8">
        <v>44211</v>
      </c>
      <c r="D17" s="11"/>
      <c r="E17" s="10" t="s">
        <v>20</v>
      </c>
      <c r="G17" s="17">
        <v>12</v>
      </c>
      <c r="H17" s="18"/>
      <c r="I17" s="19"/>
    </row>
    <row r="18" spans="2:9" x14ac:dyDescent="0.25">
      <c r="B18" s="7">
        <v>13</v>
      </c>
      <c r="C18" s="8">
        <v>44211</v>
      </c>
      <c r="D18" s="9"/>
      <c r="E18" s="10" t="s">
        <v>21</v>
      </c>
      <c r="G18" s="17">
        <v>13</v>
      </c>
      <c r="H18" s="18"/>
      <c r="I18" s="19"/>
    </row>
    <row r="19" spans="2:9" x14ac:dyDescent="0.25">
      <c r="B19" s="7">
        <v>14</v>
      </c>
      <c r="C19" s="8">
        <v>44211</v>
      </c>
      <c r="D19" s="9"/>
      <c r="E19" s="10" t="s">
        <v>22</v>
      </c>
      <c r="G19" s="17">
        <v>14</v>
      </c>
      <c r="H19" s="18"/>
      <c r="I19" s="19"/>
    </row>
    <row r="20" spans="2:9" x14ac:dyDescent="0.25">
      <c r="B20" s="7">
        <v>15</v>
      </c>
      <c r="C20" s="8">
        <v>44213</v>
      </c>
      <c r="D20" s="9"/>
      <c r="E20" s="10" t="s">
        <v>23</v>
      </c>
      <c r="G20" s="17">
        <v>15</v>
      </c>
      <c r="H20" s="18"/>
      <c r="I20" s="19"/>
    </row>
    <row r="21" spans="2:9" x14ac:dyDescent="0.25">
      <c r="B21" s="7">
        <v>16</v>
      </c>
      <c r="C21" s="8">
        <v>44200</v>
      </c>
      <c r="D21" s="9"/>
      <c r="E21" s="10" t="s">
        <v>24</v>
      </c>
      <c r="G21" s="17">
        <v>16</v>
      </c>
      <c r="H21" s="18"/>
      <c r="I21" s="19"/>
    </row>
    <row r="22" spans="2:9" x14ac:dyDescent="0.25">
      <c r="B22" s="7">
        <v>17</v>
      </c>
      <c r="C22" s="8">
        <v>44200</v>
      </c>
      <c r="D22" s="9"/>
      <c r="E22" s="10" t="s">
        <v>25</v>
      </c>
      <c r="G22" s="17">
        <v>17</v>
      </c>
      <c r="H22" s="18"/>
      <c r="I22" s="19"/>
    </row>
    <row r="23" spans="2:9" x14ac:dyDescent="0.25">
      <c r="B23" s="7">
        <v>18</v>
      </c>
      <c r="C23" s="8">
        <v>44200</v>
      </c>
      <c r="D23" s="9"/>
      <c r="E23" s="10" t="s">
        <v>26</v>
      </c>
      <c r="G23" s="17">
        <v>18</v>
      </c>
      <c r="H23" s="18"/>
      <c r="I23" s="19"/>
    </row>
    <row r="24" spans="2:9" x14ac:dyDescent="0.25">
      <c r="B24" s="7">
        <v>19</v>
      </c>
      <c r="C24" s="8">
        <v>44200</v>
      </c>
      <c r="D24" s="9"/>
      <c r="E24" s="10" t="s">
        <v>27</v>
      </c>
      <c r="G24" s="17">
        <v>19</v>
      </c>
      <c r="H24" s="18"/>
      <c r="I24" s="19"/>
    </row>
    <row r="25" spans="2:9" x14ac:dyDescent="0.25">
      <c r="B25" s="7">
        <v>20</v>
      </c>
      <c r="C25" s="8">
        <v>44200</v>
      </c>
      <c r="D25" s="9"/>
      <c r="E25" s="10" t="s">
        <v>28</v>
      </c>
      <c r="G25" s="17">
        <v>20</v>
      </c>
      <c r="H25" s="20"/>
      <c r="I25" s="21"/>
    </row>
    <row r="26" spans="2:9" x14ac:dyDescent="0.25">
      <c r="B26" s="7">
        <v>21</v>
      </c>
      <c r="C26" s="8">
        <v>44200</v>
      </c>
      <c r="D26" s="13"/>
      <c r="E26" s="10" t="s">
        <v>29</v>
      </c>
      <c r="G26" s="17">
        <v>21</v>
      </c>
      <c r="H26" s="20"/>
      <c r="I26" s="21"/>
    </row>
    <row r="27" spans="2:9" x14ac:dyDescent="0.25">
      <c r="B27" s="7">
        <v>22</v>
      </c>
      <c r="C27" s="8">
        <v>44200</v>
      </c>
      <c r="D27" s="13"/>
      <c r="E27" s="10" t="s">
        <v>30</v>
      </c>
      <c r="G27" s="17">
        <v>22</v>
      </c>
      <c r="H27" s="18"/>
      <c r="I27" s="19"/>
    </row>
    <row r="28" spans="2:9" x14ac:dyDescent="0.25">
      <c r="B28" s="7">
        <v>23</v>
      </c>
      <c r="C28" s="8">
        <v>44200</v>
      </c>
      <c r="D28" s="13"/>
      <c r="E28" s="10" t="s">
        <v>31</v>
      </c>
      <c r="G28" s="17">
        <v>23</v>
      </c>
      <c r="H28" s="18"/>
      <c r="I28" s="19"/>
    </row>
    <row r="29" spans="2:9" x14ac:dyDescent="0.25">
      <c r="B29" s="7">
        <v>24</v>
      </c>
      <c r="C29" s="8">
        <v>44200</v>
      </c>
      <c r="D29" s="13"/>
      <c r="E29" s="10" t="s">
        <v>32</v>
      </c>
      <c r="G29" s="17">
        <v>24</v>
      </c>
      <c r="H29" s="18"/>
      <c r="I29" s="19"/>
    </row>
    <row r="30" spans="2:9" x14ac:dyDescent="0.25">
      <c r="B30" s="7">
        <v>25</v>
      </c>
      <c r="C30" s="8">
        <v>44200</v>
      </c>
      <c r="D30" s="13"/>
      <c r="E30" s="10" t="s">
        <v>33</v>
      </c>
      <c r="G30" s="17">
        <v>25</v>
      </c>
      <c r="H30" s="18"/>
      <c r="I30" s="19"/>
    </row>
    <row r="31" spans="2:9" x14ac:dyDescent="0.25">
      <c r="B31" s="7">
        <v>26</v>
      </c>
      <c r="C31" s="8">
        <v>44200</v>
      </c>
      <c r="D31" s="13"/>
      <c r="E31" s="10" t="s">
        <v>34</v>
      </c>
      <c r="G31" s="17">
        <v>26</v>
      </c>
      <c r="H31" s="18"/>
      <c r="I31" s="19"/>
    </row>
    <row r="32" spans="2:9" x14ac:dyDescent="0.25">
      <c r="B32" s="7">
        <v>27</v>
      </c>
      <c r="C32" s="8">
        <v>44200</v>
      </c>
      <c r="D32" s="13"/>
      <c r="E32" s="10" t="s">
        <v>35</v>
      </c>
      <c r="G32" s="17">
        <v>27</v>
      </c>
      <c r="H32" s="18"/>
      <c r="I32" s="19"/>
    </row>
    <row r="33" spans="2:9" x14ac:dyDescent="0.25">
      <c r="B33" s="7">
        <v>28</v>
      </c>
      <c r="C33" s="8">
        <v>44200</v>
      </c>
      <c r="D33" s="13"/>
      <c r="E33" s="10" t="s">
        <v>36</v>
      </c>
      <c r="G33" s="17">
        <v>28</v>
      </c>
      <c r="H33" s="18"/>
      <c r="I33" s="19"/>
    </row>
    <row r="34" spans="2:9" x14ac:dyDescent="0.25">
      <c r="B34" s="7">
        <v>29</v>
      </c>
      <c r="C34" s="8">
        <v>44200</v>
      </c>
      <c r="D34" s="13"/>
      <c r="E34" s="10" t="s">
        <v>37</v>
      </c>
      <c r="G34" s="17">
        <v>29</v>
      </c>
      <c r="H34" s="18"/>
      <c r="I34" s="19"/>
    </row>
    <row r="35" spans="2:9" x14ac:dyDescent="0.25">
      <c r="B35" s="7">
        <v>30</v>
      </c>
      <c r="C35" s="8">
        <v>44203</v>
      </c>
      <c r="D35" s="13"/>
      <c r="E35" s="10" t="s">
        <v>38</v>
      </c>
      <c r="G35" s="17">
        <v>30</v>
      </c>
      <c r="H35" s="18"/>
      <c r="I35" s="19"/>
    </row>
    <row r="36" spans="2:9" x14ac:dyDescent="0.25">
      <c r="B36" s="7">
        <v>31</v>
      </c>
      <c r="C36" s="8">
        <v>44204</v>
      </c>
      <c r="D36" s="13"/>
      <c r="E36" s="10" t="s">
        <v>39</v>
      </c>
    </row>
    <row r="37" spans="2:9" x14ac:dyDescent="0.25">
      <c r="B37" s="7">
        <v>32</v>
      </c>
      <c r="C37" s="8"/>
      <c r="D37" s="13"/>
      <c r="E37" s="10"/>
    </row>
    <row r="38" spans="2:9" x14ac:dyDescent="0.25">
      <c r="B38" s="7">
        <v>33</v>
      </c>
      <c r="C38" s="8"/>
      <c r="D38" s="13"/>
      <c r="E38" s="10"/>
    </row>
    <row r="39" spans="2:9" x14ac:dyDescent="0.25">
      <c r="B39" s="7">
        <v>34</v>
      </c>
      <c r="C39" s="8"/>
      <c r="D39" s="13"/>
      <c r="E39" s="10"/>
    </row>
    <row r="40" spans="2:9" x14ac:dyDescent="0.25">
      <c r="B40" s="7">
        <v>35</v>
      </c>
      <c r="C40" s="8"/>
      <c r="D40" s="13"/>
      <c r="E40" s="10"/>
    </row>
    <row r="41" spans="2:9" x14ac:dyDescent="0.25">
      <c r="B41" s="7">
        <v>36</v>
      </c>
      <c r="C41" s="8"/>
      <c r="D41" s="13"/>
      <c r="E41" s="10"/>
    </row>
    <row r="42" spans="2:9" x14ac:dyDescent="0.25">
      <c r="B42" s="7">
        <v>37</v>
      </c>
      <c r="C42" s="8"/>
      <c r="D42" s="13"/>
      <c r="E42" s="10"/>
    </row>
    <row r="43" spans="2:9" x14ac:dyDescent="0.25">
      <c r="B43" s="7">
        <v>38</v>
      </c>
      <c r="C43" s="8"/>
      <c r="D43" s="13"/>
      <c r="E43" s="10"/>
    </row>
    <row r="44" spans="2:9" x14ac:dyDescent="0.25">
      <c r="B44" s="7">
        <v>39</v>
      </c>
      <c r="C44" s="8"/>
      <c r="D44" s="13"/>
      <c r="E44" s="10"/>
    </row>
    <row r="45" spans="2:9" x14ac:dyDescent="0.25">
      <c r="B45" s="7">
        <v>40</v>
      </c>
      <c r="C45" s="8"/>
      <c r="D45" s="13"/>
      <c r="E45" s="10"/>
    </row>
    <row r="46" spans="2:9" x14ac:dyDescent="0.25">
      <c r="B46" s="7">
        <v>41</v>
      </c>
      <c r="C46" s="8"/>
      <c r="D46" s="13"/>
      <c r="E46" s="10"/>
    </row>
    <row r="47" spans="2:9" x14ac:dyDescent="0.25">
      <c r="B47" s="7">
        <v>42</v>
      </c>
      <c r="C47" s="8"/>
      <c r="D47" s="13"/>
      <c r="E47" s="10"/>
    </row>
    <row r="48" spans="2:9" x14ac:dyDescent="0.25">
      <c r="B48" s="7">
        <v>43</v>
      </c>
      <c r="C48" s="8"/>
      <c r="D48" s="13"/>
      <c r="E48" s="10"/>
    </row>
    <row r="49" spans="2:5" x14ac:dyDescent="0.25">
      <c r="B49" s="7">
        <v>44</v>
      </c>
      <c r="C49" s="8"/>
      <c r="D49" s="13"/>
      <c r="E49" s="10"/>
    </row>
    <row r="50" spans="2:5" x14ac:dyDescent="0.25">
      <c r="B50" s="7">
        <v>45</v>
      </c>
      <c r="C50" s="8"/>
      <c r="D50" s="13"/>
      <c r="E50" s="10"/>
    </row>
    <row r="51" spans="2:5" x14ac:dyDescent="0.25">
      <c r="B51" s="7">
        <v>46</v>
      </c>
      <c r="C51" s="8"/>
      <c r="D51" s="13"/>
      <c r="E51" s="10"/>
    </row>
    <row r="52" spans="2:5" x14ac:dyDescent="0.25">
      <c r="B52" s="7">
        <v>47</v>
      </c>
      <c r="C52" s="8"/>
      <c r="D52" s="13"/>
      <c r="E52" s="10"/>
    </row>
    <row r="53" spans="2:5" x14ac:dyDescent="0.25">
      <c r="B53" s="7">
        <v>48</v>
      </c>
      <c r="C53" s="8"/>
      <c r="D53" s="13"/>
      <c r="E53" s="10"/>
    </row>
    <row r="54" spans="2:5" x14ac:dyDescent="0.25">
      <c r="B54" s="7">
        <v>49</v>
      </c>
      <c r="C54" s="8"/>
      <c r="D54" s="13"/>
      <c r="E54" s="10"/>
    </row>
    <row r="55" spans="2:5" x14ac:dyDescent="0.25">
      <c r="B55" s="7">
        <v>50</v>
      </c>
      <c r="C55" s="8"/>
      <c r="D55" s="13"/>
      <c r="E55" s="10"/>
    </row>
    <row r="56" spans="2:5" x14ac:dyDescent="0.25">
      <c r="B56" s="7">
        <v>51</v>
      </c>
      <c r="C56" s="8"/>
      <c r="D56" s="13"/>
      <c r="E56" s="10"/>
    </row>
    <row r="57" spans="2:5" x14ac:dyDescent="0.25">
      <c r="B57" s="7">
        <v>52</v>
      </c>
      <c r="C57" s="8"/>
      <c r="D57" s="13"/>
      <c r="E57" s="10"/>
    </row>
    <row r="58" spans="2:5" x14ac:dyDescent="0.25">
      <c r="B58" s="7">
        <v>53</v>
      </c>
      <c r="C58" s="8"/>
      <c r="D58" s="13"/>
      <c r="E58" s="10"/>
    </row>
    <row r="59" spans="2:5" x14ac:dyDescent="0.25">
      <c r="B59" s="7">
        <v>54</v>
      </c>
      <c r="C59" s="8"/>
      <c r="D59" s="13"/>
      <c r="E59" s="10"/>
    </row>
    <row r="60" spans="2:5" x14ac:dyDescent="0.25">
      <c r="B60" s="7">
        <v>55</v>
      </c>
      <c r="C60" s="8"/>
      <c r="D60" s="13"/>
      <c r="E60" s="10"/>
    </row>
    <row r="61" spans="2:5" x14ac:dyDescent="0.25">
      <c r="B61" s="7">
        <v>56</v>
      </c>
      <c r="C61" s="8"/>
      <c r="D61" s="13"/>
      <c r="E61" s="10"/>
    </row>
    <row r="62" spans="2:5" x14ac:dyDescent="0.25">
      <c r="B62" s="7">
        <v>57</v>
      </c>
      <c r="C62" s="8"/>
      <c r="D62" s="13"/>
      <c r="E62" s="10"/>
    </row>
    <row r="63" spans="2:5" x14ac:dyDescent="0.25">
      <c r="B63" s="7">
        <v>58</v>
      </c>
      <c r="C63" s="8"/>
      <c r="D63" s="13"/>
      <c r="E63" s="10"/>
    </row>
    <row r="64" spans="2:5" x14ac:dyDescent="0.25">
      <c r="B64" s="7">
        <v>59</v>
      </c>
      <c r="C64" s="8"/>
      <c r="D64" s="13"/>
      <c r="E64" s="10"/>
    </row>
    <row r="65" spans="2:5" x14ac:dyDescent="0.25">
      <c r="B65" s="7">
        <v>60</v>
      </c>
      <c r="C65" s="8"/>
      <c r="D65" s="13"/>
      <c r="E65" s="10"/>
    </row>
    <row r="66" spans="2:5" x14ac:dyDescent="0.25">
      <c r="B66" s="7">
        <v>61</v>
      </c>
      <c r="C66" s="8"/>
      <c r="D66" s="13"/>
      <c r="E66" s="10"/>
    </row>
    <row r="67" spans="2:5" x14ac:dyDescent="0.25">
      <c r="B67" s="7">
        <v>62</v>
      </c>
      <c r="C67" s="8"/>
      <c r="D67" s="13"/>
      <c r="E67" s="10"/>
    </row>
    <row r="68" spans="2:5" x14ac:dyDescent="0.25">
      <c r="B68" s="7">
        <v>63</v>
      </c>
      <c r="C68" s="8"/>
      <c r="D68" s="13"/>
      <c r="E68" s="10"/>
    </row>
    <row r="69" spans="2:5" x14ac:dyDescent="0.25">
      <c r="B69" s="7">
        <v>64</v>
      </c>
      <c r="C69" s="8"/>
      <c r="D69" s="13"/>
      <c r="E69" s="10"/>
    </row>
    <row r="70" spans="2:5" x14ac:dyDescent="0.25">
      <c r="B70" s="7">
        <v>65</v>
      </c>
      <c r="C70" s="8"/>
      <c r="D70" s="13"/>
      <c r="E70" s="10"/>
    </row>
    <row r="71" spans="2:5" x14ac:dyDescent="0.25">
      <c r="B71" s="7">
        <v>66</v>
      </c>
      <c r="C71" s="8"/>
      <c r="D71" s="13"/>
      <c r="E71" s="10"/>
    </row>
    <row r="72" spans="2:5" x14ac:dyDescent="0.25">
      <c r="B72" s="7">
        <v>67</v>
      </c>
      <c r="C72" s="8"/>
      <c r="D72" s="13"/>
      <c r="E72" s="10"/>
    </row>
    <row r="73" spans="2:5" x14ac:dyDescent="0.25">
      <c r="B73" s="7">
        <v>68</v>
      </c>
      <c r="C73" s="8"/>
      <c r="D73" s="13"/>
      <c r="E73" s="10"/>
    </row>
    <row r="74" spans="2:5" x14ac:dyDescent="0.25">
      <c r="B74" s="7">
        <v>69</v>
      </c>
      <c r="C74" s="8"/>
      <c r="D74" s="13"/>
      <c r="E74" s="10"/>
    </row>
    <row r="75" spans="2:5" x14ac:dyDescent="0.25">
      <c r="B75" s="7">
        <v>70</v>
      </c>
      <c r="C75" s="8"/>
      <c r="D75" s="13"/>
      <c r="E75" s="10"/>
    </row>
    <row r="76" spans="2:5" x14ac:dyDescent="0.25">
      <c r="B76" s="7">
        <v>71</v>
      </c>
      <c r="C76" s="8"/>
      <c r="D76" s="13"/>
      <c r="E76" s="10"/>
    </row>
    <row r="77" spans="2:5" x14ac:dyDescent="0.25">
      <c r="B77" s="7">
        <v>72</v>
      </c>
      <c r="C77" s="8"/>
      <c r="D77" s="13"/>
      <c r="E77" s="10"/>
    </row>
    <row r="78" spans="2:5" x14ac:dyDescent="0.25">
      <c r="B78" s="7">
        <v>73</v>
      </c>
      <c r="C78" s="8"/>
      <c r="D78" s="13"/>
      <c r="E78" s="10"/>
    </row>
    <row r="79" spans="2:5" x14ac:dyDescent="0.25">
      <c r="B79" s="7">
        <v>74</v>
      </c>
      <c r="C79" s="8"/>
      <c r="D79" s="13"/>
      <c r="E79" s="10"/>
    </row>
    <row r="80" spans="2:5" x14ac:dyDescent="0.25">
      <c r="B80" s="7">
        <v>75</v>
      </c>
      <c r="C80" s="8"/>
      <c r="D80" s="13"/>
      <c r="E80" s="10"/>
    </row>
    <row r="81" spans="2:5" x14ac:dyDescent="0.25">
      <c r="B81" s="7">
        <v>76</v>
      </c>
      <c r="C81" s="8"/>
      <c r="D81" s="13"/>
      <c r="E81" s="10"/>
    </row>
    <row r="82" spans="2:5" x14ac:dyDescent="0.25">
      <c r="B82" s="7">
        <v>77</v>
      </c>
      <c r="C82" s="8"/>
      <c r="D82" s="13"/>
      <c r="E82" s="10"/>
    </row>
    <row r="83" spans="2:5" x14ac:dyDescent="0.25">
      <c r="B83" s="7">
        <v>78</v>
      </c>
      <c r="C83" s="8"/>
      <c r="D83" s="13"/>
      <c r="E83" s="10"/>
    </row>
    <row r="84" spans="2:5" x14ac:dyDescent="0.25">
      <c r="B84" s="7">
        <v>79</v>
      </c>
      <c r="C84" s="8"/>
      <c r="D84" s="13"/>
      <c r="E84" s="10"/>
    </row>
    <row r="85" spans="2:5" x14ac:dyDescent="0.25">
      <c r="B85" s="7">
        <v>80</v>
      </c>
      <c r="C85" s="8"/>
      <c r="D85" s="13"/>
      <c r="E85" s="10"/>
    </row>
    <row r="86" spans="2:5" x14ac:dyDescent="0.25">
      <c r="B86" s="7">
        <v>81</v>
      </c>
      <c r="C86" s="8"/>
      <c r="D86" s="13"/>
      <c r="E86" s="10"/>
    </row>
    <row r="87" spans="2:5" x14ac:dyDescent="0.25">
      <c r="B87" s="7">
        <v>82</v>
      </c>
      <c r="C87" s="8"/>
      <c r="D87" s="13"/>
      <c r="E87" s="10"/>
    </row>
    <row r="88" spans="2:5" x14ac:dyDescent="0.25">
      <c r="B88" s="7">
        <v>83</v>
      </c>
      <c r="C88" s="8"/>
      <c r="D88" s="13"/>
      <c r="E88" s="10"/>
    </row>
    <row r="89" spans="2:5" x14ac:dyDescent="0.25">
      <c r="B89" s="7">
        <v>84</v>
      </c>
      <c r="C89" s="8"/>
      <c r="D89" s="13"/>
      <c r="E89" s="10"/>
    </row>
    <row r="90" spans="2:5" x14ac:dyDescent="0.25">
      <c r="B90" s="7">
        <v>85</v>
      </c>
      <c r="C90" s="8"/>
      <c r="D90" s="13"/>
      <c r="E90" s="10"/>
    </row>
    <row r="91" spans="2:5" x14ac:dyDescent="0.25">
      <c r="B91" s="7">
        <v>86</v>
      </c>
      <c r="C91" s="8"/>
      <c r="D91" s="13"/>
      <c r="E91" s="10"/>
    </row>
    <row r="92" spans="2:5" x14ac:dyDescent="0.25">
      <c r="B92" s="7">
        <v>87</v>
      </c>
      <c r="C92" s="8"/>
      <c r="D92" s="13"/>
      <c r="E92" s="10"/>
    </row>
    <row r="93" spans="2:5" x14ac:dyDescent="0.25">
      <c r="B93" s="7">
        <v>88</v>
      </c>
      <c r="C93" s="8"/>
      <c r="D93" s="13"/>
      <c r="E93" s="10"/>
    </row>
    <row r="94" spans="2:5" x14ac:dyDescent="0.25">
      <c r="B94" s="7">
        <v>89</v>
      </c>
      <c r="C94" s="8"/>
      <c r="D94" s="13"/>
      <c r="E94" s="10"/>
    </row>
    <row r="95" spans="2:5" x14ac:dyDescent="0.25">
      <c r="B95" s="7">
        <v>90</v>
      </c>
      <c r="C95" s="8"/>
      <c r="D95" s="13"/>
      <c r="E95" s="10"/>
    </row>
    <row r="96" spans="2:5" x14ac:dyDescent="0.25">
      <c r="B96" s="7">
        <v>91</v>
      </c>
      <c r="C96" s="8"/>
      <c r="D96" s="13"/>
      <c r="E96" s="10"/>
    </row>
    <row r="97" spans="2:5" x14ac:dyDescent="0.25">
      <c r="B97" s="7">
        <v>92</v>
      </c>
      <c r="C97" s="8"/>
      <c r="D97" s="13"/>
      <c r="E97" s="10"/>
    </row>
    <row r="98" spans="2:5" x14ac:dyDescent="0.25">
      <c r="B98" s="7">
        <v>93</v>
      </c>
      <c r="C98" s="8"/>
      <c r="D98" s="13"/>
      <c r="E98" s="10"/>
    </row>
    <row r="99" spans="2:5" x14ac:dyDescent="0.25">
      <c r="B99" s="7">
        <v>94</v>
      </c>
      <c r="C99" s="8"/>
      <c r="D99" s="13"/>
      <c r="E99" s="10"/>
    </row>
    <row r="100" spans="2:5" x14ac:dyDescent="0.25">
      <c r="B100" s="7">
        <v>95</v>
      </c>
      <c r="C100" s="8"/>
      <c r="D100" s="13"/>
      <c r="E100" s="10"/>
    </row>
    <row r="101" spans="2:5" x14ac:dyDescent="0.25">
      <c r="B101" s="7">
        <v>96</v>
      </c>
      <c r="C101" s="8"/>
      <c r="D101" s="13"/>
      <c r="E101" s="10"/>
    </row>
    <row r="102" spans="2:5" x14ac:dyDescent="0.25">
      <c r="B102" s="7">
        <v>97</v>
      </c>
      <c r="C102" s="8"/>
      <c r="D102" s="13"/>
      <c r="E102" s="10"/>
    </row>
    <row r="103" spans="2:5" x14ac:dyDescent="0.25">
      <c r="B103" s="7">
        <v>98</v>
      </c>
      <c r="C103" s="8"/>
      <c r="D103" s="13"/>
      <c r="E103" s="10"/>
    </row>
    <row r="104" spans="2:5" x14ac:dyDescent="0.25">
      <c r="B104" s="7">
        <v>99</v>
      </c>
      <c r="C104" s="8"/>
      <c r="D104" s="13"/>
      <c r="E104" s="10"/>
    </row>
    <row r="105" spans="2:5" x14ac:dyDescent="0.25">
      <c r="B105" s="7">
        <v>100</v>
      </c>
      <c r="C105" s="8"/>
      <c r="D105" s="13"/>
      <c r="E105" s="10"/>
    </row>
    <row r="106" spans="2:5" x14ac:dyDescent="0.25">
      <c r="B106" s="7">
        <v>101</v>
      </c>
      <c r="C106" s="8"/>
      <c r="D106" s="13"/>
      <c r="E106" s="10"/>
    </row>
    <row r="107" spans="2:5" x14ac:dyDescent="0.25">
      <c r="B107" s="7">
        <v>102</v>
      </c>
      <c r="C107" s="8"/>
      <c r="D107" s="13"/>
      <c r="E107" s="10"/>
    </row>
    <row r="108" spans="2:5" x14ac:dyDescent="0.25">
      <c r="B108" s="7">
        <v>103</v>
      </c>
      <c r="C108" s="8"/>
      <c r="D108" s="13"/>
      <c r="E108" s="10"/>
    </row>
    <row r="109" spans="2:5" x14ac:dyDescent="0.25">
      <c r="B109" s="7">
        <v>104</v>
      </c>
      <c r="C109" s="8"/>
      <c r="D109" s="13"/>
      <c r="E109" s="10"/>
    </row>
    <row r="110" spans="2:5" x14ac:dyDescent="0.25">
      <c r="B110" s="7">
        <v>105</v>
      </c>
      <c r="C110" s="8"/>
      <c r="D110" s="13"/>
      <c r="E110" s="10"/>
    </row>
    <row r="111" spans="2:5" x14ac:dyDescent="0.25">
      <c r="B111" s="7">
        <v>106</v>
      </c>
      <c r="C111" s="8"/>
      <c r="D111" s="13"/>
      <c r="E111" s="10"/>
    </row>
    <row r="112" spans="2:5" x14ac:dyDescent="0.25">
      <c r="B112" s="7">
        <v>107</v>
      </c>
      <c r="C112" s="8"/>
      <c r="D112" s="13"/>
      <c r="E112" s="10"/>
    </row>
    <row r="113" spans="2:5" x14ac:dyDescent="0.25">
      <c r="B113" s="7">
        <v>108</v>
      </c>
      <c r="C113" s="8"/>
      <c r="D113" s="13"/>
      <c r="E113" s="10"/>
    </row>
    <row r="114" spans="2:5" x14ac:dyDescent="0.25">
      <c r="B114" s="7">
        <v>109</v>
      </c>
      <c r="C114" s="8"/>
      <c r="D114" s="13"/>
      <c r="E114" s="10"/>
    </row>
    <row r="115" spans="2:5" x14ac:dyDescent="0.25">
      <c r="B115" s="7">
        <v>110</v>
      </c>
      <c r="C115" s="8"/>
      <c r="D115" s="13"/>
      <c r="E115" s="10"/>
    </row>
    <row r="116" spans="2:5" x14ac:dyDescent="0.25">
      <c r="B116" s="7">
        <v>111</v>
      </c>
      <c r="C116" s="8"/>
      <c r="D116" s="13"/>
      <c r="E116" s="10"/>
    </row>
    <row r="117" spans="2:5" x14ac:dyDescent="0.25">
      <c r="B117" s="7">
        <v>112</v>
      </c>
      <c r="C117" s="8"/>
      <c r="D117" s="13"/>
      <c r="E117" s="10"/>
    </row>
    <row r="118" spans="2:5" x14ac:dyDescent="0.25">
      <c r="B118" s="7">
        <v>113</v>
      </c>
      <c r="C118" s="8"/>
      <c r="D118" s="13"/>
      <c r="E118" s="10"/>
    </row>
    <row r="119" spans="2:5" x14ac:dyDescent="0.25">
      <c r="B119" s="7">
        <v>114</v>
      </c>
      <c r="C119" s="8"/>
      <c r="D119" s="13"/>
      <c r="E119" s="10"/>
    </row>
    <row r="120" spans="2:5" x14ac:dyDescent="0.25">
      <c r="B120" s="7">
        <v>115</v>
      </c>
      <c r="C120" s="8"/>
      <c r="D120" s="13"/>
      <c r="E120" s="10"/>
    </row>
    <row r="121" spans="2:5" x14ac:dyDescent="0.25">
      <c r="B121" s="7">
        <v>116</v>
      </c>
      <c r="C121" s="8"/>
      <c r="D121" s="13"/>
      <c r="E121" s="10"/>
    </row>
    <row r="122" spans="2:5" x14ac:dyDescent="0.25">
      <c r="B122" s="7">
        <v>117</v>
      </c>
      <c r="C122" s="8"/>
      <c r="D122" s="13"/>
      <c r="E122" s="10"/>
    </row>
    <row r="123" spans="2:5" x14ac:dyDescent="0.25">
      <c r="B123" s="7">
        <v>118</v>
      </c>
      <c r="C123" s="8"/>
      <c r="D123" s="13"/>
      <c r="E123" s="10"/>
    </row>
    <row r="124" spans="2:5" x14ac:dyDescent="0.25">
      <c r="B124" s="7">
        <v>119</v>
      </c>
      <c r="C124" s="8"/>
      <c r="D124" s="13"/>
      <c r="E124" s="10"/>
    </row>
    <row r="125" spans="2:5" x14ac:dyDescent="0.25">
      <c r="B125" s="7">
        <v>120</v>
      </c>
      <c r="C125" s="8"/>
      <c r="D125" s="13"/>
      <c r="E125" s="10"/>
    </row>
    <row r="126" spans="2:5" x14ac:dyDescent="0.25">
      <c r="B126" s="7">
        <v>121</v>
      </c>
      <c r="C126" s="8"/>
      <c r="D126" s="13"/>
      <c r="E126" s="10"/>
    </row>
    <row r="127" spans="2:5" x14ac:dyDescent="0.25">
      <c r="B127" s="7">
        <v>122</v>
      </c>
      <c r="C127" s="8"/>
      <c r="D127" s="13"/>
      <c r="E127" s="10"/>
    </row>
    <row r="128" spans="2:5" x14ac:dyDescent="0.25">
      <c r="B128" s="7">
        <v>123</v>
      </c>
      <c r="C128" s="8"/>
      <c r="D128" s="13"/>
      <c r="E128" s="10"/>
    </row>
    <row r="129" spans="2:5" x14ac:dyDescent="0.25">
      <c r="B129" s="7">
        <v>124</v>
      </c>
      <c r="C129" s="8"/>
      <c r="D129" s="13"/>
      <c r="E129" s="10"/>
    </row>
    <row r="130" spans="2:5" x14ac:dyDescent="0.25">
      <c r="B130" s="7">
        <v>125</v>
      </c>
      <c r="C130" s="8"/>
      <c r="D130" s="13"/>
      <c r="E130" s="10"/>
    </row>
    <row r="131" spans="2:5" x14ac:dyDescent="0.25">
      <c r="B131" s="7">
        <v>126</v>
      </c>
      <c r="C131" s="8"/>
      <c r="D131" s="13"/>
      <c r="E131" s="10"/>
    </row>
    <row r="132" spans="2:5" x14ac:dyDescent="0.25">
      <c r="B132" s="7">
        <v>127</v>
      </c>
      <c r="C132" s="8"/>
      <c r="D132" s="13"/>
      <c r="E132" s="10"/>
    </row>
    <row r="133" spans="2:5" x14ac:dyDescent="0.25">
      <c r="B133" s="7">
        <v>128</v>
      </c>
      <c r="C133" s="8"/>
      <c r="D133" s="13"/>
      <c r="E133" s="10"/>
    </row>
    <row r="134" spans="2:5" x14ac:dyDescent="0.25">
      <c r="B134" s="7">
        <v>129</v>
      </c>
      <c r="C134" s="8"/>
      <c r="D134" s="13"/>
      <c r="E134" s="10"/>
    </row>
    <row r="135" spans="2:5" x14ac:dyDescent="0.25">
      <c r="B135" s="7">
        <v>130</v>
      </c>
      <c r="C135" s="8"/>
      <c r="D135" s="13"/>
      <c r="E135" s="10"/>
    </row>
    <row r="136" spans="2:5" x14ac:dyDescent="0.25">
      <c r="B136" s="7">
        <v>131</v>
      </c>
      <c r="C136" s="8"/>
      <c r="D136" s="13"/>
      <c r="E136" s="10"/>
    </row>
    <row r="137" spans="2:5" x14ac:dyDescent="0.25">
      <c r="B137" s="7">
        <v>132</v>
      </c>
      <c r="C137" s="8"/>
      <c r="D137" s="13"/>
      <c r="E137" s="10"/>
    </row>
    <row r="138" spans="2:5" x14ac:dyDescent="0.25">
      <c r="B138" s="7">
        <v>133</v>
      </c>
      <c r="C138" s="8"/>
      <c r="D138" s="13"/>
      <c r="E138" s="10"/>
    </row>
    <row r="139" spans="2:5" x14ac:dyDescent="0.25">
      <c r="B139" s="7">
        <v>134</v>
      </c>
      <c r="C139" s="8"/>
      <c r="D139" s="13"/>
      <c r="E139" s="10"/>
    </row>
    <row r="140" spans="2:5" x14ac:dyDescent="0.25">
      <c r="B140" s="7">
        <v>135</v>
      </c>
      <c r="C140" s="8"/>
      <c r="D140" s="13"/>
      <c r="E140" s="10"/>
    </row>
    <row r="141" spans="2:5" x14ac:dyDescent="0.25">
      <c r="B141" s="7">
        <v>136</v>
      </c>
      <c r="C141" s="8"/>
      <c r="D141" s="13"/>
      <c r="E141" s="10"/>
    </row>
    <row r="142" spans="2:5" x14ac:dyDescent="0.25">
      <c r="B142" s="7">
        <v>137</v>
      </c>
      <c r="C142" s="8"/>
      <c r="D142" s="13"/>
      <c r="E142" s="10"/>
    </row>
    <row r="143" spans="2:5" x14ac:dyDescent="0.25">
      <c r="B143" s="7">
        <v>138</v>
      </c>
      <c r="C143" s="8"/>
      <c r="D143" s="13"/>
      <c r="E143" s="10"/>
    </row>
    <row r="144" spans="2:5" x14ac:dyDescent="0.25">
      <c r="B144" s="7">
        <v>139</v>
      </c>
      <c r="C144" s="8"/>
      <c r="D144" s="13"/>
      <c r="E144" s="10"/>
    </row>
    <row r="145" spans="2:5" x14ac:dyDescent="0.25">
      <c r="B145" s="7">
        <v>140</v>
      </c>
      <c r="C145" s="8"/>
      <c r="D145" s="13"/>
      <c r="E145" s="10"/>
    </row>
    <row r="146" spans="2:5" x14ac:dyDescent="0.25">
      <c r="B146" s="7">
        <v>141</v>
      </c>
      <c r="C146" s="8"/>
      <c r="D146" s="13"/>
      <c r="E146" s="10"/>
    </row>
    <row r="147" spans="2:5" x14ac:dyDescent="0.25">
      <c r="B147" s="7">
        <v>142</v>
      </c>
      <c r="C147" s="8"/>
      <c r="D147" s="13"/>
      <c r="E147" s="10"/>
    </row>
    <row r="148" spans="2:5" x14ac:dyDescent="0.25">
      <c r="B148" s="7">
        <v>143</v>
      </c>
      <c r="C148" s="8"/>
      <c r="D148" s="13"/>
      <c r="E148" s="10"/>
    </row>
    <row r="149" spans="2:5" x14ac:dyDescent="0.25">
      <c r="B149" s="7">
        <v>144</v>
      </c>
      <c r="C149" s="8"/>
      <c r="D149" s="13"/>
      <c r="E149" s="10"/>
    </row>
    <row r="150" spans="2:5" x14ac:dyDescent="0.25">
      <c r="B150" s="7">
        <v>145</v>
      </c>
      <c r="C150" s="8"/>
      <c r="D150" s="13"/>
      <c r="E150" s="10"/>
    </row>
    <row r="151" spans="2:5" x14ac:dyDescent="0.25">
      <c r="B151" s="7">
        <v>146</v>
      </c>
      <c r="C151" s="8"/>
      <c r="D151" s="13"/>
      <c r="E151" s="10"/>
    </row>
    <row r="152" spans="2:5" x14ac:dyDescent="0.25">
      <c r="B152" s="7">
        <v>147</v>
      </c>
      <c r="C152" s="8"/>
      <c r="D152" s="13"/>
      <c r="E152" s="10"/>
    </row>
    <row r="153" spans="2:5" x14ac:dyDescent="0.25">
      <c r="B153" s="7">
        <v>148</v>
      </c>
      <c r="C153" s="8"/>
      <c r="D153" s="13"/>
      <c r="E153" s="10"/>
    </row>
    <row r="154" spans="2:5" x14ac:dyDescent="0.25">
      <c r="B154" s="7">
        <v>149</v>
      </c>
      <c r="C154" s="8"/>
      <c r="D154" s="13"/>
      <c r="E154" s="10"/>
    </row>
    <row r="155" spans="2:5" x14ac:dyDescent="0.25">
      <c r="B155" s="7">
        <v>150</v>
      </c>
      <c r="C155" s="8"/>
      <c r="D155" s="13"/>
      <c r="E155" s="10"/>
    </row>
    <row r="156" spans="2:5" x14ac:dyDescent="0.25">
      <c r="B156" s="7">
        <v>151</v>
      </c>
      <c r="C156" s="8"/>
      <c r="D156" s="13"/>
      <c r="E156" s="10"/>
    </row>
    <row r="157" spans="2:5" x14ac:dyDescent="0.25">
      <c r="B157" s="7">
        <v>152</v>
      </c>
      <c r="C157" s="8"/>
      <c r="D157" s="13"/>
      <c r="E157" s="10"/>
    </row>
    <row r="158" spans="2:5" x14ac:dyDescent="0.25">
      <c r="B158" s="7">
        <v>153</v>
      </c>
      <c r="C158" s="8"/>
      <c r="D158" s="13"/>
      <c r="E158" s="10"/>
    </row>
    <row r="159" spans="2:5" x14ac:dyDescent="0.25">
      <c r="B159" s="7">
        <v>154</v>
      </c>
      <c r="C159" s="8"/>
      <c r="D159" s="13"/>
      <c r="E159" s="10"/>
    </row>
    <row r="160" spans="2:5" x14ac:dyDescent="0.25">
      <c r="B160" s="7">
        <v>155</v>
      </c>
      <c r="C160" s="8"/>
      <c r="D160" s="13"/>
      <c r="E160" s="10"/>
    </row>
    <row r="161" spans="2:5" x14ac:dyDescent="0.25">
      <c r="B161" s="7">
        <v>156</v>
      </c>
      <c r="C161" s="8"/>
      <c r="D161" s="13"/>
      <c r="E161" s="10"/>
    </row>
    <row r="162" spans="2:5" x14ac:dyDescent="0.25">
      <c r="B162" s="7">
        <v>157</v>
      </c>
      <c r="C162" s="8"/>
      <c r="D162" s="13"/>
      <c r="E162" s="10"/>
    </row>
    <row r="163" spans="2:5" x14ac:dyDescent="0.25">
      <c r="B163" s="7">
        <v>158</v>
      </c>
      <c r="C163" s="8"/>
      <c r="D163" s="13"/>
      <c r="E163" s="10"/>
    </row>
    <row r="164" spans="2:5" x14ac:dyDescent="0.25">
      <c r="B164" s="7">
        <v>159</v>
      </c>
      <c r="C164" s="8"/>
      <c r="D164" s="13"/>
      <c r="E164" s="10"/>
    </row>
    <row r="165" spans="2:5" x14ac:dyDescent="0.25">
      <c r="B165" s="7">
        <v>160</v>
      </c>
      <c r="C165" s="8"/>
      <c r="D165" s="13"/>
      <c r="E165" s="10"/>
    </row>
    <row r="166" spans="2:5" x14ac:dyDescent="0.25">
      <c r="B166" s="7">
        <v>161</v>
      </c>
      <c r="C166" s="8"/>
      <c r="D166" s="13"/>
      <c r="E166" s="10"/>
    </row>
    <row r="167" spans="2:5" x14ac:dyDescent="0.25">
      <c r="B167" s="7">
        <v>162</v>
      </c>
      <c r="C167" s="8"/>
      <c r="D167" s="13"/>
      <c r="E167" s="10"/>
    </row>
    <row r="168" spans="2:5" x14ac:dyDescent="0.25">
      <c r="B168" s="7">
        <v>163</v>
      </c>
      <c r="C168" s="8"/>
      <c r="D168" s="13"/>
      <c r="E168" s="10"/>
    </row>
    <row r="169" spans="2:5" x14ac:dyDescent="0.25">
      <c r="B169" s="7">
        <v>164</v>
      </c>
      <c r="C169" s="8"/>
      <c r="D169" s="13"/>
      <c r="E169" s="10"/>
    </row>
    <row r="170" spans="2:5" x14ac:dyDescent="0.25">
      <c r="B170" s="7">
        <v>165</v>
      </c>
      <c r="C170" s="8"/>
      <c r="D170" s="13"/>
      <c r="E170" s="10"/>
    </row>
    <row r="171" spans="2:5" x14ac:dyDescent="0.25">
      <c r="B171" s="7">
        <v>166</v>
      </c>
      <c r="C171" s="8"/>
      <c r="D171" s="13"/>
      <c r="E171" s="10"/>
    </row>
    <row r="172" spans="2:5" x14ac:dyDescent="0.25">
      <c r="B172" s="7">
        <v>167</v>
      </c>
      <c r="C172" s="8"/>
      <c r="D172" s="13"/>
      <c r="E172" s="10"/>
    </row>
    <row r="173" spans="2:5" x14ac:dyDescent="0.25">
      <c r="B173" s="7">
        <v>168</v>
      </c>
      <c r="C173" s="8"/>
      <c r="D173" s="13"/>
      <c r="E173" s="10"/>
    </row>
    <row r="174" spans="2:5" x14ac:dyDescent="0.25">
      <c r="B174" s="7">
        <v>169</v>
      </c>
      <c r="C174" s="8"/>
      <c r="D174" s="13"/>
      <c r="E174" s="10"/>
    </row>
    <row r="175" spans="2:5" x14ac:dyDescent="0.25">
      <c r="B175" s="7">
        <v>170</v>
      </c>
      <c r="C175" s="8"/>
      <c r="D175" s="13"/>
      <c r="E175" s="10"/>
    </row>
    <row r="176" spans="2:5" x14ac:dyDescent="0.25">
      <c r="B176" s="7">
        <v>171</v>
      </c>
      <c r="C176" s="8"/>
      <c r="D176" s="13"/>
      <c r="E176" s="10"/>
    </row>
    <row r="177" spans="2:5" x14ac:dyDescent="0.25">
      <c r="B177" s="7">
        <v>172</v>
      </c>
      <c r="C177" s="8"/>
      <c r="D177" s="13"/>
      <c r="E177" s="10"/>
    </row>
    <row r="178" spans="2:5" x14ac:dyDescent="0.25">
      <c r="B178" s="7">
        <v>173</v>
      </c>
      <c r="C178" s="8"/>
      <c r="D178" s="13"/>
      <c r="E178" s="10"/>
    </row>
    <row r="179" spans="2:5" x14ac:dyDescent="0.25">
      <c r="B179" s="7">
        <v>174</v>
      </c>
      <c r="C179" s="8"/>
      <c r="D179" s="13"/>
      <c r="E179" s="10"/>
    </row>
    <row r="180" spans="2:5" x14ac:dyDescent="0.25">
      <c r="B180" s="7">
        <v>175</v>
      </c>
      <c r="C180" s="8"/>
      <c r="D180" s="13"/>
      <c r="E180" s="10"/>
    </row>
    <row r="181" spans="2:5" x14ac:dyDescent="0.25">
      <c r="B181" s="7">
        <v>176</v>
      </c>
      <c r="C181" s="8"/>
      <c r="D181" s="13"/>
      <c r="E181" s="10"/>
    </row>
    <row r="182" spans="2:5" x14ac:dyDescent="0.25">
      <c r="B182" s="7">
        <v>177</v>
      </c>
      <c r="C182" s="8"/>
      <c r="D182" s="13"/>
      <c r="E182" s="10"/>
    </row>
    <row r="183" spans="2:5" x14ac:dyDescent="0.25">
      <c r="B183" s="7">
        <v>178</v>
      </c>
      <c r="C183" s="8"/>
      <c r="D183" s="13"/>
      <c r="E183" s="10"/>
    </row>
    <row r="184" spans="2:5" x14ac:dyDescent="0.25">
      <c r="B184" s="7">
        <v>179</v>
      </c>
      <c r="C184" s="8"/>
      <c r="D184" s="13"/>
      <c r="E184" s="10"/>
    </row>
    <row r="185" spans="2:5" x14ac:dyDescent="0.25">
      <c r="B185" s="7">
        <v>180</v>
      </c>
      <c r="C185" s="8"/>
      <c r="D185" s="13"/>
      <c r="E185" s="10"/>
    </row>
    <row r="186" spans="2:5" x14ac:dyDescent="0.25">
      <c r="B186" s="7">
        <v>181</v>
      </c>
      <c r="C186" s="8"/>
      <c r="D186" s="13"/>
      <c r="E186" s="10"/>
    </row>
    <row r="187" spans="2:5" x14ac:dyDescent="0.25">
      <c r="B187" s="7">
        <v>182</v>
      </c>
      <c r="C187" s="8"/>
      <c r="D187" s="13"/>
      <c r="E187" s="10"/>
    </row>
    <row r="188" spans="2:5" x14ac:dyDescent="0.25">
      <c r="B188" s="7">
        <v>183</v>
      </c>
      <c r="C188" s="8"/>
      <c r="D188" s="13"/>
      <c r="E188" s="10"/>
    </row>
    <row r="189" spans="2:5" x14ac:dyDescent="0.25">
      <c r="B189" s="7">
        <v>184</v>
      </c>
      <c r="C189" s="8"/>
      <c r="D189" s="13"/>
      <c r="E189" s="10"/>
    </row>
    <row r="190" spans="2:5" x14ac:dyDescent="0.25">
      <c r="B190" s="7">
        <v>185</v>
      </c>
      <c r="C190" s="8"/>
      <c r="D190" s="13"/>
      <c r="E190" s="10"/>
    </row>
    <row r="191" spans="2:5" x14ac:dyDescent="0.25">
      <c r="B191" s="7">
        <v>186</v>
      </c>
      <c r="C191" s="8"/>
      <c r="D191" s="13"/>
      <c r="E191" s="10"/>
    </row>
    <row r="192" spans="2:5" x14ac:dyDescent="0.25">
      <c r="B192" s="7">
        <v>187</v>
      </c>
      <c r="C192" s="8"/>
      <c r="D192" s="13"/>
      <c r="E192" s="10"/>
    </row>
    <row r="193" spans="2:5" x14ac:dyDescent="0.25">
      <c r="B193" s="7">
        <v>188</v>
      </c>
      <c r="C193" s="8"/>
      <c r="D193" s="13"/>
      <c r="E193" s="10"/>
    </row>
    <row r="194" spans="2:5" x14ac:dyDescent="0.25">
      <c r="B194" s="7">
        <v>189</v>
      </c>
      <c r="C194" s="8"/>
      <c r="D194" s="13"/>
      <c r="E194" s="10"/>
    </row>
    <row r="195" spans="2:5" x14ac:dyDescent="0.25">
      <c r="B195" s="7">
        <v>190</v>
      </c>
      <c r="C195" s="8"/>
      <c r="D195" s="13"/>
      <c r="E195" s="10"/>
    </row>
    <row r="196" spans="2:5" x14ac:dyDescent="0.25">
      <c r="B196" s="7">
        <v>191</v>
      </c>
      <c r="C196" s="8"/>
      <c r="D196" s="13"/>
      <c r="E196" s="10"/>
    </row>
    <row r="197" spans="2:5" x14ac:dyDescent="0.25">
      <c r="B197" s="7">
        <v>192</v>
      </c>
      <c r="C197" s="8"/>
      <c r="D197" s="13"/>
      <c r="E197" s="10"/>
    </row>
    <row r="198" spans="2:5" x14ac:dyDescent="0.25">
      <c r="B198" s="7">
        <v>193</v>
      </c>
      <c r="C198" s="8"/>
      <c r="D198" s="13"/>
      <c r="E198" s="10"/>
    </row>
    <row r="199" spans="2:5" x14ac:dyDescent="0.25">
      <c r="B199" s="7">
        <v>194</v>
      </c>
      <c r="C199" s="8"/>
      <c r="D199" s="13"/>
      <c r="E199" s="10"/>
    </row>
    <row r="200" spans="2:5" x14ac:dyDescent="0.25">
      <c r="B200" s="7">
        <v>195</v>
      </c>
      <c r="C200" s="8"/>
      <c r="D200" s="13"/>
      <c r="E200" s="10"/>
    </row>
    <row r="201" spans="2:5" x14ac:dyDescent="0.25">
      <c r="B201" s="7">
        <v>196</v>
      </c>
      <c r="C201" s="8"/>
      <c r="D201" s="13"/>
      <c r="E201" s="10"/>
    </row>
    <row r="202" spans="2:5" x14ac:dyDescent="0.25">
      <c r="B202" s="7">
        <v>197</v>
      </c>
      <c r="C202" s="8"/>
      <c r="D202" s="13"/>
      <c r="E202" s="10"/>
    </row>
    <row r="203" spans="2:5" x14ac:dyDescent="0.25">
      <c r="B203" s="7">
        <v>198</v>
      </c>
      <c r="C203" s="8"/>
      <c r="D203" s="13"/>
      <c r="E203" s="10"/>
    </row>
    <row r="204" spans="2:5" x14ac:dyDescent="0.25">
      <c r="B204" s="7">
        <v>199</v>
      </c>
      <c r="C204" s="8"/>
      <c r="D204" s="13"/>
      <c r="E204" s="10"/>
    </row>
    <row r="205" spans="2:5" x14ac:dyDescent="0.25">
      <c r="B205" s="7">
        <v>200</v>
      </c>
      <c r="C205" s="8"/>
      <c r="D205" s="13"/>
      <c r="E205" s="10"/>
    </row>
    <row r="206" spans="2:5" x14ac:dyDescent="0.25">
      <c r="B206" s="12"/>
      <c r="C206" s="12"/>
      <c r="D206" s="13"/>
      <c r="E206" s="14"/>
    </row>
    <row r="207" spans="2:5" x14ac:dyDescent="0.25">
      <c r="B207" s="12"/>
      <c r="C207" s="12"/>
      <c r="D207" s="13"/>
      <c r="E207" s="14"/>
    </row>
    <row r="208" spans="2:5" x14ac:dyDescent="0.25">
      <c r="B208" s="12"/>
      <c r="C208" s="12"/>
      <c r="D208" s="13"/>
      <c r="E208" s="14"/>
    </row>
    <row r="209" spans="2:5" x14ac:dyDescent="0.25">
      <c r="B209" s="12"/>
      <c r="C209" s="12"/>
      <c r="D209" s="13"/>
      <c r="E209" s="14"/>
    </row>
    <row r="210" spans="2:5" x14ac:dyDescent="0.25">
      <c r="B210" s="12"/>
      <c r="C210" s="12"/>
      <c r="D210" s="13"/>
      <c r="E210" s="14"/>
    </row>
    <row r="211" spans="2:5" x14ac:dyDescent="0.25">
      <c r="B211" s="12"/>
      <c r="C211" s="12"/>
      <c r="D211" s="13"/>
      <c r="E211" s="14"/>
    </row>
    <row r="212" spans="2:5" x14ac:dyDescent="0.25">
      <c r="B212" s="12"/>
      <c r="C212" s="12"/>
      <c r="D212" s="13"/>
      <c r="E212" s="14"/>
    </row>
    <row r="213" spans="2:5" x14ac:dyDescent="0.25">
      <c r="B213" s="12"/>
      <c r="C213" s="12"/>
      <c r="D213" s="13"/>
      <c r="E213" s="14"/>
    </row>
    <row r="214" spans="2:5" x14ac:dyDescent="0.25">
      <c r="B214" s="12"/>
      <c r="C214" s="12"/>
      <c r="D214" s="13"/>
      <c r="E214" s="14"/>
    </row>
    <row r="215" spans="2:5" x14ac:dyDescent="0.25">
      <c r="B215" s="12"/>
      <c r="C215" s="12"/>
      <c r="D215" s="13"/>
      <c r="E215" s="14"/>
    </row>
    <row r="216" spans="2:5" x14ac:dyDescent="0.25">
      <c r="B216" s="12"/>
      <c r="C216" s="12"/>
      <c r="D216" s="13"/>
      <c r="E216" s="14"/>
    </row>
    <row r="217" spans="2:5" x14ac:dyDescent="0.25">
      <c r="B217" s="12"/>
      <c r="C217" s="12"/>
      <c r="D217" s="13"/>
      <c r="E217" s="14"/>
    </row>
    <row r="218" spans="2:5" x14ac:dyDescent="0.25">
      <c r="B218" s="12"/>
      <c r="C218" s="12"/>
      <c r="D218" s="13"/>
      <c r="E218" s="14"/>
    </row>
    <row r="219" spans="2:5" x14ac:dyDescent="0.25">
      <c r="B219" s="12"/>
      <c r="C219" s="12"/>
      <c r="D219" s="13"/>
      <c r="E219" s="14"/>
    </row>
    <row r="220" spans="2:5" x14ac:dyDescent="0.25">
      <c r="B220" s="12"/>
      <c r="C220" s="12"/>
      <c r="D220" s="13"/>
      <c r="E220" s="14"/>
    </row>
    <row r="221" spans="2:5" x14ac:dyDescent="0.25">
      <c r="B221" s="12"/>
      <c r="C221" s="12"/>
      <c r="D221" s="13"/>
      <c r="E221" s="14"/>
    </row>
    <row r="222" spans="2:5" x14ac:dyDescent="0.25">
      <c r="B222" s="12"/>
      <c r="C222" s="12"/>
      <c r="D222" s="13"/>
      <c r="E222" s="14"/>
    </row>
    <row r="223" spans="2:5" x14ac:dyDescent="0.25">
      <c r="B223" s="12"/>
      <c r="C223" s="12"/>
      <c r="D223" s="13"/>
      <c r="E223" s="14"/>
    </row>
    <row r="224" spans="2:5" x14ac:dyDescent="0.25">
      <c r="B224" s="12"/>
      <c r="C224" s="12"/>
      <c r="D224" s="13"/>
      <c r="E224" s="14"/>
    </row>
    <row r="225" spans="2:5" x14ac:dyDescent="0.25">
      <c r="B225" s="12"/>
      <c r="C225" s="12"/>
      <c r="D225" s="13"/>
      <c r="E225" s="14"/>
    </row>
    <row r="226" spans="2:5" x14ac:dyDescent="0.25">
      <c r="B226" s="12"/>
      <c r="C226" s="12"/>
      <c r="D226" s="13"/>
      <c r="E226" s="14"/>
    </row>
    <row r="227" spans="2:5" x14ac:dyDescent="0.25">
      <c r="B227" s="12"/>
      <c r="C227" s="12"/>
      <c r="D227" s="13"/>
      <c r="E227" s="14"/>
    </row>
    <row r="228" spans="2:5" x14ac:dyDescent="0.25">
      <c r="B228" s="12"/>
      <c r="C228" s="12"/>
      <c r="D228" s="13"/>
      <c r="E228" s="14"/>
    </row>
    <row r="229" spans="2:5" x14ac:dyDescent="0.25">
      <c r="B229" s="12"/>
      <c r="C229" s="12"/>
      <c r="D229" s="13"/>
      <c r="E229" s="14"/>
    </row>
    <row r="230" spans="2:5" x14ac:dyDescent="0.25">
      <c r="B230" s="12"/>
      <c r="C230" s="12"/>
      <c r="D230" s="13"/>
      <c r="E230" s="14"/>
    </row>
    <row r="231" spans="2:5" x14ac:dyDescent="0.25">
      <c r="B231" s="12"/>
      <c r="C231" s="12"/>
      <c r="D231" s="13"/>
      <c r="E231" s="14"/>
    </row>
    <row r="232" spans="2:5" x14ac:dyDescent="0.25">
      <c r="B232" s="12"/>
      <c r="C232" s="12"/>
      <c r="D232" s="13"/>
      <c r="E232" s="14"/>
    </row>
    <row r="233" spans="2:5" x14ac:dyDescent="0.25">
      <c r="B233" s="12"/>
      <c r="C233" s="12"/>
      <c r="D233" s="13"/>
      <c r="E233" s="14"/>
    </row>
    <row r="234" spans="2:5" x14ac:dyDescent="0.25">
      <c r="B234" s="12"/>
      <c r="C234" s="12"/>
      <c r="D234" s="13"/>
      <c r="E234" s="14"/>
    </row>
    <row r="235" spans="2:5" x14ac:dyDescent="0.25">
      <c r="B235" s="12"/>
      <c r="C235" s="12"/>
      <c r="D235" s="13"/>
      <c r="E235" s="14"/>
    </row>
    <row r="236" spans="2:5" x14ac:dyDescent="0.25">
      <c r="B236" s="12"/>
      <c r="C236" s="12"/>
      <c r="D236" s="13"/>
      <c r="E236" s="14"/>
    </row>
    <row r="237" spans="2:5" x14ac:dyDescent="0.25">
      <c r="B237" s="12"/>
      <c r="C237" s="12"/>
      <c r="D237" s="13"/>
      <c r="E237" s="14"/>
    </row>
    <row r="238" spans="2:5" x14ac:dyDescent="0.25">
      <c r="B238" s="12"/>
      <c r="C238" s="12"/>
      <c r="D238" s="13"/>
      <c r="E238" s="14"/>
    </row>
    <row r="239" spans="2:5" x14ac:dyDescent="0.25">
      <c r="B239" s="12"/>
      <c r="C239" s="12"/>
      <c r="D239" s="13"/>
      <c r="E239" s="14"/>
    </row>
    <row r="240" spans="2:5" x14ac:dyDescent="0.25">
      <c r="B240" s="12"/>
      <c r="C240" s="12"/>
      <c r="D240" s="13"/>
      <c r="E240" s="14"/>
    </row>
    <row r="241" spans="2:5" x14ac:dyDescent="0.25">
      <c r="B241" s="12"/>
      <c r="C241" s="12"/>
      <c r="D241" s="13"/>
      <c r="E241" s="14"/>
    </row>
    <row r="242" spans="2:5" x14ac:dyDescent="0.25">
      <c r="B242" s="12"/>
      <c r="C242" s="12"/>
      <c r="D242" s="13"/>
      <c r="E242" s="14"/>
    </row>
    <row r="243" spans="2:5" x14ac:dyDescent="0.25">
      <c r="B243" s="12"/>
      <c r="C243" s="12"/>
      <c r="D243" s="13"/>
      <c r="E243" s="14"/>
    </row>
    <row r="244" spans="2:5" x14ac:dyDescent="0.25">
      <c r="B244" s="12"/>
      <c r="C244" s="12"/>
      <c r="D244" s="13"/>
      <c r="E244" s="14"/>
    </row>
    <row r="245" spans="2:5" x14ac:dyDescent="0.25">
      <c r="B245" s="12"/>
      <c r="C245" s="12"/>
      <c r="D245" s="13"/>
      <c r="E245" s="14"/>
    </row>
    <row r="246" spans="2:5" x14ac:dyDescent="0.25">
      <c r="B246" s="12"/>
      <c r="C246" s="12"/>
      <c r="D246" s="13"/>
      <c r="E246" s="14"/>
    </row>
    <row r="247" spans="2:5" x14ac:dyDescent="0.25">
      <c r="B247" s="12"/>
      <c r="C247" s="12"/>
      <c r="D247" s="13"/>
      <c r="E247" s="14"/>
    </row>
    <row r="248" spans="2:5" x14ac:dyDescent="0.25">
      <c r="B248" s="12"/>
      <c r="C248" s="12"/>
      <c r="D248" s="13"/>
      <c r="E248" s="14"/>
    </row>
    <row r="249" spans="2:5" x14ac:dyDescent="0.25">
      <c r="B249" s="12"/>
      <c r="C249" s="12"/>
      <c r="D249" s="13"/>
      <c r="E249" s="14"/>
    </row>
    <row r="250" spans="2:5" x14ac:dyDescent="0.25">
      <c r="B250" s="12"/>
      <c r="C250" s="12"/>
      <c r="D250" s="13"/>
      <c r="E250" s="14"/>
    </row>
    <row r="251" spans="2:5" x14ac:dyDescent="0.25">
      <c r="B251" s="12"/>
      <c r="C251" s="12"/>
      <c r="D251" s="13"/>
      <c r="E251" s="14"/>
    </row>
    <row r="252" spans="2:5" x14ac:dyDescent="0.25">
      <c r="B252" s="12"/>
      <c r="C252" s="12"/>
      <c r="D252" s="13"/>
      <c r="E252" s="14"/>
    </row>
    <row r="253" spans="2:5" x14ac:dyDescent="0.25">
      <c r="B253" s="12"/>
      <c r="C253" s="12"/>
      <c r="D253" s="13"/>
      <c r="E253" s="14"/>
    </row>
    <row r="254" spans="2:5" x14ac:dyDescent="0.25">
      <c r="B254" s="12"/>
      <c r="C254" s="12"/>
      <c r="D254" s="13"/>
      <c r="E254" s="14"/>
    </row>
    <row r="255" spans="2:5" x14ac:dyDescent="0.25">
      <c r="B255" s="12"/>
      <c r="C255" s="12"/>
      <c r="D255" s="13"/>
      <c r="E255" s="14"/>
    </row>
    <row r="256" spans="2:5" x14ac:dyDescent="0.25">
      <c r="B256" s="12"/>
      <c r="C256" s="12"/>
      <c r="D256" s="13"/>
      <c r="E256" s="14"/>
    </row>
    <row r="257" spans="2:5" x14ac:dyDescent="0.25">
      <c r="B257" s="12"/>
      <c r="C257" s="12"/>
      <c r="D257" s="13"/>
      <c r="E257" s="14"/>
    </row>
    <row r="258" spans="2:5" x14ac:dyDescent="0.25">
      <c r="B258" s="12"/>
      <c r="C258" s="12"/>
      <c r="D258" s="13"/>
      <c r="E258" s="14"/>
    </row>
    <row r="259" spans="2:5" x14ac:dyDescent="0.25">
      <c r="B259" s="12"/>
      <c r="C259" s="12"/>
      <c r="D259" s="13"/>
      <c r="E259" s="14"/>
    </row>
    <row r="260" spans="2:5" x14ac:dyDescent="0.25">
      <c r="B260" s="12"/>
      <c r="C260" s="12"/>
      <c r="D260" s="13"/>
      <c r="E260" s="14"/>
    </row>
    <row r="261" spans="2:5" x14ac:dyDescent="0.25">
      <c r="B261" s="12"/>
      <c r="C261" s="12"/>
      <c r="D261" s="13"/>
      <c r="E261" s="14"/>
    </row>
    <row r="262" spans="2:5" x14ac:dyDescent="0.25">
      <c r="B262" s="12"/>
      <c r="C262" s="12"/>
      <c r="D262" s="13"/>
      <c r="E262" s="14"/>
    </row>
    <row r="263" spans="2:5" x14ac:dyDescent="0.25">
      <c r="B263" s="12"/>
      <c r="C263" s="12"/>
      <c r="D263" s="13"/>
      <c r="E263" s="14"/>
    </row>
    <row r="264" spans="2:5" x14ac:dyDescent="0.25">
      <c r="B264" s="12"/>
      <c r="C264" s="12"/>
      <c r="D264" s="13"/>
      <c r="E264" s="14"/>
    </row>
    <row r="265" spans="2:5" x14ac:dyDescent="0.25">
      <c r="B265" s="12"/>
      <c r="C265" s="12"/>
      <c r="D265" s="13"/>
      <c r="E265" s="14"/>
    </row>
    <row r="266" spans="2:5" x14ac:dyDescent="0.25">
      <c r="B266" s="12"/>
      <c r="C266" s="12"/>
      <c r="D266" s="13"/>
      <c r="E266" s="14"/>
    </row>
    <row r="267" spans="2:5" x14ac:dyDescent="0.25">
      <c r="B267" s="12"/>
      <c r="C267" s="12"/>
      <c r="D267" s="13"/>
      <c r="E267" s="14"/>
    </row>
    <row r="268" spans="2:5" x14ac:dyDescent="0.25">
      <c r="B268" s="12"/>
      <c r="C268" s="12"/>
      <c r="D268" s="13"/>
      <c r="E268" s="14"/>
    </row>
    <row r="269" spans="2:5" x14ac:dyDescent="0.25">
      <c r="B269" s="12"/>
      <c r="C269" s="12"/>
      <c r="D269" s="13"/>
      <c r="E269" s="14"/>
    </row>
    <row r="270" spans="2:5" x14ac:dyDescent="0.25">
      <c r="B270" s="12"/>
      <c r="C270" s="12"/>
      <c r="D270" s="13"/>
      <c r="E270" s="14"/>
    </row>
    <row r="271" spans="2:5" x14ac:dyDescent="0.25">
      <c r="B271" s="12"/>
      <c r="C271" s="12"/>
      <c r="D271" s="13"/>
      <c r="E271" s="14"/>
    </row>
    <row r="272" spans="2:5" x14ac:dyDescent="0.25">
      <c r="B272" s="12"/>
      <c r="C272" s="12"/>
      <c r="D272" s="13"/>
      <c r="E272" s="14"/>
    </row>
    <row r="273" spans="2:5" x14ac:dyDescent="0.25">
      <c r="B273" s="12"/>
      <c r="C273" s="12"/>
      <c r="D273" s="13"/>
      <c r="E273" s="14"/>
    </row>
    <row r="274" spans="2:5" x14ac:dyDescent="0.25">
      <c r="B274" s="12"/>
      <c r="C274" s="12"/>
      <c r="D274" s="13"/>
      <c r="E274" s="14"/>
    </row>
    <row r="275" spans="2:5" x14ac:dyDescent="0.25">
      <c r="B275" s="12"/>
      <c r="C275" s="12"/>
      <c r="D275" s="13"/>
      <c r="E275" s="14"/>
    </row>
    <row r="276" spans="2:5" x14ac:dyDescent="0.25">
      <c r="B276" s="12"/>
      <c r="C276" s="12"/>
      <c r="D276" s="13"/>
      <c r="E276" s="14"/>
    </row>
    <row r="277" spans="2:5" x14ac:dyDescent="0.25">
      <c r="B277" s="12"/>
      <c r="C277" s="12"/>
      <c r="D277" s="13"/>
      <c r="E277" s="14"/>
    </row>
    <row r="278" spans="2:5" x14ac:dyDescent="0.25">
      <c r="B278" s="12"/>
      <c r="C278" s="12"/>
      <c r="D278" s="13"/>
      <c r="E278" s="14"/>
    </row>
    <row r="279" spans="2:5" x14ac:dyDescent="0.25">
      <c r="B279" s="12"/>
      <c r="C279" s="12"/>
      <c r="D279" s="13"/>
      <c r="E279" s="14"/>
    </row>
    <row r="280" spans="2:5" x14ac:dyDescent="0.25">
      <c r="B280" s="12"/>
      <c r="C280" s="12"/>
      <c r="D280" s="13"/>
      <c r="E280" s="14"/>
    </row>
    <row r="281" spans="2:5" x14ac:dyDescent="0.25">
      <c r="B281" s="12"/>
      <c r="C281" s="12"/>
      <c r="D281" s="13"/>
      <c r="E281" s="14"/>
    </row>
    <row r="282" spans="2:5" x14ac:dyDescent="0.25">
      <c r="B282" s="12"/>
      <c r="C282" s="12"/>
      <c r="D282" s="13"/>
      <c r="E282" s="14"/>
    </row>
    <row r="283" spans="2:5" x14ac:dyDescent="0.25">
      <c r="B283" s="12"/>
      <c r="C283" s="12"/>
      <c r="D283" s="13"/>
      <c r="E283" s="14"/>
    </row>
    <row r="284" spans="2:5" x14ac:dyDescent="0.25">
      <c r="B284" s="12"/>
      <c r="C284" s="12"/>
      <c r="D284" s="13"/>
      <c r="E284" s="14"/>
    </row>
    <row r="285" spans="2:5" x14ac:dyDescent="0.25">
      <c r="B285" s="12"/>
      <c r="C285" s="12"/>
      <c r="D285" s="13"/>
      <c r="E285" s="14"/>
    </row>
    <row r="286" spans="2:5" x14ac:dyDescent="0.25">
      <c r="B286" s="12"/>
      <c r="C286" s="12"/>
      <c r="D286" s="13"/>
      <c r="E286" s="14"/>
    </row>
    <row r="287" spans="2:5" x14ac:dyDescent="0.25">
      <c r="B287" s="12"/>
      <c r="C287" s="12"/>
      <c r="D287" s="13"/>
      <c r="E287" s="14"/>
    </row>
    <row r="288" spans="2:5" x14ac:dyDescent="0.25">
      <c r="B288" s="12"/>
      <c r="C288" s="12"/>
      <c r="D288" s="13"/>
      <c r="E288" s="14"/>
    </row>
    <row r="289" spans="2:5" x14ac:dyDescent="0.25">
      <c r="B289" s="12"/>
      <c r="C289" s="12"/>
      <c r="D289" s="13"/>
      <c r="E289" s="14"/>
    </row>
    <row r="290" spans="2:5" x14ac:dyDescent="0.25">
      <c r="B290" s="12"/>
      <c r="C290" s="12"/>
      <c r="D290" s="13"/>
      <c r="E290" s="14"/>
    </row>
    <row r="291" spans="2:5" x14ac:dyDescent="0.25">
      <c r="B291" s="12"/>
      <c r="C291" s="12"/>
      <c r="D291" s="13"/>
      <c r="E291" s="14"/>
    </row>
    <row r="292" spans="2:5" x14ac:dyDescent="0.25">
      <c r="B292" s="12"/>
      <c r="C292" s="12"/>
      <c r="D292" s="13"/>
      <c r="E292" s="14"/>
    </row>
    <row r="293" spans="2:5" x14ac:dyDescent="0.25">
      <c r="B293" s="12"/>
      <c r="C293" s="12"/>
      <c r="D293" s="13"/>
      <c r="E293" s="14"/>
    </row>
    <row r="294" spans="2:5" x14ac:dyDescent="0.25">
      <c r="B294" s="12"/>
      <c r="C294" s="12"/>
      <c r="D294" s="13"/>
      <c r="E294" s="14"/>
    </row>
    <row r="295" spans="2:5" x14ac:dyDescent="0.25">
      <c r="B295" s="12"/>
      <c r="C295" s="12"/>
      <c r="D295" s="13"/>
      <c r="E295" s="14"/>
    </row>
    <row r="296" spans="2:5" x14ac:dyDescent="0.25">
      <c r="B296" s="12"/>
      <c r="C296" s="12"/>
      <c r="D296" s="13"/>
      <c r="E296" s="14"/>
    </row>
    <row r="297" spans="2:5" x14ac:dyDescent="0.25">
      <c r="B297" s="12"/>
      <c r="C297" s="12"/>
      <c r="D297" s="13"/>
      <c r="E297" s="14"/>
    </row>
    <row r="298" spans="2:5" x14ac:dyDescent="0.25">
      <c r="B298" s="12"/>
      <c r="C298" s="12"/>
      <c r="D298" s="13"/>
      <c r="E298" s="14"/>
    </row>
    <row r="299" spans="2:5" x14ac:dyDescent="0.25">
      <c r="B299" s="12"/>
      <c r="C299" s="12"/>
      <c r="D299" s="13"/>
      <c r="E299" s="14"/>
    </row>
    <row r="300" spans="2:5" x14ac:dyDescent="0.25">
      <c r="B300" s="12"/>
      <c r="C300" s="12"/>
      <c r="D300" s="13"/>
      <c r="E300" s="14"/>
    </row>
    <row r="301" spans="2:5" x14ac:dyDescent="0.25">
      <c r="B301" s="12"/>
      <c r="C301" s="12"/>
      <c r="D301" s="13"/>
      <c r="E301" s="14"/>
    </row>
    <row r="302" spans="2:5" x14ac:dyDescent="0.25">
      <c r="B302" s="12"/>
      <c r="C302" s="12"/>
      <c r="D302" s="13"/>
      <c r="E302" s="14"/>
    </row>
    <row r="303" spans="2:5" x14ac:dyDescent="0.25">
      <c r="B303" s="12"/>
      <c r="C303" s="12"/>
      <c r="D303" s="13"/>
      <c r="E303" s="14"/>
    </row>
    <row r="304" spans="2:5" x14ac:dyDescent="0.25">
      <c r="B304" s="12"/>
      <c r="C304" s="12"/>
      <c r="D304" s="13"/>
      <c r="E304" s="14"/>
    </row>
    <row r="305" spans="2:5" x14ac:dyDescent="0.25">
      <c r="B305" s="12"/>
      <c r="C305" s="12"/>
      <c r="D305" s="13"/>
      <c r="E305" s="14"/>
    </row>
    <row r="306" spans="2:5" x14ac:dyDescent="0.25">
      <c r="B306" s="12"/>
      <c r="C306" s="12"/>
      <c r="D306" s="13"/>
      <c r="E306" s="14"/>
    </row>
    <row r="307" spans="2:5" x14ac:dyDescent="0.25">
      <c r="B307" s="12"/>
      <c r="C307" s="12"/>
      <c r="D307" s="13"/>
      <c r="E307" s="14"/>
    </row>
    <row r="308" spans="2:5" x14ac:dyDescent="0.25">
      <c r="B308" s="12"/>
      <c r="C308" s="12"/>
      <c r="D308" s="13"/>
      <c r="E308" s="14"/>
    </row>
    <row r="309" spans="2:5" x14ac:dyDescent="0.25">
      <c r="B309" s="12"/>
      <c r="C309" s="12"/>
      <c r="D309" s="13"/>
      <c r="E309" s="14"/>
    </row>
    <row r="310" spans="2:5" x14ac:dyDescent="0.25">
      <c r="B310" s="12"/>
      <c r="C310" s="12"/>
      <c r="D310" s="13"/>
      <c r="E310" s="14"/>
    </row>
    <row r="311" spans="2:5" x14ac:dyDescent="0.25">
      <c r="B311" s="12"/>
      <c r="C311" s="12"/>
      <c r="D311" s="13"/>
      <c r="E311" s="14"/>
    </row>
    <row r="312" spans="2:5" x14ac:dyDescent="0.25">
      <c r="B312" s="12"/>
      <c r="C312" s="12"/>
      <c r="D312" s="13"/>
      <c r="E312" s="14"/>
    </row>
    <row r="313" spans="2:5" x14ac:dyDescent="0.25">
      <c r="B313" s="12"/>
      <c r="C313" s="12"/>
      <c r="D313" s="13"/>
      <c r="E313" s="14"/>
    </row>
    <row r="314" spans="2:5" x14ac:dyDescent="0.25">
      <c r="B314" s="12"/>
      <c r="C314" s="12"/>
      <c r="D314" s="13"/>
      <c r="E314" s="14"/>
    </row>
    <row r="315" spans="2:5" x14ac:dyDescent="0.25">
      <c r="B315" s="12"/>
      <c r="C315" s="12"/>
      <c r="D315" s="13"/>
      <c r="E315" s="14"/>
    </row>
    <row r="316" spans="2:5" x14ac:dyDescent="0.25">
      <c r="B316" s="12"/>
      <c r="C316" s="12"/>
      <c r="D316" s="13"/>
      <c r="E316" s="14"/>
    </row>
    <row r="317" spans="2:5" x14ac:dyDescent="0.25">
      <c r="B317" s="12"/>
      <c r="C317" s="12"/>
      <c r="D317" s="13"/>
      <c r="E317" s="14"/>
    </row>
    <row r="318" spans="2:5" x14ac:dyDescent="0.25">
      <c r="B318" s="12"/>
      <c r="C318" s="12"/>
      <c r="D318" s="13"/>
      <c r="E318" s="14"/>
    </row>
    <row r="319" spans="2:5" x14ac:dyDescent="0.25">
      <c r="B319" s="12"/>
      <c r="C319" s="12"/>
      <c r="D319" s="13"/>
      <c r="E319" s="14"/>
    </row>
    <row r="320" spans="2:5" x14ac:dyDescent="0.25">
      <c r="B320" s="12"/>
      <c r="C320" s="12"/>
      <c r="D320" s="13"/>
      <c r="E320" s="14"/>
    </row>
    <row r="321" spans="2:5" x14ac:dyDescent="0.25">
      <c r="B321" s="12"/>
      <c r="C321" s="12"/>
      <c r="D321" s="13"/>
      <c r="E321" s="14"/>
    </row>
    <row r="322" spans="2:5" x14ac:dyDescent="0.25">
      <c r="B322" s="12"/>
      <c r="C322" s="12"/>
      <c r="D322" s="13"/>
      <c r="E322" s="14"/>
    </row>
    <row r="323" spans="2:5" x14ac:dyDescent="0.25">
      <c r="B323" s="12"/>
      <c r="C323" s="12"/>
      <c r="D323" s="13"/>
      <c r="E323" s="14"/>
    </row>
    <row r="324" spans="2:5" x14ac:dyDescent="0.25">
      <c r="B324" s="12"/>
      <c r="C324" s="12"/>
      <c r="D324" s="13"/>
      <c r="E324" s="14"/>
    </row>
    <row r="325" spans="2:5" x14ac:dyDescent="0.25">
      <c r="B325" s="12"/>
      <c r="C325" s="12"/>
      <c r="D325" s="13"/>
      <c r="E325" s="14"/>
    </row>
    <row r="326" spans="2:5" x14ac:dyDescent="0.25">
      <c r="B326" s="12"/>
      <c r="C326" s="12"/>
      <c r="D326" s="13"/>
      <c r="E326" s="14"/>
    </row>
    <row r="327" spans="2:5" x14ac:dyDescent="0.25">
      <c r="B327" s="12"/>
      <c r="C327" s="12"/>
      <c r="D327" s="13"/>
      <c r="E327" s="14"/>
    </row>
    <row r="328" spans="2:5" x14ac:dyDescent="0.25">
      <c r="B328" s="12"/>
      <c r="C328" s="12"/>
      <c r="D328" s="13"/>
      <c r="E328" s="14"/>
    </row>
    <row r="329" spans="2:5" x14ac:dyDescent="0.25">
      <c r="B329" s="12"/>
      <c r="C329" s="12"/>
      <c r="D329" s="13"/>
      <c r="E329" s="14"/>
    </row>
    <row r="330" spans="2:5" x14ac:dyDescent="0.25">
      <c r="B330" s="12"/>
      <c r="C330" s="12"/>
      <c r="D330" s="13"/>
      <c r="E330" s="14"/>
    </row>
    <row r="331" spans="2:5" x14ac:dyDescent="0.25">
      <c r="B331" s="12"/>
      <c r="C331" s="12"/>
      <c r="D331" s="13"/>
      <c r="E331" s="14"/>
    </row>
    <row r="332" spans="2:5" x14ac:dyDescent="0.25">
      <c r="B332" s="12"/>
      <c r="C332" s="12"/>
      <c r="D332" s="13"/>
      <c r="E332" s="14"/>
    </row>
    <row r="333" spans="2:5" x14ac:dyDescent="0.25">
      <c r="B333" s="12"/>
      <c r="C333" s="12"/>
      <c r="D333" s="13"/>
      <c r="E333" s="14"/>
    </row>
    <row r="334" spans="2:5" x14ac:dyDescent="0.25">
      <c r="B334" s="12"/>
      <c r="C334" s="12"/>
      <c r="D334" s="13"/>
      <c r="E334" s="14"/>
    </row>
    <row r="335" spans="2:5" x14ac:dyDescent="0.25">
      <c r="B335" s="12"/>
      <c r="C335" s="12"/>
      <c r="D335" s="13"/>
      <c r="E335" s="14"/>
    </row>
    <row r="336" spans="2:5" x14ac:dyDescent="0.25">
      <c r="B336" s="12"/>
      <c r="C336" s="12"/>
      <c r="D336" s="13"/>
      <c r="E336" s="14"/>
    </row>
    <row r="337" spans="2:5" x14ac:dyDescent="0.25">
      <c r="B337" s="12"/>
      <c r="C337" s="12"/>
      <c r="D337" s="13"/>
      <c r="E337" s="14"/>
    </row>
    <row r="338" spans="2:5" x14ac:dyDescent="0.25">
      <c r="B338" s="12"/>
      <c r="C338" s="12"/>
      <c r="D338" s="13"/>
      <c r="E338" s="14"/>
    </row>
    <row r="339" spans="2:5" x14ac:dyDescent="0.25">
      <c r="B339" s="12"/>
      <c r="C339" s="12"/>
      <c r="D339" s="13"/>
      <c r="E339" s="14"/>
    </row>
    <row r="340" spans="2:5" x14ac:dyDescent="0.25">
      <c r="B340" s="12"/>
      <c r="C340" s="12"/>
      <c r="D340" s="13"/>
      <c r="E340" s="14"/>
    </row>
    <row r="341" spans="2:5" x14ac:dyDescent="0.25">
      <c r="B341" s="12"/>
      <c r="C341" s="12"/>
      <c r="D341" s="13"/>
      <c r="E341" s="14"/>
    </row>
    <row r="342" spans="2:5" x14ac:dyDescent="0.25">
      <c r="B342" s="12"/>
      <c r="C342" s="12"/>
      <c r="D342" s="13"/>
      <c r="E342" s="14"/>
    </row>
    <row r="343" spans="2:5" x14ac:dyDescent="0.25">
      <c r="B343" s="12"/>
      <c r="C343" s="12"/>
      <c r="D343" s="13"/>
      <c r="E343" s="14"/>
    </row>
    <row r="344" spans="2:5" x14ac:dyDescent="0.25">
      <c r="B344" s="12"/>
      <c r="C344" s="12"/>
      <c r="D344" s="13"/>
      <c r="E344" s="14"/>
    </row>
    <row r="345" spans="2:5" x14ac:dyDescent="0.25">
      <c r="B345" s="12"/>
      <c r="C345" s="12"/>
      <c r="D345" s="13"/>
      <c r="E345" s="14"/>
    </row>
    <row r="346" spans="2:5" x14ac:dyDescent="0.25">
      <c r="B346" s="12"/>
      <c r="C346" s="12"/>
      <c r="D346" s="13"/>
      <c r="E346" s="14"/>
    </row>
    <row r="347" spans="2:5" x14ac:dyDescent="0.25">
      <c r="B347" s="12"/>
      <c r="C347" s="12"/>
      <c r="D347" s="13"/>
      <c r="E347" s="14"/>
    </row>
    <row r="348" spans="2:5" x14ac:dyDescent="0.25">
      <c r="B348" s="12"/>
      <c r="C348" s="12"/>
      <c r="D348" s="13"/>
      <c r="E348" s="14"/>
    </row>
    <row r="349" spans="2:5" x14ac:dyDescent="0.25">
      <c r="B349" s="12"/>
      <c r="C349" s="12"/>
      <c r="D349" s="13"/>
      <c r="E349" s="14"/>
    </row>
    <row r="350" spans="2:5" x14ac:dyDescent="0.25">
      <c r="B350" s="12"/>
      <c r="C350" s="12"/>
      <c r="D350" s="13"/>
      <c r="E350" s="14"/>
    </row>
    <row r="351" spans="2:5" x14ac:dyDescent="0.25">
      <c r="B351" s="12"/>
      <c r="C351" s="12"/>
      <c r="D351" s="13"/>
      <c r="E351" s="14"/>
    </row>
    <row r="352" spans="2:5" x14ac:dyDescent="0.25">
      <c r="B352" s="12"/>
      <c r="C352" s="12"/>
      <c r="D352" s="13"/>
      <c r="E352" s="14"/>
    </row>
    <row r="353" spans="2:5" x14ac:dyDescent="0.25">
      <c r="B353" s="12"/>
      <c r="C353" s="12"/>
      <c r="D353" s="13"/>
      <c r="E353" s="14"/>
    </row>
    <row r="354" spans="2:5" x14ac:dyDescent="0.25">
      <c r="B354" s="12"/>
      <c r="C354" s="12"/>
      <c r="D354" s="13"/>
      <c r="E354" s="14"/>
    </row>
    <row r="355" spans="2:5" x14ac:dyDescent="0.25">
      <c r="B355" s="12"/>
      <c r="C355" s="12"/>
      <c r="D355" s="13"/>
      <c r="E355" s="14"/>
    </row>
    <row r="356" spans="2:5" x14ac:dyDescent="0.25">
      <c r="B356" s="12"/>
      <c r="C356" s="12"/>
      <c r="D356" s="13"/>
      <c r="E356" s="14"/>
    </row>
    <row r="357" spans="2:5" x14ac:dyDescent="0.25">
      <c r="B357" s="12"/>
      <c r="C357" s="12"/>
      <c r="D357" s="13"/>
      <c r="E357" s="14"/>
    </row>
    <row r="358" spans="2:5" x14ac:dyDescent="0.25">
      <c r="B358" s="12"/>
      <c r="C358" s="12"/>
      <c r="D358" s="13"/>
      <c r="E358" s="14"/>
    </row>
    <row r="359" spans="2:5" x14ac:dyDescent="0.25">
      <c r="B359" s="12"/>
      <c r="C359" s="12"/>
      <c r="D359" s="13"/>
      <c r="E359" s="14"/>
    </row>
    <row r="360" spans="2:5" x14ac:dyDescent="0.25">
      <c r="B360" s="12"/>
      <c r="C360" s="12"/>
      <c r="D360" s="13"/>
      <c r="E360" s="14"/>
    </row>
    <row r="361" spans="2:5" x14ac:dyDescent="0.25">
      <c r="B361" s="12"/>
      <c r="C361" s="12"/>
      <c r="D361" s="13"/>
      <c r="E361" s="14"/>
    </row>
    <row r="362" spans="2:5" x14ac:dyDescent="0.25">
      <c r="B362" s="12"/>
      <c r="C362" s="12"/>
      <c r="D362" s="13"/>
      <c r="E362" s="14"/>
    </row>
    <row r="363" spans="2:5" x14ac:dyDescent="0.25">
      <c r="B363" s="12"/>
      <c r="C363" s="12"/>
      <c r="D363" s="13"/>
      <c r="E363" s="14"/>
    </row>
    <row r="364" spans="2:5" x14ac:dyDescent="0.25">
      <c r="B364" s="12"/>
      <c r="C364" s="12"/>
      <c r="D364" s="13"/>
      <c r="E364" s="14"/>
    </row>
    <row r="365" spans="2:5" x14ac:dyDescent="0.25">
      <c r="B365" s="12"/>
      <c r="C365" s="12"/>
      <c r="D365" s="13"/>
      <c r="E365" s="14"/>
    </row>
    <row r="366" spans="2:5" x14ac:dyDescent="0.25">
      <c r="B366" s="12"/>
      <c r="C366" s="12"/>
      <c r="D366" s="13"/>
      <c r="E366" s="14"/>
    </row>
    <row r="367" spans="2:5" x14ac:dyDescent="0.25">
      <c r="B367" s="12"/>
      <c r="C367" s="12"/>
      <c r="D367" s="13"/>
      <c r="E367" s="14"/>
    </row>
    <row r="368" spans="2:5" x14ac:dyDescent="0.25">
      <c r="B368" s="12"/>
      <c r="C368" s="12"/>
      <c r="D368" s="13"/>
      <c r="E368" s="14"/>
    </row>
    <row r="369" spans="2:5" x14ac:dyDescent="0.25">
      <c r="B369" s="12"/>
      <c r="C369" s="12"/>
      <c r="D369" s="13"/>
      <c r="E369" s="14"/>
    </row>
    <row r="370" spans="2:5" x14ac:dyDescent="0.25">
      <c r="B370" s="12"/>
      <c r="C370" s="12"/>
      <c r="D370" s="13"/>
      <c r="E370" s="14"/>
    </row>
    <row r="371" spans="2:5" x14ac:dyDescent="0.25">
      <c r="B371" s="12"/>
      <c r="C371" s="12"/>
      <c r="D371" s="13"/>
      <c r="E371" s="14"/>
    </row>
    <row r="372" spans="2:5" x14ac:dyDescent="0.25">
      <c r="B372" s="12"/>
      <c r="C372" s="12"/>
      <c r="D372" s="13"/>
      <c r="E372" s="14"/>
    </row>
    <row r="373" spans="2:5" x14ac:dyDescent="0.25">
      <c r="B373" s="12"/>
      <c r="C373" s="12"/>
      <c r="D373" s="13"/>
      <c r="E373" s="14"/>
    </row>
    <row r="374" spans="2:5" x14ac:dyDescent="0.25">
      <c r="B374" s="12"/>
      <c r="C374" s="12"/>
      <c r="D374" s="13"/>
      <c r="E374" s="14"/>
    </row>
    <row r="375" spans="2:5" x14ac:dyDescent="0.25">
      <c r="B375" s="12"/>
      <c r="C375" s="12"/>
      <c r="D375" s="13"/>
      <c r="E375" s="14"/>
    </row>
    <row r="376" spans="2:5" x14ac:dyDescent="0.25">
      <c r="B376" s="12"/>
      <c r="C376" s="12"/>
      <c r="D376" s="13"/>
      <c r="E376" s="14"/>
    </row>
    <row r="377" spans="2:5" x14ac:dyDescent="0.25">
      <c r="B377" s="12"/>
      <c r="C377" s="12"/>
      <c r="D377" s="13"/>
      <c r="E377" s="14"/>
    </row>
    <row r="378" spans="2:5" x14ac:dyDescent="0.25">
      <c r="B378" s="12"/>
      <c r="C378" s="12"/>
      <c r="D378" s="13"/>
      <c r="E378" s="14"/>
    </row>
    <row r="379" spans="2:5" x14ac:dyDescent="0.25">
      <c r="B379" s="12"/>
      <c r="C379" s="12"/>
      <c r="D379" s="13"/>
      <c r="E379" s="14"/>
    </row>
    <row r="380" spans="2:5" x14ac:dyDescent="0.25">
      <c r="B380" s="12"/>
      <c r="C380" s="12"/>
      <c r="D380" s="13"/>
      <c r="E380" s="14"/>
    </row>
    <row r="381" spans="2:5" x14ac:dyDescent="0.25">
      <c r="B381" s="12"/>
      <c r="C381" s="12"/>
      <c r="D381" s="13"/>
      <c r="E381" s="14"/>
    </row>
    <row r="382" spans="2:5" x14ac:dyDescent="0.25">
      <c r="B382" s="12"/>
      <c r="C382" s="12"/>
      <c r="D382" s="13"/>
      <c r="E382" s="14"/>
    </row>
    <row r="383" spans="2:5" x14ac:dyDescent="0.25">
      <c r="B383" s="12"/>
      <c r="C383" s="12"/>
      <c r="D383" s="13"/>
      <c r="E383" s="14"/>
    </row>
    <row r="384" spans="2:5" x14ac:dyDescent="0.25">
      <c r="B384" s="12"/>
      <c r="C384" s="12"/>
      <c r="D384" s="13"/>
      <c r="E384" s="14"/>
    </row>
    <row r="385" spans="2:5" x14ac:dyDescent="0.25">
      <c r="B385" s="12"/>
      <c r="C385" s="12"/>
      <c r="D385" s="13"/>
      <c r="E385" s="14"/>
    </row>
    <row r="386" spans="2:5" x14ac:dyDescent="0.25">
      <c r="B386" s="12"/>
      <c r="C386" s="12"/>
      <c r="D386" s="13"/>
      <c r="E386" s="14"/>
    </row>
    <row r="387" spans="2:5" x14ac:dyDescent="0.25">
      <c r="B387" s="12"/>
      <c r="C387" s="12"/>
      <c r="D387" s="13"/>
      <c r="E387" s="14"/>
    </row>
    <row r="388" spans="2:5" x14ac:dyDescent="0.25">
      <c r="B388" s="12"/>
      <c r="C388" s="12"/>
      <c r="D388" s="13"/>
      <c r="E388" s="14"/>
    </row>
    <row r="389" spans="2:5" x14ac:dyDescent="0.25">
      <c r="B389" s="12"/>
      <c r="C389" s="12"/>
      <c r="D389" s="13"/>
      <c r="E389" s="14"/>
    </row>
    <row r="390" spans="2:5" x14ac:dyDescent="0.25">
      <c r="B390" s="12"/>
      <c r="C390" s="12"/>
      <c r="D390" s="13"/>
      <c r="E390" s="14"/>
    </row>
    <row r="391" spans="2:5" x14ac:dyDescent="0.25">
      <c r="B391" s="12"/>
      <c r="C391" s="12"/>
      <c r="D391" s="13"/>
      <c r="E391" s="14"/>
    </row>
    <row r="392" spans="2:5" x14ac:dyDescent="0.25">
      <c r="B392" s="12"/>
      <c r="C392" s="12"/>
      <c r="D392" s="13"/>
      <c r="E392" s="14"/>
    </row>
    <row r="393" spans="2:5" x14ac:dyDescent="0.25">
      <c r="B393" s="12"/>
      <c r="C393" s="12"/>
      <c r="D393" s="13"/>
      <c r="E393" s="14"/>
    </row>
    <row r="394" spans="2:5" x14ac:dyDescent="0.25">
      <c r="B394" s="12"/>
      <c r="C394" s="12"/>
      <c r="D394" s="13"/>
      <c r="E394" s="14"/>
    </row>
    <row r="395" spans="2:5" x14ac:dyDescent="0.25">
      <c r="B395" s="12"/>
      <c r="C395" s="12"/>
      <c r="D395" s="13"/>
      <c r="E395" s="14"/>
    </row>
    <row r="396" spans="2:5" x14ac:dyDescent="0.25">
      <c r="B396" s="12"/>
      <c r="C396" s="12"/>
      <c r="D396" s="13"/>
      <c r="E396" s="14"/>
    </row>
    <row r="397" spans="2:5" x14ac:dyDescent="0.25">
      <c r="B397" s="12"/>
      <c r="C397" s="12"/>
      <c r="D397" s="13"/>
      <c r="E397" s="14"/>
    </row>
    <row r="398" spans="2:5" x14ac:dyDescent="0.25">
      <c r="B398" s="12"/>
      <c r="C398" s="12"/>
      <c r="D398" s="13"/>
      <c r="E398" s="14"/>
    </row>
    <row r="399" spans="2:5" x14ac:dyDescent="0.25">
      <c r="B399" s="12"/>
      <c r="C399" s="12"/>
      <c r="D399" s="13"/>
      <c r="E399" s="14"/>
    </row>
    <row r="400" spans="2:5" x14ac:dyDescent="0.25">
      <c r="B400" s="12"/>
      <c r="C400" s="12"/>
      <c r="D400" s="13"/>
      <c r="E400" s="14"/>
    </row>
    <row r="401" spans="2:5" x14ac:dyDescent="0.25">
      <c r="B401" s="12"/>
      <c r="C401" s="12"/>
      <c r="D401" s="13"/>
      <c r="E401" s="14"/>
    </row>
    <row r="402" spans="2:5" x14ac:dyDescent="0.25">
      <c r="B402" s="12"/>
      <c r="C402" s="12"/>
      <c r="D402" s="13"/>
      <c r="E402" s="14"/>
    </row>
    <row r="403" spans="2:5" x14ac:dyDescent="0.25">
      <c r="B403" s="12"/>
      <c r="C403" s="12"/>
      <c r="D403" s="13"/>
      <c r="E403" s="14"/>
    </row>
    <row r="404" spans="2:5" x14ac:dyDescent="0.25">
      <c r="B404" s="12"/>
      <c r="C404" s="12"/>
      <c r="D404" s="13"/>
      <c r="E404" s="14"/>
    </row>
    <row r="405" spans="2:5" x14ac:dyDescent="0.25">
      <c r="B405" s="12"/>
      <c r="C405" s="12"/>
      <c r="D405" s="13"/>
      <c r="E405" s="14"/>
    </row>
    <row r="406" spans="2:5" x14ac:dyDescent="0.25">
      <c r="B406" s="12"/>
      <c r="C406" s="12"/>
      <c r="D406" s="13"/>
      <c r="E406" s="14"/>
    </row>
    <row r="407" spans="2:5" x14ac:dyDescent="0.25">
      <c r="B407" s="12"/>
      <c r="C407" s="12"/>
      <c r="D407" s="13"/>
      <c r="E407" s="14"/>
    </row>
    <row r="408" spans="2:5" x14ac:dyDescent="0.25">
      <c r="B408" s="12"/>
      <c r="C408" s="12"/>
      <c r="D408" s="13"/>
      <c r="E408" s="14"/>
    </row>
    <row r="409" spans="2:5" x14ac:dyDescent="0.25">
      <c r="B409" s="12"/>
      <c r="C409" s="12"/>
      <c r="D409" s="13"/>
      <c r="E409" s="14"/>
    </row>
    <row r="410" spans="2:5" x14ac:dyDescent="0.25">
      <c r="B410" s="12"/>
      <c r="C410" s="12"/>
      <c r="D410" s="13"/>
      <c r="E410" s="14"/>
    </row>
    <row r="411" spans="2:5" x14ac:dyDescent="0.25">
      <c r="B411" s="12"/>
      <c r="C411" s="12"/>
      <c r="D411" s="13"/>
      <c r="E411" s="14"/>
    </row>
    <row r="412" spans="2:5" x14ac:dyDescent="0.25">
      <c r="B412" s="12"/>
      <c r="C412" s="12"/>
      <c r="D412" s="13"/>
      <c r="E412" s="14"/>
    </row>
    <row r="413" spans="2:5" x14ac:dyDescent="0.25">
      <c r="B413" s="12"/>
      <c r="C413" s="12"/>
      <c r="D413" s="13"/>
      <c r="E413" s="14"/>
    </row>
    <row r="414" spans="2:5" x14ac:dyDescent="0.25">
      <c r="B414" s="12"/>
      <c r="C414" s="12"/>
      <c r="D414" s="13"/>
      <c r="E414" s="14"/>
    </row>
    <row r="415" spans="2:5" x14ac:dyDescent="0.25">
      <c r="B415" s="12"/>
      <c r="C415" s="12"/>
      <c r="D415" s="13"/>
      <c r="E415" s="14"/>
    </row>
    <row r="416" spans="2:5" x14ac:dyDescent="0.25">
      <c r="B416" s="12"/>
      <c r="C416" s="12"/>
      <c r="D416" s="13"/>
      <c r="E416" s="14"/>
    </row>
    <row r="417" spans="2:5" x14ac:dyDescent="0.25">
      <c r="B417" s="12"/>
      <c r="C417" s="12"/>
      <c r="D417" s="13"/>
      <c r="E417" s="14"/>
    </row>
    <row r="418" spans="2:5" x14ac:dyDescent="0.25">
      <c r="B418" s="12"/>
      <c r="C418" s="12"/>
      <c r="D418" s="13"/>
      <c r="E418" s="14"/>
    </row>
    <row r="419" spans="2:5" x14ac:dyDescent="0.25">
      <c r="B419" s="12"/>
      <c r="C419" s="12"/>
      <c r="D419" s="13"/>
      <c r="E419" s="14"/>
    </row>
    <row r="420" spans="2:5" x14ac:dyDescent="0.25">
      <c r="B420" s="12"/>
      <c r="C420" s="12"/>
      <c r="D420" s="13"/>
      <c r="E420" s="14"/>
    </row>
    <row r="421" spans="2:5" x14ac:dyDescent="0.25">
      <c r="B421" s="12"/>
      <c r="C421" s="12"/>
      <c r="D421" s="13"/>
      <c r="E421" s="14"/>
    </row>
    <row r="422" spans="2:5" x14ac:dyDescent="0.25">
      <c r="B422" s="12"/>
      <c r="C422" s="12"/>
      <c r="D422" s="13"/>
      <c r="E422" s="14"/>
    </row>
    <row r="423" spans="2:5" x14ac:dyDescent="0.25">
      <c r="B423" s="12"/>
      <c r="C423" s="12"/>
      <c r="D423" s="13"/>
      <c r="E423" s="14"/>
    </row>
    <row r="424" spans="2:5" x14ac:dyDescent="0.25">
      <c r="B424" s="12"/>
      <c r="C424" s="12"/>
      <c r="D424" s="13"/>
      <c r="E424" s="14"/>
    </row>
    <row r="425" spans="2:5" x14ac:dyDescent="0.25">
      <c r="B425" s="12"/>
      <c r="C425" s="12"/>
      <c r="D425" s="13"/>
      <c r="E425" s="14"/>
    </row>
    <row r="426" spans="2:5" x14ac:dyDescent="0.25">
      <c r="B426" s="12"/>
      <c r="C426" s="12"/>
      <c r="D426" s="13"/>
      <c r="E426" s="14"/>
    </row>
    <row r="427" spans="2:5" x14ac:dyDescent="0.25">
      <c r="B427" s="12"/>
      <c r="C427" s="12"/>
      <c r="D427" s="13"/>
      <c r="E427" s="14"/>
    </row>
    <row r="428" spans="2:5" x14ac:dyDescent="0.25">
      <c r="B428" s="12"/>
      <c r="C428" s="12"/>
      <c r="D428" s="13"/>
      <c r="E428" s="14"/>
    </row>
    <row r="429" spans="2:5" x14ac:dyDescent="0.25">
      <c r="B429" s="12"/>
      <c r="C429" s="12"/>
      <c r="D429" s="13"/>
      <c r="E429" s="14"/>
    </row>
    <row r="430" spans="2:5" x14ac:dyDescent="0.25">
      <c r="B430" s="12"/>
      <c r="C430" s="12"/>
      <c r="D430" s="13"/>
      <c r="E430" s="14"/>
    </row>
    <row r="431" spans="2:5" x14ac:dyDescent="0.25">
      <c r="B431" s="12"/>
      <c r="C431" s="12"/>
      <c r="D431" s="13"/>
      <c r="E431" s="14"/>
    </row>
    <row r="432" spans="2:5" x14ac:dyDescent="0.25">
      <c r="B432" s="12"/>
      <c r="C432" s="12"/>
      <c r="D432" s="13"/>
      <c r="E432" s="14"/>
    </row>
    <row r="433" spans="2:5" x14ac:dyDescent="0.25">
      <c r="B433" s="12"/>
      <c r="C433" s="12"/>
      <c r="D433" s="13"/>
      <c r="E433" s="14"/>
    </row>
    <row r="434" spans="2:5" x14ac:dyDescent="0.25">
      <c r="B434" s="12"/>
      <c r="C434" s="12"/>
      <c r="D434" s="13"/>
      <c r="E434" s="14"/>
    </row>
    <row r="435" spans="2:5" x14ac:dyDescent="0.25">
      <c r="B435" s="12"/>
      <c r="C435" s="12"/>
      <c r="D435" s="13"/>
      <c r="E435" s="14"/>
    </row>
    <row r="436" spans="2:5" x14ac:dyDescent="0.25">
      <c r="B436" s="12"/>
      <c r="C436" s="12"/>
      <c r="D436" s="13"/>
      <c r="E436" s="14"/>
    </row>
    <row r="437" spans="2:5" x14ac:dyDescent="0.25">
      <c r="B437" s="12"/>
      <c r="C437" s="12"/>
      <c r="D437" s="13"/>
      <c r="E437" s="14"/>
    </row>
    <row r="438" spans="2:5" x14ac:dyDescent="0.25">
      <c r="B438" s="12"/>
      <c r="C438" s="12"/>
      <c r="D438" s="13"/>
      <c r="E438" s="14"/>
    </row>
    <row r="439" spans="2:5" x14ac:dyDescent="0.25">
      <c r="B439" s="12"/>
      <c r="C439" s="12"/>
      <c r="D439" s="13"/>
      <c r="E439" s="14"/>
    </row>
    <row r="440" spans="2:5" x14ac:dyDescent="0.25">
      <c r="B440" s="12"/>
      <c r="C440" s="12"/>
      <c r="D440" s="13"/>
      <c r="E440" s="14"/>
    </row>
    <row r="441" spans="2:5" x14ac:dyDescent="0.25">
      <c r="B441" s="12"/>
      <c r="C441" s="12"/>
      <c r="D441" s="13"/>
      <c r="E441" s="14"/>
    </row>
    <row r="442" spans="2:5" x14ac:dyDescent="0.25">
      <c r="B442" s="12"/>
      <c r="C442" s="12"/>
      <c r="D442" s="13"/>
      <c r="E442" s="14"/>
    </row>
    <row r="443" spans="2:5" x14ac:dyDescent="0.25">
      <c r="B443" s="12"/>
      <c r="C443" s="12"/>
      <c r="D443" s="13"/>
      <c r="E443" s="14"/>
    </row>
    <row r="444" spans="2:5" x14ac:dyDescent="0.25">
      <c r="B444" s="12"/>
      <c r="C444" s="12"/>
      <c r="D444" s="13"/>
      <c r="E444" s="14"/>
    </row>
    <row r="445" spans="2:5" x14ac:dyDescent="0.25">
      <c r="B445" s="12"/>
      <c r="C445" s="12"/>
      <c r="D445" s="13"/>
      <c r="E445" s="14"/>
    </row>
    <row r="446" spans="2:5" x14ac:dyDescent="0.25">
      <c r="B446" s="12"/>
      <c r="C446" s="12"/>
      <c r="D446" s="13"/>
      <c r="E446" s="14"/>
    </row>
    <row r="447" spans="2:5" x14ac:dyDescent="0.25">
      <c r="B447" s="12"/>
      <c r="C447" s="12"/>
      <c r="D447" s="13"/>
      <c r="E447" s="14"/>
    </row>
    <row r="448" spans="2:5" x14ac:dyDescent="0.25">
      <c r="B448" s="12"/>
      <c r="C448" s="12"/>
      <c r="D448" s="13"/>
      <c r="E448" s="14"/>
    </row>
    <row r="449" spans="2:5" x14ac:dyDescent="0.25">
      <c r="B449" s="12"/>
      <c r="C449" s="12"/>
      <c r="D449" s="13"/>
      <c r="E449" s="14"/>
    </row>
    <row r="450" spans="2:5" x14ac:dyDescent="0.25">
      <c r="B450" s="12"/>
      <c r="C450" s="12"/>
      <c r="D450" s="13"/>
      <c r="E450" s="14"/>
    </row>
    <row r="451" spans="2:5" x14ac:dyDescent="0.25">
      <c r="B451" s="12"/>
      <c r="C451" s="12"/>
      <c r="D451" s="13"/>
      <c r="E451" s="14"/>
    </row>
    <row r="452" spans="2:5" x14ac:dyDescent="0.25">
      <c r="B452" s="12"/>
      <c r="C452" s="12"/>
      <c r="D452" s="13"/>
      <c r="E452" s="14"/>
    </row>
    <row r="453" spans="2:5" x14ac:dyDescent="0.25">
      <c r="B453" s="12"/>
      <c r="C453" s="12"/>
      <c r="D453" s="13"/>
      <c r="E453" s="14"/>
    </row>
    <row r="454" spans="2:5" x14ac:dyDescent="0.25">
      <c r="B454" s="12"/>
      <c r="C454" s="12"/>
      <c r="D454" s="13"/>
      <c r="E454" s="14"/>
    </row>
    <row r="455" spans="2:5" x14ac:dyDescent="0.25">
      <c r="B455" s="12"/>
      <c r="C455" s="12"/>
      <c r="D455" s="13"/>
      <c r="E455" s="14"/>
    </row>
    <row r="456" spans="2:5" x14ac:dyDescent="0.25">
      <c r="B456" s="12"/>
      <c r="C456" s="12"/>
      <c r="D456" s="13"/>
      <c r="E456" s="14"/>
    </row>
    <row r="457" spans="2:5" x14ac:dyDescent="0.25">
      <c r="B457" s="12"/>
      <c r="C457" s="12"/>
      <c r="D457" s="13"/>
      <c r="E457" s="14"/>
    </row>
    <row r="458" spans="2:5" x14ac:dyDescent="0.25">
      <c r="B458" s="12"/>
      <c r="C458" s="12"/>
      <c r="D458" s="13"/>
      <c r="E458" s="14"/>
    </row>
    <row r="459" spans="2:5" x14ac:dyDescent="0.25">
      <c r="B459" s="12"/>
      <c r="C459" s="12"/>
      <c r="D459" s="13"/>
      <c r="E459" s="14"/>
    </row>
    <row r="460" spans="2:5" x14ac:dyDescent="0.25">
      <c r="B460" s="12"/>
      <c r="C460" s="12"/>
      <c r="D460" s="13"/>
      <c r="E460" s="14"/>
    </row>
    <row r="461" spans="2:5" x14ac:dyDescent="0.25">
      <c r="B461" s="12"/>
      <c r="C461" s="12"/>
      <c r="D461" s="13"/>
      <c r="E461" s="14"/>
    </row>
    <row r="462" spans="2:5" x14ac:dyDescent="0.25">
      <c r="B462" s="12"/>
      <c r="C462" s="12"/>
      <c r="D462" s="13"/>
      <c r="E462" s="14"/>
    </row>
    <row r="463" spans="2:5" x14ac:dyDescent="0.25">
      <c r="B463" s="12"/>
      <c r="C463" s="12"/>
      <c r="D463" s="13"/>
      <c r="E463" s="14"/>
    </row>
    <row r="464" spans="2:5" x14ac:dyDescent="0.25">
      <c r="B464" s="12"/>
      <c r="C464" s="12"/>
      <c r="D464" s="13"/>
      <c r="E464" s="14"/>
    </row>
    <row r="465" spans="2:5" x14ac:dyDescent="0.25">
      <c r="B465" s="12"/>
      <c r="C465" s="12"/>
      <c r="D465" s="13"/>
      <c r="E465" s="14"/>
    </row>
    <row r="466" spans="2:5" x14ac:dyDescent="0.25">
      <c r="B466" s="12"/>
      <c r="C466" s="12"/>
      <c r="D466" s="13"/>
      <c r="E466" s="14"/>
    </row>
    <row r="467" spans="2:5" x14ac:dyDescent="0.25">
      <c r="B467" s="12"/>
      <c r="C467" s="12"/>
      <c r="D467" s="13"/>
      <c r="E467" s="14"/>
    </row>
    <row r="468" spans="2:5" x14ac:dyDescent="0.25">
      <c r="B468" s="12"/>
      <c r="C468" s="12"/>
      <c r="D468" s="13"/>
      <c r="E468" s="14"/>
    </row>
    <row r="469" spans="2:5" x14ac:dyDescent="0.25">
      <c r="B469" s="12"/>
      <c r="C469" s="12"/>
      <c r="D469" s="13"/>
      <c r="E469" s="14"/>
    </row>
    <row r="470" spans="2:5" x14ac:dyDescent="0.25">
      <c r="B470" s="12"/>
      <c r="C470" s="12"/>
      <c r="D470" s="13"/>
      <c r="E470" s="14"/>
    </row>
    <row r="471" spans="2:5" x14ac:dyDescent="0.25">
      <c r="B471" s="12"/>
      <c r="C471" s="12"/>
      <c r="D471" s="13"/>
      <c r="E471" s="14"/>
    </row>
    <row r="472" spans="2:5" x14ac:dyDescent="0.25">
      <c r="B472" s="12"/>
      <c r="C472" s="12"/>
      <c r="D472" s="13"/>
      <c r="E472" s="14"/>
    </row>
    <row r="473" spans="2:5" x14ac:dyDescent="0.25">
      <c r="B473" s="12"/>
      <c r="C473" s="12"/>
      <c r="D473" s="13"/>
      <c r="E473" s="14"/>
    </row>
    <row r="474" spans="2:5" x14ac:dyDescent="0.25">
      <c r="B474" s="12"/>
      <c r="C474" s="12"/>
      <c r="D474" s="13"/>
      <c r="E474" s="14"/>
    </row>
    <row r="475" spans="2:5" x14ac:dyDescent="0.25">
      <c r="B475" s="12"/>
      <c r="C475" s="12"/>
      <c r="D475" s="13"/>
      <c r="E475" s="14"/>
    </row>
    <row r="476" spans="2:5" x14ac:dyDescent="0.25">
      <c r="B476" s="12"/>
      <c r="C476" s="12"/>
      <c r="D476" s="13"/>
      <c r="E476" s="14"/>
    </row>
    <row r="477" spans="2:5" x14ac:dyDescent="0.25">
      <c r="B477" s="12"/>
      <c r="C477" s="12"/>
      <c r="D477" s="13"/>
      <c r="E477" s="14"/>
    </row>
    <row r="478" spans="2:5" x14ac:dyDescent="0.25">
      <c r="B478" s="12"/>
      <c r="C478" s="12"/>
      <c r="D478" s="13"/>
      <c r="E478" s="14"/>
    </row>
    <row r="479" spans="2:5" x14ac:dyDescent="0.25">
      <c r="B479" s="12"/>
      <c r="C479" s="12"/>
      <c r="D479" s="13"/>
      <c r="E479" s="14"/>
    </row>
    <row r="480" spans="2:5" x14ac:dyDescent="0.25">
      <c r="B480" s="12"/>
      <c r="C480" s="12"/>
      <c r="D480" s="13"/>
      <c r="E480" s="14"/>
    </row>
    <row r="481" spans="2:5" x14ac:dyDescent="0.25">
      <c r="B481" s="12"/>
      <c r="C481" s="12"/>
      <c r="D481" s="13"/>
      <c r="E481" s="14"/>
    </row>
    <row r="482" spans="2:5" x14ac:dyDescent="0.25">
      <c r="B482" s="12"/>
      <c r="C482" s="12"/>
      <c r="D482" s="13"/>
      <c r="E482" s="14"/>
    </row>
    <row r="483" spans="2:5" x14ac:dyDescent="0.25">
      <c r="B483" s="12"/>
      <c r="C483" s="12"/>
      <c r="D483" s="13"/>
      <c r="E483" s="14"/>
    </row>
    <row r="484" spans="2:5" x14ac:dyDescent="0.25">
      <c r="B484" s="12"/>
      <c r="C484" s="12"/>
      <c r="D484" s="13"/>
      <c r="E484" s="14"/>
    </row>
    <row r="485" spans="2:5" x14ac:dyDescent="0.25">
      <c r="B485" s="12"/>
      <c r="C485" s="12"/>
      <c r="D485" s="13"/>
      <c r="E485" s="14"/>
    </row>
    <row r="486" spans="2:5" x14ac:dyDescent="0.25">
      <c r="B486" s="12"/>
      <c r="C486" s="12"/>
      <c r="D486" s="13"/>
      <c r="E486" s="14"/>
    </row>
    <row r="487" spans="2:5" x14ac:dyDescent="0.25">
      <c r="B487" s="12"/>
      <c r="C487" s="12"/>
      <c r="D487" s="13"/>
      <c r="E487" s="14"/>
    </row>
    <row r="488" spans="2:5" x14ac:dyDescent="0.25">
      <c r="B488" s="12"/>
      <c r="C488" s="12"/>
      <c r="D488" s="13"/>
      <c r="E488" s="14"/>
    </row>
    <row r="489" spans="2:5" x14ac:dyDescent="0.25">
      <c r="B489" s="12"/>
      <c r="C489" s="12"/>
      <c r="D489" s="13"/>
      <c r="E489" s="14"/>
    </row>
    <row r="490" spans="2:5" x14ac:dyDescent="0.25">
      <c r="B490" s="12"/>
      <c r="C490" s="12"/>
      <c r="D490" s="13"/>
      <c r="E490" s="14"/>
    </row>
    <row r="491" spans="2:5" x14ac:dyDescent="0.25">
      <c r="B491" s="12"/>
      <c r="C491" s="12"/>
      <c r="D491" s="13"/>
      <c r="E491" s="14"/>
    </row>
    <row r="492" spans="2:5" x14ac:dyDescent="0.25">
      <c r="B492" s="12"/>
      <c r="C492" s="12"/>
      <c r="D492" s="13"/>
      <c r="E492" s="14"/>
    </row>
    <row r="493" spans="2:5" x14ac:dyDescent="0.25">
      <c r="B493" s="12"/>
      <c r="C493" s="12"/>
      <c r="D493" s="13"/>
      <c r="E493" s="14"/>
    </row>
    <row r="494" spans="2:5" x14ac:dyDescent="0.25">
      <c r="B494" s="12"/>
      <c r="C494" s="12"/>
      <c r="D494" s="13"/>
      <c r="E494" s="14"/>
    </row>
    <row r="495" spans="2:5" x14ac:dyDescent="0.25">
      <c r="B495" s="12"/>
      <c r="C495" s="12"/>
      <c r="D495" s="13"/>
      <c r="E495" s="14"/>
    </row>
    <row r="496" spans="2:5" x14ac:dyDescent="0.25">
      <c r="B496" s="12"/>
      <c r="C496" s="12"/>
      <c r="D496" s="13"/>
      <c r="E496" s="14"/>
    </row>
    <row r="497" spans="2:5" x14ac:dyDescent="0.25">
      <c r="B497" s="12"/>
      <c r="C497" s="12"/>
      <c r="D497" s="13"/>
      <c r="E497" s="14"/>
    </row>
    <row r="498" spans="2:5" x14ac:dyDescent="0.25">
      <c r="B498" s="12"/>
      <c r="C498" s="12"/>
      <c r="D498" s="13"/>
      <c r="E498" s="14"/>
    </row>
    <row r="499" spans="2:5" x14ac:dyDescent="0.25">
      <c r="B499" s="12"/>
      <c r="C499" s="12"/>
      <c r="D499" s="13"/>
      <c r="E499" s="14"/>
    </row>
    <row r="500" spans="2:5" x14ac:dyDescent="0.25">
      <c r="B500" s="12"/>
      <c r="C500" s="12"/>
      <c r="D500" s="13"/>
      <c r="E500" s="14"/>
    </row>
    <row r="501" spans="2:5" x14ac:dyDescent="0.25">
      <c r="B501" s="12"/>
      <c r="C501" s="12"/>
      <c r="D501" s="13"/>
      <c r="E501" s="14"/>
    </row>
    <row r="502" spans="2:5" x14ac:dyDescent="0.25">
      <c r="B502" s="12"/>
      <c r="C502" s="12"/>
      <c r="D502" s="13"/>
      <c r="E502" s="14"/>
    </row>
    <row r="503" spans="2:5" x14ac:dyDescent="0.25">
      <c r="B503" s="12"/>
      <c r="C503" s="12"/>
      <c r="D503" s="13"/>
      <c r="E503" s="14"/>
    </row>
    <row r="504" spans="2:5" x14ac:dyDescent="0.25">
      <c r="B504" s="12"/>
      <c r="C504" s="12"/>
      <c r="D504" s="13"/>
      <c r="E504" s="14"/>
    </row>
    <row r="505" spans="2:5" x14ac:dyDescent="0.25">
      <c r="B505" s="12"/>
      <c r="C505" s="12"/>
      <c r="D505" s="13"/>
      <c r="E505" s="14"/>
    </row>
    <row r="506" spans="2:5" x14ac:dyDescent="0.25">
      <c r="B506" s="12"/>
      <c r="C506" s="12"/>
      <c r="D506" s="13"/>
      <c r="E506" s="14"/>
    </row>
    <row r="507" spans="2:5" x14ac:dyDescent="0.25">
      <c r="B507" s="12"/>
      <c r="C507" s="12"/>
      <c r="D507" s="13"/>
      <c r="E507" s="14"/>
    </row>
    <row r="508" spans="2:5" x14ac:dyDescent="0.25">
      <c r="B508" s="12"/>
      <c r="C508" s="12"/>
      <c r="D508" s="13"/>
      <c r="E508" s="14"/>
    </row>
    <row r="509" spans="2:5" x14ac:dyDescent="0.25">
      <c r="B509" s="12"/>
      <c r="C509" s="12"/>
      <c r="D509" s="13"/>
      <c r="E509" s="14"/>
    </row>
    <row r="510" spans="2:5" x14ac:dyDescent="0.25">
      <c r="B510" s="12"/>
      <c r="C510" s="12"/>
      <c r="D510" s="13"/>
      <c r="E510" s="14"/>
    </row>
    <row r="511" spans="2:5" x14ac:dyDescent="0.25">
      <c r="B511" s="12"/>
      <c r="C511" s="12"/>
      <c r="D511" s="13"/>
      <c r="E511" s="14"/>
    </row>
    <row r="512" spans="2:5" x14ac:dyDescent="0.25">
      <c r="B512" s="12"/>
      <c r="C512" s="12"/>
      <c r="D512" s="13"/>
      <c r="E512" s="14"/>
    </row>
    <row r="513" spans="2:5" x14ac:dyDescent="0.25">
      <c r="B513" s="12"/>
      <c r="C513" s="12"/>
      <c r="D513" s="13"/>
      <c r="E513" s="14"/>
    </row>
    <row r="514" spans="2:5" x14ac:dyDescent="0.25">
      <c r="B514" s="12"/>
      <c r="C514" s="12"/>
      <c r="D514" s="13"/>
      <c r="E514" s="14"/>
    </row>
    <row r="515" spans="2:5" x14ac:dyDescent="0.25">
      <c r="B515" s="12"/>
      <c r="C515" s="12"/>
      <c r="D515" s="13"/>
      <c r="E515" s="14"/>
    </row>
    <row r="516" spans="2:5" x14ac:dyDescent="0.25">
      <c r="B516" s="12"/>
      <c r="C516" s="12"/>
      <c r="D516" s="13"/>
      <c r="E516" s="14"/>
    </row>
    <row r="517" spans="2:5" x14ac:dyDescent="0.25">
      <c r="B517" s="12"/>
      <c r="C517" s="12"/>
      <c r="D517" s="13"/>
      <c r="E517" s="14"/>
    </row>
    <row r="518" spans="2:5" x14ac:dyDescent="0.25">
      <c r="B518" s="12"/>
      <c r="C518" s="12"/>
      <c r="D518" s="13"/>
      <c r="E518" s="14"/>
    </row>
    <row r="519" spans="2:5" x14ac:dyDescent="0.25">
      <c r="B519" s="12"/>
      <c r="C519" s="12"/>
      <c r="D519" s="13"/>
      <c r="E519" s="14"/>
    </row>
    <row r="520" spans="2:5" x14ac:dyDescent="0.25">
      <c r="B520" s="12"/>
      <c r="C520" s="12"/>
      <c r="D520" s="13"/>
      <c r="E520" s="14"/>
    </row>
    <row r="521" spans="2:5" x14ac:dyDescent="0.25">
      <c r="B521" s="12"/>
      <c r="C521" s="12"/>
      <c r="D521" s="13"/>
      <c r="E521" s="14"/>
    </row>
    <row r="522" spans="2:5" x14ac:dyDescent="0.25">
      <c r="B522" s="12"/>
      <c r="C522" s="12"/>
      <c r="D522" s="13"/>
      <c r="E522" s="14"/>
    </row>
    <row r="523" spans="2:5" x14ac:dyDescent="0.25">
      <c r="B523" s="12"/>
      <c r="C523" s="12"/>
      <c r="D523" s="13"/>
      <c r="E523" s="14"/>
    </row>
    <row r="524" spans="2:5" x14ac:dyDescent="0.25">
      <c r="B524" s="12"/>
      <c r="C524" s="12"/>
      <c r="D524" s="13"/>
      <c r="E524" s="14"/>
    </row>
    <row r="525" spans="2:5" x14ac:dyDescent="0.25">
      <c r="B525" s="12"/>
      <c r="C525" s="12"/>
      <c r="D525" s="13"/>
      <c r="E525" s="14"/>
    </row>
    <row r="526" spans="2:5" x14ac:dyDescent="0.25">
      <c r="B526" s="12"/>
      <c r="C526" s="12"/>
      <c r="D526" s="13"/>
      <c r="E526" s="14"/>
    </row>
    <row r="527" spans="2:5" x14ac:dyDescent="0.25">
      <c r="B527" s="12"/>
      <c r="C527" s="12"/>
      <c r="D527" s="13"/>
      <c r="E527" s="14"/>
    </row>
    <row r="528" spans="2:5" x14ac:dyDescent="0.25">
      <c r="B528" s="12"/>
      <c r="C528" s="12"/>
      <c r="D528" s="13"/>
      <c r="E528" s="14"/>
    </row>
    <row r="529" spans="2:5" x14ac:dyDescent="0.25">
      <c r="B529" s="12"/>
      <c r="C529" s="12"/>
      <c r="D529" s="13"/>
      <c r="E529" s="14"/>
    </row>
    <row r="530" spans="2:5" x14ac:dyDescent="0.25">
      <c r="B530" s="12"/>
      <c r="C530" s="12"/>
      <c r="D530" s="13"/>
      <c r="E530" s="14"/>
    </row>
    <row r="531" spans="2:5" x14ac:dyDescent="0.25">
      <c r="B531" s="12"/>
      <c r="C531" s="12"/>
      <c r="D531" s="13"/>
      <c r="E531" s="14"/>
    </row>
    <row r="532" spans="2:5" x14ac:dyDescent="0.25">
      <c r="B532" s="12"/>
      <c r="C532" s="12"/>
      <c r="D532" s="13"/>
      <c r="E532" s="14"/>
    </row>
    <row r="533" spans="2:5" x14ac:dyDescent="0.25">
      <c r="B533" s="12"/>
      <c r="C533" s="12"/>
      <c r="D533" s="13"/>
      <c r="E533" s="14"/>
    </row>
    <row r="534" spans="2:5" x14ac:dyDescent="0.25">
      <c r="B534" s="12"/>
      <c r="C534" s="12"/>
      <c r="D534" s="13"/>
      <c r="E534" s="14"/>
    </row>
    <row r="535" spans="2:5" x14ac:dyDescent="0.25">
      <c r="B535" s="12"/>
      <c r="C535" s="12"/>
      <c r="D535" s="13"/>
      <c r="E535" s="14"/>
    </row>
    <row r="536" spans="2:5" x14ac:dyDescent="0.25">
      <c r="B536" s="12"/>
      <c r="C536" s="12"/>
      <c r="D536" s="13"/>
      <c r="E536" s="14"/>
    </row>
    <row r="537" spans="2:5" x14ac:dyDescent="0.25">
      <c r="B537" s="12"/>
      <c r="C537" s="12"/>
      <c r="D537" s="13"/>
      <c r="E537" s="14"/>
    </row>
    <row r="538" spans="2:5" x14ac:dyDescent="0.25">
      <c r="B538" s="12"/>
      <c r="C538" s="12"/>
      <c r="D538" s="13"/>
      <c r="E538" s="14"/>
    </row>
    <row r="539" spans="2:5" x14ac:dyDescent="0.25">
      <c r="B539" s="12"/>
      <c r="C539" s="12"/>
      <c r="D539" s="13"/>
      <c r="E539" s="14"/>
    </row>
    <row r="540" spans="2:5" x14ac:dyDescent="0.25">
      <c r="B540" s="12"/>
      <c r="C540" s="12"/>
      <c r="D540" s="13"/>
      <c r="E540" s="14"/>
    </row>
    <row r="541" spans="2:5" x14ac:dyDescent="0.25">
      <c r="B541" s="12"/>
      <c r="C541" s="12"/>
      <c r="D541" s="13"/>
      <c r="E541" s="14"/>
    </row>
    <row r="542" spans="2:5" x14ac:dyDescent="0.25">
      <c r="B542" s="12"/>
      <c r="C542" s="12"/>
      <c r="D542" s="13"/>
      <c r="E542" s="14"/>
    </row>
    <row r="543" spans="2:5" x14ac:dyDescent="0.25">
      <c r="B543" s="12"/>
      <c r="C543" s="12"/>
      <c r="D543" s="13"/>
      <c r="E543" s="14"/>
    </row>
    <row r="544" spans="2:5" x14ac:dyDescent="0.25">
      <c r="B544" s="12"/>
      <c r="C544" s="12"/>
      <c r="D544" s="13"/>
      <c r="E544" s="14"/>
    </row>
    <row r="545" spans="2:5" x14ac:dyDescent="0.25">
      <c r="B545" s="12"/>
      <c r="C545" s="12"/>
      <c r="D545" s="13"/>
      <c r="E545" s="14"/>
    </row>
    <row r="546" spans="2:5" x14ac:dyDescent="0.25">
      <c r="B546" s="12"/>
      <c r="C546" s="12"/>
      <c r="D546" s="13"/>
      <c r="E546" s="14"/>
    </row>
    <row r="547" spans="2:5" x14ac:dyDescent="0.25">
      <c r="B547" s="12"/>
      <c r="C547" s="12"/>
      <c r="D547" s="13"/>
      <c r="E547" s="14"/>
    </row>
    <row r="548" spans="2:5" x14ac:dyDescent="0.25">
      <c r="B548" s="12"/>
      <c r="C548" s="12"/>
      <c r="D548" s="13"/>
      <c r="E548" s="14"/>
    </row>
    <row r="549" spans="2:5" x14ac:dyDescent="0.25">
      <c r="B549" s="12"/>
      <c r="C549" s="12"/>
      <c r="D549" s="13"/>
      <c r="E549" s="14"/>
    </row>
    <row r="550" spans="2:5" x14ac:dyDescent="0.25">
      <c r="B550" s="12"/>
      <c r="C550" s="12"/>
      <c r="D550" s="13"/>
      <c r="E550" s="14"/>
    </row>
    <row r="551" spans="2:5" x14ac:dyDescent="0.25">
      <c r="B551" s="12"/>
      <c r="C551" s="12"/>
      <c r="D551" s="13"/>
      <c r="E551" s="14"/>
    </row>
    <row r="552" spans="2:5" x14ac:dyDescent="0.25">
      <c r="B552" s="12"/>
      <c r="C552" s="12"/>
      <c r="D552" s="13"/>
      <c r="E552" s="14"/>
    </row>
    <row r="553" spans="2:5" x14ac:dyDescent="0.25">
      <c r="B553" s="12"/>
      <c r="C553" s="12"/>
      <c r="D553" s="13"/>
      <c r="E553" s="14"/>
    </row>
    <row r="554" spans="2:5" x14ac:dyDescent="0.25">
      <c r="B554" s="12"/>
      <c r="C554" s="12"/>
      <c r="D554" s="13"/>
      <c r="E554" s="14"/>
    </row>
    <row r="555" spans="2:5" x14ac:dyDescent="0.25">
      <c r="B555" s="12"/>
      <c r="C555" s="12"/>
      <c r="D555" s="13"/>
      <c r="E555" s="14"/>
    </row>
    <row r="556" spans="2:5" x14ac:dyDescent="0.25">
      <c r="B556" s="12"/>
      <c r="C556" s="12"/>
      <c r="D556" s="13"/>
      <c r="E556" s="14"/>
    </row>
    <row r="557" spans="2:5" x14ac:dyDescent="0.25">
      <c r="B557" s="12"/>
      <c r="C557" s="12"/>
      <c r="D557" s="13"/>
      <c r="E557" s="14"/>
    </row>
    <row r="558" spans="2:5" x14ac:dyDescent="0.25">
      <c r="B558" s="12"/>
      <c r="C558" s="12"/>
      <c r="D558" s="13"/>
      <c r="E558" s="14"/>
    </row>
    <row r="559" spans="2:5" x14ac:dyDescent="0.25">
      <c r="B559" s="12"/>
      <c r="C559" s="12"/>
      <c r="D559" s="13"/>
      <c r="E559" s="14"/>
    </row>
    <row r="560" spans="2:5" x14ac:dyDescent="0.25">
      <c r="B560" s="12"/>
      <c r="C560" s="12"/>
      <c r="D560" s="13"/>
      <c r="E560" s="14"/>
    </row>
    <row r="561" spans="2:5" x14ac:dyDescent="0.25">
      <c r="B561" s="12"/>
      <c r="C561" s="12"/>
      <c r="D561" s="13"/>
      <c r="E561" s="14"/>
    </row>
    <row r="562" spans="2:5" x14ac:dyDescent="0.25">
      <c r="B562" s="12"/>
      <c r="C562" s="12"/>
      <c r="D562" s="13"/>
      <c r="E562" s="14"/>
    </row>
    <row r="563" spans="2:5" x14ac:dyDescent="0.25">
      <c r="B563" s="12"/>
      <c r="C563" s="12"/>
      <c r="D563" s="13"/>
      <c r="E563" s="14"/>
    </row>
    <row r="564" spans="2:5" x14ac:dyDescent="0.25">
      <c r="B564" s="12"/>
      <c r="C564" s="12"/>
      <c r="D564" s="13"/>
      <c r="E564" s="14"/>
    </row>
    <row r="565" spans="2:5" x14ac:dyDescent="0.25">
      <c r="B565" s="12"/>
      <c r="C565" s="12"/>
      <c r="D565" s="13"/>
      <c r="E565" s="14"/>
    </row>
    <row r="566" spans="2:5" x14ac:dyDescent="0.25">
      <c r="B566" s="12"/>
      <c r="C566" s="12"/>
      <c r="D566" s="13"/>
      <c r="E566" s="14"/>
    </row>
    <row r="567" spans="2:5" x14ac:dyDescent="0.25">
      <c r="B567" s="12"/>
      <c r="C567" s="12"/>
      <c r="D567" s="13"/>
      <c r="E567" s="14"/>
    </row>
    <row r="568" spans="2:5" x14ac:dyDescent="0.25">
      <c r="B568" s="12"/>
      <c r="C568" s="12"/>
      <c r="D568" s="13"/>
      <c r="E568" s="14"/>
    </row>
    <row r="569" spans="2:5" x14ac:dyDescent="0.25">
      <c r="B569" s="12"/>
      <c r="C569" s="12"/>
      <c r="D569" s="13"/>
      <c r="E569" s="14"/>
    </row>
    <row r="570" spans="2:5" x14ac:dyDescent="0.25">
      <c r="B570" s="12"/>
      <c r="C570" s="12"/>
      <c r="D570" s="13"/>
      <c r="E570" s="14"/>
    </row>
    <row r="571" spans="2:5" x14ac:dyDescent="0.25">
      <c r="B571" s="12"/>
      <c r="C571" s="12"/>
      <c r="D571" s="13"/>
      <c r="E571" s="14"/>
    </row>
    <row r="572" spans="2:5" x14ac:dyDescent="0.25">
      <c r="B572" s="12"/>
      <c r="C572" s="12"/>
      <c r="D572" s="13"/>
      <c r="E572" s="14"/>
    </row>
    <row r="573" spans="2:5" x14ac:dyDescent="0.25">
      <c r="B573" s="12"/>
      <c r="C573" s="12"/>
      <c r="D573" s="13"/>
      <c r="E573" s="14"/>
    </row>
    <row r="574" spans="2:5" x14ac:dyDescent="0.25">
      <c r="B574" s="12"/>
      <c r="C574" s="12"/>
      <c r="D574" s="13"/>
      <c r="E574" s="14"/>
    </row>
    <row r="575" spans="2:5" x14ac:dyDescent="0.25">
      <c r="B575" s="12"/>
      <c r="C575" s="12"/>
      <c r="D575" s="13"/>
      <c r="E575" s="14"/>
    </row>
    <row r="576" spans="2:5" x14ac:dyDescent="0.25">
      <c r="B576" s="12"/>
      <c r="C576" s="12"/>
      <c r="D576" s="13"/>
      <c r="E576" s="14"/>
    </row>
    <row r="577" spans="2:5" x14ac:dyDescent="0.25">
      <c r="B577" s="12"/>
      <c r="C577" s="12"/>
      <c r="D577" s="13"/>
      <c r="E577" s="14"/>
    </row>
    <row r="578" spans="2:5" x14ac:dyDescent="0.25">
      <c r="B578" s="12"/>
      <c r="C578" s="12"/>
      <c r="D578" s="13"/>
      <c r="E578" s="14"/>
    </row>
    <row r="579" spans="2:5" x14ac:dyDescent="0.25">
      <c r="B579" s="12"/>
      <c r="C579" s="12"/>
      <c r="D579" s="13"/>
      <c r="E579" s="14"/>
    </row>
    <row r="580" spans="2:5" x14ac:dyDescent="0.25">
      <c r="B580" s="12"/>
      <c r="C580" s="12"/>
      <c r="D580" s="13"/>
      <c r="E580" s="14"/>
    </row>
    <row r="581" spans="2:5" x14ac:dyDescent="0.25">
      <c r="B581" s="12"/>
      <c r="C581" s="12"/>
      <c r="D581" s="13"/>
      <c r="E581" s="14"/>
    </row>
    <row r="582" spans="2:5" x14ac:dyDescent="0.25">
      <c r="B582" s="12"/>
      <c r="C582" s="12"/>
      <c r="D582" s="13"/>
      <c r="E582" s="14"/>
    </row>
    <row r="583" spans="2:5" x14ac:dyDescent="0.25">
      <c r="B583" s="12"/>
      <c r="C583" s="12"/>
      <c r="D583" s="13"/>
      <c r="E583" s="14"/>
    </row>
    <row r="584" spans="2:5" x14ac:dyDescent="0.25">
      <c r="B584" s="12"/>
      <c r="C584" s="12"/>
      <c r="D584" s="13"/>
      <c r="E584" s="14"/>
    </row>
    <row r="585" spans="2:5" x14ac:dyDescent="0.25">
      <c r="B585" s="12"/>
      <c r="C585" s="12"/>
      <c r="D585" s="13"/>
      <c r="E585" s="14"/>
    </row>
    <row r="586" spans="2:5" x14ac:dyDescent="0.25">
      <c r="B586" s="12"/>
      <c r="C586" s="12"/>
      <c r="D586" s="13"/>
      <c r="E586" s="14"/>
    </row>
    <row r="587" spans="2:5" x14ac:dyDescent="0.25">
      <c r="B587" s="12"/>
      <c r="C587" s="12"/>
      <c r="D587" s="13"/>
      <c r="E587" s="14"/>
    </row>
    <row r="588" spans="2:5" x14ac:dyDescent="0.25">
      <c r="B588" s="12"/>
      <c r="C588" s="12"/>
      <c r="D588" s="13"/>
      <c r="E588" s="14"/>
    </row>
    <row r="589" spans="2:5" x14ac:dyDescent="0.25">
      <c r="B589" s="12"/>
      <c r="C589" s="12"/>
      <c r="D589" s="13"/>
      <c r="E589" s="14"/>
    </row>
    <row r="590" spans="2:5" x14ac:dyDescent="0.25">
      <c r="B590" s="12"/>
      <c r="C590" s="12"/>
      <c r="D590" s="13"/>
      <c r="E590" s="14"/>
    </row>
    <row r="591" spans="2:5" x14ac:dyDescent="0.25">
      <c r="B591" s="12"/>
      <c r="C591" s="12"/>
      <c r="D591" s="13"/>
      <c r="E591" s="14"/>
    </row>
    <row r="592" spans="2:5" x14ac:dyDescent="0.25">
      <c r="B592" s="12"/>
      <c r="C592" s="12"/>
      <c r="D592" s="13"/>
      <c r="E592" s="14"/>
    </row>
    <row r="593" spans="2:5" x14ac:dyDescent="0.25">
      <c r="B593" s="12"/>
      <c r="C593" s="12"/>
      <c r="D593" s="13"/>
      <c r="E593" s="14"/>
    </row>
    <row r="594" spans="2:5" x14ac:dyDescent="0.25">
      <c r="B594" s="12"/>
      <c r="C594" s="12"/>
      <c r="D594" s="13"/>
      <c r="E594" s="14"/>
    </row>
    <row r="595" spans="2:5" x14ac:dyDescent="0.25">
      <c r="B595" s="12"/>
      <c r="C595" s="12"/>
      <c r="D595" s="13"/>
      <c r="E595" s="14"/>
    </row>
    <row r="596" spans="2:5" x14ac:dyDescent="0.25">
      <c r="B596" s="12"/>
      <c r="C596" s="12"/>
      <c r="D596" s="13"/>
      <c r="E596" s="14"/>
    </row>
    <row r="597" spans="2:5" x14ac:dyDescent="0.25">
      <c r="B597" s="12"/>
      <c r="C597" s="12"/>
      <c r="D597" s="13"/>
      <c r="E597" s="14"/>
    </row>
    <row r="598" spans="2:5" x14ac:dyDescent="0.25">
      <c r="B598" s="12"/>
      <c r="C598" s="12"/>
      <c r="D598" s="13"/>
      <c r="E598" s="14"/>
    </row>
    <row r="599" spans="2:5" x14ac:dyDescent="0.25">
      <c r="B599" s="12"/>
      <c r="C599" s="12"/>
      <c r="D599" s="13"/>
      <c r="E599" s="14"/>
    </row>
    <row r="600" spans="2:5" x14ac:dyDescent="0.25">
      <c r="B600" s="12"/>
      <c r="C600" s="12"/>
      <c r="D600" s="13"/>
      <c r="E600" s="14"/>
    </row>
    <row r="601" spans="2:5" x14ac:dyDescent="0.25">
      <c r="B601" s="12"/>
      <c r="C601" s="12"/>
      <c r="D601" s="13"/>
      <c r="E601" s="14"/>
    </row>
    <row r="602" spans="2:5" x14ac:dyDescent="0.25">
      <c r="B602" s="12"/>
      <c r="C602" s="12"/>
      <c r="D602" s="13"/>
      <c r="E602" s="14"/>
    </row>
    <row r="603" spans="2:5" x14ac:dyDescent="0.25">
      <c r="B603" s="12"/>
      <c r="C603" s="12"/>
      <c r="D603" s="13"/>
      <c r="E603" s="14"/>
    </row>
    <row r="604" spans="2:5" x14ac:dyDescent="0.25">
      <c r="B604" s="12"/>
      <c r="C604" s="12"/>
      <c r="D604" s="13"/>
      <c r="E604" s="14"/>
    </row>
    <row r="605" spans="2:5" x14ac:dyDescent="0.25">
      <c r="B605" s="12"/>
      <c r="C605" s="12"/>
      <c r="D605" s="13"/>
      <c r="E605" s="14"/>
    </row>
    <row r="606" spans="2:5" x14ac:dyDescent="0.25">
      <c r="B606" s="12"/>
      <c r="C606" s="12"/>
      <c r="D606" s="13"/>
      <c r="E606" s="14"/>
    </row>
    <row r="607" spans="2:5" x14ac:dyDescent="0.25">
      <c r="B607" s="12"/>
      <c r="C607" s="12"/>
      <c r="D607" s="13"/>
      <c r="E607" s="14"/>
    </row>
    <row r="608" spans="2:5" x14ac:dyDescent="0.25">
      <c r="B608" s="12"/>
      <c r="C608" s="12"/>
      <c r="D608" s="13"/>
      <c r="E608" s="14"/>
    </row>
    <row r="609" spans="2:5" x14ac:dyDescent="0.25">
      <c r="B609" s="12"/>
      <c r="C609" s="12"/>
      <c r="D609" s="13"/>
      <c r="E609" s="14"/>
    </row>
    <row r="610" spans="2:5" x14ac:dyDescent="0.25">
      <c r="B610" s="12"/>
      <c r="C610" s="12"/>
      <c r="D610" s="13"/>
      <c r="E610" s="14"/>
    </row>
    <row r="611" spans="2:5" x14ac:dyDescent="0.25">
      <c r="B611" s="12"/>
      <c r="C611" s="12"/>
      <c r="D611" s="13"/>
      <c r="E611" s="14"/>
    </row>
    <row r="612" spans="2:5" x14ac:dyDescent="0.25">
      <c r="B612" s="12"/>
      <c r="C612" s="12"/>
      <c r="D612" s="13"/>
      <c r="E612" s="14"/>
    </row>
    <row r="613" spans="2:5" x14ac:dyDescent="0.25">
      <c r="B613" s="12"/>
      <c r="C613" s="12"/>
      <c r="D613" s="13"/>
      <c r="E613" s="14"/>
    </row>
    <row r="614" spans="2:5" x14ac:dyDescent="0.25">
      <c r="B614" s="12"/>
      <c r="C614" s="12"/>
      <c r="D614" s="13"/>
      <c r="E614" s="14"/>
    </row>
    <row r="615" spans="2:5" x14ac:dyDescent="0.25">
      <c r="B615" s="12"/>
      <c r="C615" s="12"/>
      <c r="D615" s="13"/>
      <c r="E615" s="14"/>
    </row>
    <row r="616" spans="2:5" x14ac:dyDescent="0.25">
      <c r="B616" s="12"/>
      <c r="C616" s="12"/>
      <c r="D616" s="13"/>
      <c r="E616" s="14"/>
    </row>
    <row r="617" spans="2:5" x14ac:dyDescent="0.25">
      <c r="B617" s="12"/>
      <c r="C617" s="12"/>
      <c r="D617" s="13"/>
      <c r="E617" s="14"/>
    </row>
    <row r="618" spans="2:5" x14ac:dyDescent="0.25">
      <c r="B618" s="12"/>
      <c r="C618" s="12"/>
      <c r="D618" s="13"/>
      <c r="E618" s="14"/>
    </row>
    <row r="619" spans="2:5" x14ac:dyDescent="0.25">
      <c r="B619" s="12"/>
      <c r="C619" s="12"/>
      <c r="D619" s="13"/>
      <c r="E619" s="14"/>
    </row>
    <row r="620" spans="2:5" x14ac:dyDescent="0.25">
      <c r="B620" s="12"/>
      <c r="C620" s="12"/>
      <c r="D620" s="13"/>
      <c r="E620" s="14"/>
    </row>
    <row r="621" spans="2:5" x14ac:dyDescent="0.25">
      <c r="B621" s="12"/>
      <c r="C621" s="12"/>
      <c r="D621" s="13"/>
      <c r="E621" s="14"/>
    </row>
    <row r="622" spans="2:5" x14ac:dyDescent="0.25">
      <c r="B622" s="12"/>
      <c r="C622" s="12"/>
      <c r="D622" s="13"/>
      <c r="E622" s="14"/>
    </row>
    <row r="623" spans="2:5" x14ac:dyDescent="0.25">
      <c r="B623" s="12"/>
      <c r="C623" s="12"/>
      <c r="D623" s="13"/>
      <c r="E623" s="14"/>
    </row>
    <row r="624" spans="2:5" x14ac:dyDescent="0.25">
      <c r="B624" s="12"/>
      <c r="C624" s="12"/>
      <c r="D624" s="13"/>
      <c r="E624" s="14"/>
    </row>
    <row r="625" spans="2:5" x14ac:dyDescent="0.25">
      <c r="B625" s="12"/>
      <c r="C625" s="12"/>
      <c r="D625" s="13"/>
      <c r="E625" s="14"/>
    </row>
    <row r="626" spans="2:5" x14ac:dyDescent="0.25">
      <c r="B626" s="12"/>
      <c r="C626" s="12"/>
      <c r="D626" s="13"/>
      <c r="E626" s="14"/>
    </row>
    <row r="627" spans="2:5" x14ac:dyDescent="0.25">
      <c r="B627" s="12"/>
      <c r="C627" s="12"/>
      <c r="D627" s="13"/>
      <c r="E627" s="14"/>
    </row>
    <row r="628" spans="2:5" x14ac:dyDescent="0.25">
      <c r="B628" s="12"/>
      <c r="C628" s="12"/>
      <c r="D628" s="13"/>
      <c r="E628" s="14"/>
    </row>
    <row r="629" spans="2:5" x14ac:dyDescent="0.25">
      <c r="B629" s="12"/>
      <c r="C629" s="12"/>
      <c r="D629" s="13"/>
      <c r="E629" s="14"/>
    </row>
    <row r="630" spans="2:5" x14ac:dyDescent="0.25">
      <c r="B630" s="12"/>
      <c r="C630" s="12"/>
      <c r="D630" s="13"/>
      <c r="E630" s="14"/>
    </row>
    <row r="631" spans="2:5" x14ac:dyDescent="0.25">
      <c r="B631" s="12"/>
      <c r="C631" s="12"/>
      <c r="D631" s="13"/>
      <c r="E631" s="14"/>
    </row>
    <row r="632" spans="2:5" x14ac:dyDescent="0.25">
      <c r="B632" s="12"/>
      <c r="C632" s="12"/>
      <c r="D632" s="13"/>
      <c r="E632" s="14"/>
    </row>
    <row r="633" spans="2:5" x14ac:dyDescent="0.25">
      <c r="B633" s="12"/>
      <c r="C633" s="12"/>
      <c r="D633" s="13"/>
      <c r="E633" s="14"/>
    </row>
    <row r="634" spans="2:5" x14ac:dyDescent="0.25">
      <c r="B634" s="12"/>
      <c r="C634" s="12"/>
      <c r="D634" s="13"/>
      <c r="E634" s="14"/>
    </row>
    <row r="635" spans="2:5" x14ac:dyDescent="0.25">
      <c r="B635" s="12"/>
      <c r="C635" s="12"/>
      <c r="D635" s="13"/>
      <c r="E635" s="14"/>
    </row>
    <row r="636" spans="2:5" x14ac:dyDescent="0.25">
      <c r="B636" s="12"/>
      <c r="C636" s="12"/>
      <c r="D636" s="13"/>
      <c r="E636" s="14"/>
    </row>
    <row r="637" spans="2:5" x14ac:dyDescent="0.25">
      <c r="B637" s="12"/>
      <c r="C637" s="12"/>
      <c r="D637" s="13"/>
      <c r="E637" s="14"/>
    </row>
    <row r="638" spans="2:5" x14ac:dyDescent="0.25">
      <c r="B638" s="12"/>
      <c r="C638" s="12"/>
      <c r="D638" s="13"/>
      <c r="E638" s="14"/>
    </row>
    <row r="639" spans="2:5" x14ac:dyDescent="0.25">
      <c r="B639" s="12"/>
      <c r="C639" s="12"/>
      <c r="D639" s="13"/>
      <c r="E639" s="14"/>
    </row>
    <row r="640" spans="2:5" x14ac:dyDescent="0.25">
      <c r="B640" s="12"/>
      <c r="C640" s="12"/>
      <c r="D640" s="13"/>
      <c r="E640" s="14"/>
    </row>
    <row r="641" spans="2:5" x14ac:dyDescent="0.25">
      <c r="B641" s="12"/>
      <c r="C641" s="12"/>
      <c r="D641" s="13"/>
      <c r="E641" s="14"/>
    </row>
    <row r="642" spans="2:5" x14ac:dyDescent="0.25">
      <c r="B642" s="12"/>
      <c r="C642" s="12"/>
      <c r="D642" s="13"/>
      <c r="E642" s="14"/>
    </row>
    <row r="643" spans="2:5" x14ac:dyDescent="0.25">
      <c r="B643" s="12"/>
      <c r="C643" s="12"/>
      <c r="D643" s="13"/>
      <c r="E643" s="14"/>
    </row>
    <row r="644" spans="2:5" x14ac:dyDescent="0.25">
      <c r="B644" s="12"/>
      <c r="C644" s="12"/>
      <c r="D644" s="13"/>
      <c r="E644" s="14"/>
    </row>
    <row r="645" spans="2:5" x14ac:dyDescent="0.25">
      <c r="B645" s="12"/>
      <c r="C645" s="12"/>
      <c r="D645" s="13"/>
      <c r="E645" s="14"/>
    </row>
    <row r="646" spans="2:5" x14ac:dyDescent="0.25">
      <c r="B646" s="12"/>
      <c r="C646" s="12"/>
      <c r="D646" s="13"/>
      <c r="E646" s="14"/>
    </row>
    <row r="647" spans="2:5" x14ac:dyDescent="0.25">
      <c r="B647" s="12"/>
      <c r="C647" s="12"/>
      <c r="D647" s="13"/>
      <c r="E647" s="14"/>
    </row>
    <row r="648" spans="2:5" x14ac:dyDescent="0.25">
      <c r="B648" s="12"/>
      <c r="C648" s="12"/>
      <c r="D648" s="13"/>
      <c r="E648" s="14"/>
    </row>
    <row r="649" spans="2:5" x14ac:dyDescent="0.25">
      <c r="B649" s="12"/>
      <c r="C649" s="12"/>
      <c r="D649" s="13"/>
      <c r="E649" s="14"/>
    </row>
    <row r="650" spans="2:5" x14ac:dyDescent="0.25">
      <c r="B650" s="12"/>
      <c r="C650" s="12"/>
      <c r="D650" s="13"/>
      <c r="E650" s="14"/>
    </row>
    <row r="651" spans="2:5" x14ac:dyDescent="0.25">
      <c r="B651" s="12"/>
      <c r="C651" s="12"/>
      <c r="D651" s="13"/>
      <c r="E651" s="14"/>
    </row>
    <row r="652" spans="2:5" x14ac:dyDescent="0.25">
      <c r="B652" s="12"/>
      <c r="C652" s="12"/>
      <c r="D652" s="13"/>
      <c r="E652" s="14"/>
    </row>
    <row r="653" spans="2:5" x14ac:dyDescent="0.25">
      <c r="B653" s="12"/>
      <c r="C653" s="12"/>
      <c r="D653" s="13"/>
      <c r="E653" s="14"/>
    </row>
    <row r="654" spans="2:5" x14ac:dyDescent="0.25">
      <c r="B654" s="12"/>
      <c r="C654" s="12"/>
      <c r="D654" s="13"/>
      <c r="E654" s="14"/>
    </row>
    <row r="655" spans="2:5" x14ac:dyDescent="0.25">
      <c r="B655" s="12"/>
      <c r="C655" s="12"/>
      <c r="D655" s="13"/>
      <c r="E655" s="14"/>
    </row>
    <row r="656" spans="2:5" x14ac:dyDescent="0.25">
      <c r="B656" s="12"/>
      <c r="C656" s="12"/>
      <c r="D656" s="13"/>
      <c r="E656" s="14"/>
    </row>
    <row r="657" spans="2:5" x14ac:dyDescent="0.25">
      <c r="B657" s="12"/>
      <c r="C657" s="12"/>
      <c r="D657" s="13"/>
      <c r="E657" s="14"/>
    </row>
    <row r="658" spans="2:5" x14ac:dyDescent="0.25">
      <c r="B658" s="12"/>
      <c r="C658" s="12"/>
      <c r="D658" s="13"/>
      <c r="E658" s="14"/>
    </row>
    <row r="659" spans="2:5" x14ac:dyDescent="0.25">
      <c r="B659" s="12"/>
      <c r="C659" s="12"/>
      <c r="D659" s="13"/>
      <c r="E659" s="14"/>
    </row>
    <row r="660" spans="2:5" x14ac:dyDescent="0.25">
      <c r="B660" s="12"/>
      <c r="C660" s="12"/>
      <c r="D660" s="13"/>
      <c r="E660" s="14"/>
    </row>
    <row r="661" spans="2:5" x14ac:dyDescent="0.25">
      <c r="B661" s="12"/>
      <c r="C661" s="12"/>
      <c r="D661" s="13"/>
      <c r="E661" s="14"/>
    </row>
    <row r="662" spans="2:5" x14ac:dyDescent="0.25">
      <c r="B662" s="12"/>
      <c r="C662" s="12"/>
      <c r="D662" s="13"/>
      <c r="E662" s="14"/>
    </row>
    <row r="663" spans="2:5" x14ac:dyDescent="0.25">
      <c r="B663" s="12"/>
      <c r="C663" s="12"/>
      <c r="D663" s="13"/>
      <c r="E663" s="14"/>
    </row>
    <row r="664" spans="2:5" x14ac:dyDescent="0.25">
      <c r="B664" s="12"/>
      <c r="C664" s="12"/>
      <c r="D664" s="13"/>
      <c r="E664" s="14"/>
    </row>
    <row r="665" spans="2:5" x14ac:dyDescent="0.25">
      <c r="B665" s="12"/>
      <c r="C665" s="12"/>
      <c r="D665" s="13"/>
      <c r="E665" s="14"/>
    </row>
    <row r="666" spans="2:5" x14ac:dyDescent="0.25">
      <c r="B666" s="12"/>
      <c r="C666" s="12"/>
      <c r="D666" s="13"/>
      <c r="E666" s="14"/>
    </row>
    <row r="667" spans="2:5" x14ac:dyDescent="0.25">
      <c r="B667" s="12"/>
      <c r="C667" s="12"/>
      <c r="D667" s="13"/>
      <c r="E667" s="14"/>
    </row>
    <row r="668" spans="2:5" x14ac:dyDescent="0.25">
      <c r="B668" s="12"/>
      <c r="C668" s="12"/>
      <c r="D668" s="13"/>
      <c r="E668" s="14"/>
    </row>
    <row r="669" spans="2:5" x14ac:dyDescent="0.25">
      <c r="B669" s="12"/>
      <c r="C669" s="12"/>
      <c r="D669" s="13"/>
      <c r="E669" s="14"/>
    </row>
    <row r="670" spans="2:5" x14ac:dyDescent="0.25">
      <c r="B670" s="12"/>
      <c r="C670" s="12"/>
      <c r="D670" s="13"/>
      <c r="E670" s="14"/>
    </row>
    <row r="671" spans="2:5" x14ac:dyDescent="0.25">
      <c r="B671" s="12"/>
      <c r="C671" s="12"/>
      <c r="D671" s="13"/>
      <c r="E671" s="14"/>
    </row>
    <row r="672" spans="2:5" x14ac:dyDescent="0.25">
      <c r="B672" s="12"/>
      <c r="C672" s="12"/>
      <c r="D672" s="13"/>
      <c r="E672" s="14"/>
    </row>
    <row r="673" spans="2:5" x14ac:dyDescent="0.25">
      <c r="B673" s="12"/>
      <c r="C673" s="12"/>
      <c r="D673" s="13"/>
      <c r="E673" s="14"/>
    </row>
    <row r="674" spans="2:5" x14ac:dyDescent="0.25">
      <c r="B674" s="12"/>
      <c r="C674" s="12"/>
      <c r="D674" s="13"/>
      <c r="E674" s="14"/>
    </row>
    <row r="675" spans="2:5" x14ac:dyDescent="0.25">
      <c r="B675" s="12"/>
      <c r="C675" s="12"/>
      <c r="D675" s="13"/>
      <c r="E675" s="14"/>
    </row>
    <row r="676" spans="2:5" x14ac:dyDescent="0.25">
      <c r="B676" s="12"/>
      <c r="C676" s="12"/>
      <c r="D676" s="13"/>
      <c r="E676" s="14"/>
    </row>
    <row r="677" spans="2:5" x14ac:dyDescent="0.25">
      <c r="B677" s="12"/>
      <c r="C677" s="12"/>
      <c r="D677" s="13"/>
      <c r="E677" s="14"/>
    </row>
    <row r="678" spans="2:5" x14ac:dyDescent="0.25">
      <c r="B678" s="12"/>
      <c r="C678" s="12"/>
      <c r="D678" s="13"/>
      <c r="E678" s="14"/>
    </row>
    <row r="679" spans="2:5" x14ac:dyDescent="0.25">
      <c r="B679" s="12"/>
      <c r="C679" s="12"/>
      <c r="D679" s="13"/>
      <c r="E679" s="14"/>
    </row>
    <row r="680" spans="2:5" x14ac:dyDescent="0.25">
      <c r="B680" s="12"/>
      <c r="C680" s="12"/>
      <c r="D680" s="13"/>
      <c r="E680" s="14"/>
    </row>
    <row r="681" spans="2:5" x14ac:dyDescent="0.25">
      <c r="B681" s="12"/>
      <c r="C681" s="12"/>
      <c r="D681" s="13"/>
      <c r="E681" s="14"/>
    </row>
    <row r="682" spans="2:5" x14ac:dyDescent="0.25">
      <c r="B682" s="12"/>
      <c r="C682" s="12"/>
      <c r="D682" s="13"/>
      <c r="E682" s="14"/>
    </row>
    <row r="683" spans="2:5" x14ac:dyDescent="0.25">
      <c r="B683" s="12"/>
      <c r="C683" s="12"/>
      <c r="D683" s="13"/>
      <c r="E683" s="14"/>
    </row>
    <row r="684" spans="2:5" x14ac:dyDescent="0.25">
      <c r="B684" s="12"/>
      <c r="C684" s="12"/>
      <c r="D684" s="13"/>
      <c r="E684" s="14"/>
    </row>
    <row r="685" spans="2:5" x14ac:dyDescent="0.25">
      <c r="B685" s="12"/>
      <c r="C685" s="12"/>
      <c r="D685" s="13"/>
      <c r="E685" s="14"/>
    </row>
    <row r="686" spans="2:5" x14ac:dyDescent="0.25">
      <c r="B686" s="12"/>
      <c r="C686" s="12"/>
      <c r="D686" s="13"/>
      <c r="E686" s="14"/>
    </row>
    <row r="687" spans="2:5" x14ac:dyDescent="0.25">
      <c r="B687" s="12"/>
      <c r="C687" s="12"/>
      <c r="D687" s="13"/>
      <c r="E687" s="14"/>
    </row>
    <row r="688" spans="2:5" x14ac:dyDescent="0.25">
      <c r="B688" s="12"/>
      <c r="C688" s="12"/>
      <c r="D688" s="13"/>
      <c r="E688" s="14"/>
    </row>
    <row r="689" spans="2:5" x14ac:dyDescent="0.25">
      <c r="B689" s="12"/>
      <c r="C689" s="12"/>
      <c r="D689" s="13"/>
      <c r="E689" s="14"/>
    </row>
    <row r="690" spans="2:5" x14ac:dyDescent="0.25">
      <c r="B690" s="12"/>
      <c r="C690" s="12"/>
      <c r="D690" s="13"/>
      <c r="E690" s="14"/>
    </row>
    <row r="691" spans="2:5" x14ac:dyDescent="0.25">
      <c r="B691" s="12"/>
      <c r="C691" s="12"/>
      <c r="D691" s="13"/>
      <c r="E691" s="14"/>
    </row>
    <row r="692" spans="2:5" x14ac:dyDescent="0.25">
      <c r="B692" s="12"/>
      <c r="C692" s="12"/>
      <c r="D692" s="13"/>
      <c r="E692" s="14"/>
    </row>
    <row r="693" spans="2:5" x14ac:dyDescent="0.25">
      <c r="B693" s="12"/>
      <c r="C693" s="12"/>
      <c r="D693" s="13"/>
      <c r="E693" s="14"/>
    </row>
    <row r="694" spans="2:5" x14ac:dyDescent="0.25">
      <c r="B694" s="12"/>
      <c r="C694" s="12"/>
      <c r="D694" s="13"/>
      <c r="E694" s="14"/>
    </row>
    <row r="695" spans="2:5" x14ac:dyDescent="0.25">
      <c r="B695" s="12"/>
      <c r="C695" s="12"/>
      <c r="D695" s="13"/>
      <c r="E695" s="14"/>
    </row>
    <row r="696" spans="2:5" x14ac:dyDescent="0.25">
      <c r="B696" s="12"/>
      <c r="C696" s="12"/>
      <c r="D696" s="13"/>
      <c r="E696" s="14"/>
    </row>
    <row r="697" spans="2:5" x14ac:dyDescent="0.25">
      <c r="B697" s="12"/>
      <c r="C697" s="12"/>
      <c r="D697" s="13"/>
      <c r="E697" s="14"/>
    </row>
    <row r="698" spans="2:5" x14ac:dyDescent="0.25">
      <c r="B698" s="12"/>
      <c r="C698" s="12"/>
      <c r="D698" s="13"/>
      <c r="E698" s="14"/>
    </row>
    <row r="699" spans="2:5" x14ac:dyDescent="0.25">
      <c r="B699" s="12"/>
      <c r="C699" s="12"/>
      <c r="D699" s="13"/>
      <c r="E699" s="14"/>
    </row>
    <row r="700" spans="2:5" x14ac:dyDescent="0.25">
      <c r="B700" s="12"/>
      <c r="C700" s="12"/>
      <c r="D700" s="13"/>
      <c r="E700" s="14"/>
    </row>
    <row r="701" spans="2:5" x14ac:dyDescent="0.25">
      <c r="B701" s="12"/>
      <c r="C701" s="12"/>
      <c r="D701" s="13"/>
      <c r="E701" s="14"/>
    </row>
    <row r="702" spans="2:5" x14ac:dyDescent="0.25">
      <c r="B702" s="12"/>
      <c r="C702" s="12"/>
      <c r="D702" s="13"/>
      <c r="E702" s="14"/>
    </row>
    <row r="703" spans="2:5" x14ac:dyDescent="0.25">
      <c r="B703" s="12"/>
      <c r="C703" s="12"/>
      <c r="D703" s="13"/>
      <c r="E703" s="14"/>
    </row>
    <row r="704" spans="2:5" x14ac:dyDescent="0.25">
      <c r="B704" s="12"/>
      <c r="C704" s="12"/>
      <c r="D704" s="13"/>
      <c r="E704" s="14"/>
    </row>
    <row r="705" spans="2:5" x14ac:dyDescent="0.25">
      <c r="B705" s="12"/>
      <c r="C705" s="12"/>
      <c r="D705" s="13"/>
      <c r="E705" s="14"/>
    </row>
    <row r="706" spans="2:5" x14ac:dyDescent="0.25">
      <c r="B706" s="12"/>
      <c r="C706" s="12"/>
      <c r="D706" s="13"/>
      <c r="E706" s="14"/>
    </row>
    <row r="707" spans="2:5" x14ac:dyDescent="0.25">
      <c r="B707" s="12"/>
      <c r="C707" s="12"/>
      <c r="D707" s="13"/>
      <c r="E707" s="14"/>
    </row>
    <row r="708" spans="2:5" x14ac:dyDescent="0.25">
      <c r="B708" s="12"/>
      <c r="C708" s="12"/>
      <c r="D708" s="13"/>
      <c r="E708" s="14"/>
    </row>
    <row r="709" spans="2:5" x14ac:dyDescent="0.25">
      <c r="B709" s="12"/>
      <c r="C709" s="12"/>
      <c r="D709" s="13"/>
      <c r="E709" s="14"/>
    </row>
    <row r="710" spans="2:5" x14ac:dyDescent="0.25">
      <c r="B710" s="12"/>
      <c r="C710" s="12"/>
      <c r="D710" s="13"/>
      <c r="E710" s="14"/>
    </row>
    <row r="711" spans="2:5" x14ac:dyDescent="0.25">
      <c r="B711" s="12"/>
      <c r="C711" s="12"/>
      <c r="D711" s="13"/>
      <c r="E711" s="14"/>
    </row>
    <row r="712" spans="2:5" x14ac:dyDescent="0.25">
      <c r="B712" s="12"/>
      <c r="C712" s="12"/>
      <c r="D712" s="13"/>
      <c r="E712" s="14"/>
    </row>
    <row r="713" spans="2:5" x14ac:dyDescent="0.25">
      <c r="B713" s="12"/>
      <c r="C713" s="12"/>
      <c r="D713" s="13"/>
      <c r="E713" s="14"/>
    </row>
    <row r="714" spans="2:5" x14ac:dyDescent="0.25">
      <c r="B714" s="12"/>
      <c r="C714" s="12"/>
      <c r="D714" s="13"/>
      <c r="E714" s="14"/>
    </row>
    <row r="715" spans="2:5" x14ac:dyDescent="0.25">
      <c r="B715" s="12"/>
      <c r="C715" s="12"/>
      <c r="D715" s="13"/>
      <c r="E715" s="14"/>
    </row>
    <row r="716" spans="2:5" x14ac:dyDescent="0.25">
      <c r="B716" s="12"/>
      <c r="C716" s="12"/>
      <c r="D716" s="13"/>
      <c r="E716" s="14"/>
    </row>
    <row r="717" spans="2:5" x14ac:dyDescent="0.25">
      <c r="B717" s="12"/>
      <c r="C717" s="12"/>
      <c r="D717" s="13"/>
      <c r="E717" s="14"/>
    </row>
    <row r="718" spans="2:5" x14ac:dyDescent="0.25">
      <c r="B718" s="12"/>
      <c r="C718" s="12"/>
      <c r="D718" s="13"/>
      <c r="E718" s="14"/>
    </row>
    <row r="719" spans="2:5" x14ac:dyDescent="0.25">
      <c r="B719" s="12"/>
      <c r="C719" s="12"/>
      <c r="D719" s="13"/>
      <c r="E719" s="14"/>
    </row>
    <row r="720" spans="2:5" x14ac:dyDescent="0.25">
      <c r="B720" s="12"/>
      <c r="C720" s="12"/>
      <c r="D720" s="13"/>
      <c r="E720" s="14"/>
    </row>
    <row r="721" spans="2:5" x14ac:dyDescent="0.25">
      <c r="B721" s="12"/>
      <c r="C721" s="12"/>
      <c r="D721" s="13"/>
      <c r="E721" s="14"/>
    </row>
    <row r="722" spans="2:5" x14ac:dyDescent="0.25">
      <c r="B722" s="12"/>
      <c r="C722" s="12"/>
      <c r="D722" s="13"/>
      <c r="E722" s="14"/>
    </row>
    <row r="723" spans="2:5" x14ac:dyDescent="0.25">
      <c r="B723" s="12"/>
      <c r="C723" s="12"/>
      <c r="D723" s="13"/>
      <c r="E723" s="14"/>
    </row>
    <row r="724" spans="2:5" x14ac:dyDescent="0.25">
      <c r="B724" s="12"/>
      <c r="C724" s="12"/>
      <c r="D724" s="13"/>
      <c r="E724" s="14"/>
    </row>
    <row r="725" spans="2:5" x14ac:dyDescent="0.25">
      <c r="B725" s="12"/>
      <c r="C725" s="12"/>
      <c r="D725" s="13"/>
      <c r="E725" s="14"/>
    </row>
    <row r="726" spans="2:5" x14ac:dyDescent="0.25">
      <c r="B726" s="12"/>
      <c r="C726" s="12"/>
      <c r="D726" s="13"/>
      <c r="E726" s="14"/>
    </row>
    <row r="727" spans="2:5" x14ac:dyDescent="0.25">
      <c r="B727" s="12"/>
      <c r="C727" s="12"/>
      <c r="D727" s="13"/>
      <c r="E727" s="14"/>
    </row>
    <row r="728" spans="2:5" x14ac:dyDescent="0.25">
      <c r="B728" s="12"/>
      <c r="C728" s="12"/>
      <c r="D728" s="13"/>
      <c r="E728" s="14"/>
    </row>
    <row r="729" spans="2:5" x14ac:dyDescent="0.25">
      <c r="B729" s="12"/>
      <c r="C729" s="12"/>
      <c r="D729" s="13"/>
      <c r="E729" s="14"/>
    </row>
    <row r="730" spans="2:5" x14ac:dyDescent="0.25">
      <c r="B730" s="12"/>
      <c r="C730" s="12"/>
      <c r="D730" s="13"/>
      <c r="E730" s="14"/>
    </row>
    <row r="731" spans="2:5" x14ac:dyDescent="0.25">
      <c r="B731" s="12"/>
      <c r="C731" s="12"/>
      <c r="D731" s="13"/>
      <c r="E731" s="14"/>
    </row>
    <row r="732" spans="2:5" x14ac:dyDescent="0.25">
      <c r="B732" s="12"/>
      <c r="C732" s="12"/>
      <c r="D732" s="13"/>
      <c r="E732" s="14"/>
    </row>
    <row r="733" spans="2:5" x14ac:dyDescent="0.25">
      <c r="B733" s="12"/>
      <c r="C733" s="12"/>
      <c r="D733" s="13"/>
      <c r="E733" s="14"/>
    </row>
    <row r="734" spans="2:5" x14ac:dyDescent="0.25">
      <c r="B734" s="12"/>
      <c r="C734" s="12"/>
      <c r="D734" s="13"/>
      <c r="E734" s="14"/>
    </row>
    <row r="735" spans="2:5" x14ac:dyDescent="0.25">
      <c r="B735" s="12"/>
      <c r="C735" s="12"/>
      <c r="D735" s="13"/>
      <c r="E735" s="14"/>
    </row>
    <row r="736" spans="2:5" x14ac:dyDescent="0.25">
      <c r="B736" s="12"/>
      <c r="C736" s="12"/>
      <c r="D736" s="13"/>
      <c r="E736" s="14"/>
    </row>
    <row r="737" spans="2:5" x14ac:dyDescent="0.25">
      <c r="B737" s="12"/>
      <c r="C737" s="12"/>
      <c r="D737" s="13"/>
      <c r="E737" s="14"/>
    </row>
    <row r="738" spans="2:5" x14ac:dyDescent="0.25">
      <c r="B738" s="12"/>
      <c r="C738" s="12"/>
      <c r="D738" s="13"/>
      <c r="E738" s="14"/>
    </row>
    <row r="739" spans="2:5" x14ac:dyDescent="0.25">
      <c r="B739" s="12"/>
      <c r="C739" s="12"/>
      <c r="D739" s="13"/>
      <c r="E739" s="14"/>
    </row>
    <row r="740" spans="2:5" x14ac:dyDescent="0.25">
      <c r="B740" s="12"/>
      <c r="C740" s="12"/>
      <c r="D740" s="13"/>
      <c r="E740" s="14"/>
    </row>
    <row r="741" spans="2:5" x14ac:dyDescent="0.25">
      <c r="B741" s="12"/>
      <c r="C741" s="12"/>
      <c r="D741" s="13"/>
      <c r="E741" s="14"/>
    </row>
    <row r="742" spans="2:5" x14ac:dyDescent="0.25">
      <c r="B742" s="12"/>
      <c r="C742" s="12"/>
      <c r="D742" s="13"/>
      <c r="E742" s="14"/>
    </row>
    <row r="743" spans="2:5" x14ac:dyDescent="0.25">
      <c r="B743" s="12"/>
      <c r="C743" s="12"/>
      <c r="D743" s="13"/>
      <c r="E743" s="14"/>
    </row>
    <row r="744" spans="2:5" x14ac:dyDescent="0.25">
      <c r="B744" s="12"/>
      <c r="C744" s="12"/>
      <c r="D744" s="13"/>
      <c r="E744" s="14"/>
    </row>
    <row r="745" spans="2:5" x14ac:dyDescent="0.25">
      <c r="B745" s="12"/>
      <c r="C745" s="12"/>
      <c r="D745" s="13"/>
      <c r="E745" s="14"/>
    </row>
    <row r="746" spans="2:5" x14ac:dyDescent="0.25">
      <c r="B746" s="12"/>
      <c r="C746" s="12"/>
      <c r="D746" s="13"/>
      <c r="E746" s="14"/>
    </row>
    <row r="747" spans="2:5" x14ac:dyDescent="0.25">
      <c r="B747" s="12"/>
      <c r="C747" s="12"/>
      <c r="D747" s="13"/>
      <c r="E747" s="14"/>
    </row>
    <row r="748" spans="2:5" x14ac:dyDescent="0.25">
      <c r="B748" s="12"/>
      <c r="C748" s="12"/>
      <c r="D748" s="13"/>
      <c r="E748" s="14"/>
    </row>
    <row r="749" spans="2:5" x14ac:dyDescent="0.25">
      <c r="B749" s="12"/>
      <c r="C749" s="12"/>
      <c r="D749" s="13"/>
      <c r="E749" s="14"/>
    </row>
    <row r="750" spans="2:5" x14ac:dyDescent="0.25">
      <c r="B750" s="12"/>
      <c r="C750" s="12"/>
      <c r="D750" s="13"/>
      <c r="E750" s="14"/>
    </row>
    <row r="751" spans="2:5" x14ac:dyDescent="0.25">
      <c r="B751" s="12"/>
      <c r="C751" s="12"/>
      <c r="D751" s="13"/>
      <c r="E751" s="14"/>
    </row>
    <row r="752" spans="2:5" x14ac:dyDescent="0.25">
      <c r="B752" s="12"/>
      <c r="C752" s="12"/>
      <c r="D752" s="13"/>
      <c r="E752" s="14"/>
    </row>
    <row r="753" spans="2:5" x14ac:dyDescent="0.25">
      <c r="B753" s="12"/>
      <c r="C753" s="12"/>
      <c r="D753" s="13"/>
      <c r="E753" s="14"/>
    </row>
    <row r="754" spans="2:5" x14ac:dyDescent="0.25">
      <c r="B754" s="12"/>
      <c r="C754" s="12"/>
      <c r="D754" s="13"/>
      <c r="E754" s="14"/>
    </row>
    <row r="755" spans="2:5" x14ac:dyDescent="0.25">
      <c r="B755" s="12"/>
      <c r="C755" s="12"/>
      <c r="D755" s="13"/>
      <c r="E755" s="14"/>
    </row>
    <row r="756" spans="2:5" x14ac:dyDescent="0.25">
      <c r="B756" s="12"/>
      <c r="C756" s="12"/>
      <c r="D756" s="13"/>
      <c r="E756" s="14"/>
    </row>
    <row r="757" spans="2:5" x14ac:dyDescent="0.25">
      <c r="B757" s="12"/>
      <c r="C757" s="12"/>
      <c r="D757" s="13"/>
      <c r="E757" s="14"/>
    </row>
    <row r="758" spans="2:5" x14ac:dyDescent="0.25">
      <c r="B758" s="12"/>
      <c r="C758" s="12"/>
      <c r="D758" s="13"/>
      <c r="E758" s="14"/>
    </row>
    <row r="759" spans="2:5" x14ac:dyDescent="0.25">
      <c r="B759" s="12"/>
      <c r="C759" s="12"/>
      <c r="D759" s="13"/>
      <c r="E759" s="14"/>
    </row>
    <row r="760" spans="2:5" x14ac:dyDescent="0.25">
      <c r="B760" s="12"/>
      <c r="C760" s="12"/>
      <c r="D760" s="13"/>
      <c r="E760" s="14"/>
    </row>
    <row r="761" spans="2:5" x14ac:dyDescent="0.25">
      <c r="B761" s="12"/>
      <c r="C761" s="12"/>
      <c r="D761" s="13"/>
      <c r="E761" s="14"/>
    </row>
    <row r="762" spans="2:5" x14ac:dyDescent="0.25">
      <c r="B762" s="12"/>
      <c r="C762" s="12"/>
      <c r="D762" s="13"/>
      <c r="E762" s="14"/>
    </row>
    <row r="763" spans="2:5" x14ac:dyDescent="0.25">
      <c r="B763" s="12"/>
      <c r="C763" s="12"/>
      <c r="D763" s="13"/>
      <c r="E763" s="14"/>
    </row>
    <row r="764" spans="2:5" x14ac:dyDescent="0.25">
      <c r="B764" s="12"/>
      <c r="C764" s="12"/>
      <c r="D764" s="13"/>
      <c r="E764" s="14"/>
    </row>
    <row r="765" spans="2:5" x14ac:dyDescent="0.25">
      <c r="B765" s="12"/>
      <c r="C765" s="12"/>
      <c r="D765" s="13"/>
      <c r="E765" s="14"/>
    </row>
    <row r="766" spans="2:5" x14ac:dyDescent="0.25">
      <c r="B766" s="12"/>
      <c r="C766" s="12"/>
      <c r="D766" s="13"/>
      <c r="E766" s="14"/>
    </row>
    <row r="767" spans="2:5" x14ac:dyDescent="0.25">
      <c r="B767" s="12"/>
      <c r="C767" s="12"/>
      <c r="D767" s="13"/>
      <c r="E767" s="14"/>
    </row>
    <row r="768" spans="2:5" x14ac:dyDescent="0.25">
      <c r="B768" s="12"/>
      <c r="C768" s="12"/>
      <c r="D768" s="13"/>
      <c r="E768" s="14"/>
    </row>
    <row r="769" spans="2:5" x14ac:dyDescent="0.25">
      <c r="B769" s="12"/>
      <c r="C769" s="12"/>
      <c r="D769" s="13"/>
      <c r="E769" s="14"/>
    </row>
    <row r="770" spans="2:5" x14ac:dyDescent="0.25">
      <c r="B770" s="12"/>
      <c r="C770" s="12"/>
      <c r="D770" s="13"/>
      <c r="E770" s="14"/>
    </row>
    <row r="771" spans="2:5" x14ac:dyDescent="0.25">
      <c r="B771" s="12"/>
      <c r="C771" s="12"/>
      <c r="D771" s="13"/>
      <c r="E771" s="14"/>
    </row>
    <row r="772" spans="2:5" x14ac:dyDescent="0.25">
      <c r="B772" s="12"/>
      <c r="C772" s="12"/>
      <c r="D772" s="13"/>
      <c r="E772" s="14"/>
    </row>
    <row r="773" spans="2:5" x14ac:dyDescent="0.25">
      <c r="B773" s="12"/>
      <c r="C773" s="12"/>
      <c r="D773" s="13"/>
      <c r="E773" s="14"/>
    </row>
    <row r="774" spans="2:5" x14ac:dyDescent="0.25">
      <c r="B774" s="12"/>
      <c r="C774" s="12"/>
      <c r="D774" s="13"/>
      <c r="E774" s="14"/>
    </row>
    <row r="775" spans="2:5" x14ac:dyDescent="0.25">
      <c r="B775" s="12"/>
      <c r="C775" s="12"/>
      <c r="D775" s="13"/>
      <c r="E775" s="14"/>
    </row>
    <row r="776" spans="2:5" x14ac:dyDescent="0.25">
      <c r="B776" s="12"/>
      <c r="C776" s="12"/>
      <c r="D776" s="13"/>
      <c r="E776" s="14"/>
    </row>
    <row r="777" spans="2:5" x14ac:dyDescent="0.25">
      <c r="B777" s="12"/>
      <c r="C777" s="12"/>
      <c r="D777" s="13"/>
      <c r="E777" s="14"/>
    </row>
    <row r="778" spans="2:5" x14ac:dyDescent="0.25">
      <c r="B778" s="12"/>
      <c r="C778" s="12"/>
      <c r="D778" s="13"/>
      <c r="E778" s="14"/>
    </row>
    <row r="779" spans="2:5" x14ac:dyDescent="0.25">
      <c r="B779" s="12"/>
      <c r="C779" s="12"/>
      <c r="D779" s="13"/>
      <c r="E779" s="14"/>
    </row>
    <row r="780" spans="2:5" x14ac:dyDescent="0.25">
      <c r="B780" s="12"/>
      <c r="C780" s="12"/>
      <c r="D780" s="13"/>
      <c r="E780" s="14"/>
    </row>
    <row r="781" spans="2:5" x14ac:dyDescent="0.25">
      <c r="B781" s="12"/>
      <c r="C781" s="12"/>
      <c r="D781" s="13"/>
      <c r="E781" s="14"/>
    </row>
    <row r="782" spans="2:5" x14ac:dyDescent="0.25">
      <c r="B782" s="12"/>
      <c r="C782" s="12"/>
      <c r="D782" s="13"/>
      <c r="E782" s="14"/>
    </row>
    <row r="783" spans="2:5" x14ac:dyDescent="0.25">
      <c r="B783" s="12"/>
      <c r="C783" s="12"/>
      <c r="D783" s="13"/>
      <c r="E783" s="14"/>
    </row>
    <row r="784" spans="2:5" x14ac:dyDescent="0.25">
      <c r="B784" s="12"/>
      <c r="C784" s="12"/>
      <c r="D784" s="13"/>
      <c r="E784" s="14"/>
    </row>
    <row r="785" spans="2:5" x14ac:dyDescent="0.25">
      <c r="B785" s="12"/>
      <c r="C785" s="12"/>
      <c r="D785" s="13"/>
      <c r="E785" s="14"/>
    </row>
    <row r="786" spans="2:5" x14ac:dyDescent="0.25">
      <c r="B786" s="12"/>
      <c r="C786" s="12"/>
      <c r="D786" s="13"/>
      <c r="E786" s="14"/>
    </row>
    <row r="787" spans="2:5" x14ac:dyDescent="0.25">
      <c r="B787" s="12"/>
      <c r="C787" s="12"/>
      <c r="D787" s="13"/>
      <c r="E787" s="14"/>
    </row>
    <row r="788" spans="2:5" x14ac:dyDescent="0.25">
      <c r="B788" s="12"/>
      <c r="C788" s="12"/>
      <c r="D788" s="13"/>
      <c r="E788" s="14"/>
    </row>
    <row r="789" spans="2:5" x14ac:dyDescent="0.25">
      <c r="B789" s="12"/>
      <c r="C789" s="12"/>
      <c r="D789" s="13"/>
      <c r="E789" s="14"/>
    </row>
    <row r="790" spans="2:5" x14ac:dyDescent="0.25">
      <c r="B790" s="12"/>
      <c r="C790" s="12"/>
      <c r="D790" s="13"/>
      <c r="E790" s="14"/>
    </row>
    <row r="791" spans="2:5" x14ac:dyDescent="0.25">
      <c r="B791" s="12"/>
      <c r="C791" s="12"/>
      <c r="D791" s="13"/>
      <c r="E791" s="14"/>
    </row>
    <row r="792" spans="2:5" x14ac:dyDescent="0.25">
      <c r="B792" s="12"/>
      <c r="C792" s="12"/>
      <c r="D792" s="13"/>
      <c r="E792" s="14"/>
    </row>
    <row r="793" spans="2:5" x14ac:dyDescent="0.25">
      <c r="B793" s="12"/>
      <c r="C793" s="12"/>
      <c r="D793" s="13"/>
      <c r="E793" s="14"/>
    </row>
    <row r="794" spans="2:5" x14ac:dyDescent="0.25">
      <c r="B794" s="12"/>
      <c r="C794" s="12"/>
      <c r="D794" s="13"/>
      <c r="E794" s="14"/>
    </row>
    <row r="795" spans="2:5" x14ac:dyDescent="0.25">
      <c r="B795" s="12"/>
      <c r="C795" s="12"/>
      <c r="D795" s="13"/>
      <c r="E795" s="14"/>
    </row>
    <row r="796" spans="2:5" x14ac:dyDescent="0.25">
      <c r="B796" s="12"/>
      <c r="C796" s="12"/>
      <c r="D796" s="13"/>
      <c r="E796" s="14"/>
    </row>
    <row r="797" spans="2:5" x14ac:dyDescent="0.25">
      <c r="B797" s="12"/>
      <c r="C797" s="12"/>
      <c r="D797" s="13"/>
      <c r="E797" s="14"/>
    </row>
    <row r="798" spans="2:5" x14ac:dyDescent="0.25">
      <c r="B798" s="12"/>
      <c r="C798" s="12"/>
      <c r="D798" s="13"/>
      <c r="E798" s="14"/>
    </row>
    <row r="799" spans="2:5" x14ac:dyDescent="0.25">
      <c r="B799" s="12"/>
      <c r="C799" s="12"/>
      <c r="D799" s="13"/>
      <c r="E799" s="14"/>
    </row>
    <row r="800" spans="2:5" x14ac:dyDescent="0.25">
      <c r="B800" s="12"/>
      <c r="C800" s="12"/>
      <c r="D800" s="13"/>
      <c r="E800" s="14"/>
    </row>
    <row r="801" spans="2:5" x14ac:dyDescent="0.25">
      <c r="B801" s="12"/>
      <c r="C801" s="12"/>
      <c r="D801" s="13"/>
      <c r="E801" s="14"/>
    </row>
    <row r="802" spans="2:5" x14ac:dyDescent="0.25">
      <c r="B802" s="12"/>
      <c r="C802" s="12"/>
      <c r="D802" s="13"/>
      <c r="E802" s="14"/>
    </row>
    <row r="803" spans="2:5" x14ac:dyDescent="0.25">
      <c r="B803" s="12"/>
      <c r="C803" s="12"/>
      <c r="D803" s="13"/>
      <c r="E803" s="14"/>
    </row>
    <row r="804" spans="2:5" x14ac:dyDescent="0.25">
      <c r="B804" s="12"/>
      <c r="C804" s="12"/>
      <c r="D804" s="13"/>
      <c r="E804" s="14"/>
    </row>
    <row r="805" spans="2:5" x14ac:dyDescent="0.25">
      <c r="B805" s="12"/>
      <c r="C805" s="12"/>
      <c r="D805" s="13"/>
      <c r="E805" s="14"/>
    </row>
    <row r="806" spans="2:5" x14ac:dyDescent="0.25">
      <c r="B806" s="12"/>
      <c r="C806" s="12"/>
      <c r="D806" s="13"/>
      <c r="E806" s="14"/>
    </row>
    <row r="807" spans="2:5" x14ac:dyDescent="0.25">
      <c r="B807" s="12"/>
      <c r="C807" s="12"/>
      <c r="D807" s="13"/>
      <c r="E807" s="14"/>
    </row>
    <row r="808" spans="2:5" x14ac:dyDescent="0.25">
      <c r="B808" s="12"/>
      <c r="C808" s="12"/>
      <c r="D808" s="13"/>
      <c r="E808" s="14"/>
    </row>
    <row r="809" spans="2:5" x14ac:dyDescent="0.25">
      <c r="B809" s="12"/>
      <c r="C809" s="12"/>
      <c r="D809" s="13"/>
      <c r="E809" s="14"/>
    </row>
    <row r="810" spans="2:5" x14ac:dyDescent="0.25">
      <c r="B810" s="12"/>
      <c r="C810" s="12"/>
      <c r="D810" s="13"/>
      <c r="E810" s="14"/>
    </row>
    <row r="811" spans="2:5" x14ac:dyDescent="0.25">
      <c r="B811" s="12"/>
      <c r="C811" s="12"/>
      <c r="D811" s="13"/>
      <c r="E811" s="14"/>
    </row>
    <row r="812" spans="2:5" x14ac:dyDescent="0.25">
      <c r="B812" s="12"/>
      <c r="C812" s="12"/>
      <c r="D812" s="13"/>
      <c r="E812" s="14"/>
    </row>
    <row r="813" spans="2:5" x14ac:dyDescent="0.25">
      <c r="B813" s="12"/>
      <c r="C813" s="12"/>
      <c r="D813" s="13"/>
      <c r="E813" s="14"/>
    </row>
    <row r="814" spans="2:5" x14ac:dyDescent="0.25">
      <c r="B814" s="12"/>
      <c r="C814" s="12"/>
      <c r="D814" s="13"/>
      <c r="E814" s="14"/>
    </row>
    <row r="815" spans="2:5" x14ac:dyDescent="0.25">
      <c r="B815" s="12"/>
      <c r="C815" s="12"/>
      <c r="D815" s="13"/>
      <c r="E815" s="14"/>
    </row>
    <row r="816" spans="2:5" x14ac:dyDescent="0.25">
      <c r="B816" s="12"/>
      <c r="C816" s="12"/>
      <c r="D816" s="13"/>
      <c r="E816" s="14"/>
    </row>
    <row r="817" spans="2:5" x14ac:dyDescent="0.25">
      <c r="B817" s="12"/>
      <c r="C817" s="12"/>
      <c r="D817" s="13"/>
      <c r="E817" s="14"/>
    </row>
    <row r="818" spans="2:5" x14ac:dyDescent="0.25">
      <c r="B818" s="12"/>
      <c r="C818" s="12"/>
      <c r="D818" s="13"/>
      <c r="E818" s="14"/>
    </row>
    <row r="819" spans="2:5" x14ac:dyDescent="0.25">
      <c r="B819" s="12"/>
      <c r="C819" s="12"/>
      <c r="D819" s="13"/>
      <c r="E819" s="14"/>
    </row>
    <row r="820" spans="2:5" x14ac:dyDescent="0.25">
      <c r="B820" s="12"/>
      <c r="C820" s="12"/>
      <c r="D820" s="13"/>
      <c r="E820" s="14"/>
    </row>
    <row r="821" spans="2:5" x14ac:dyDescent="0.25">
      <c r="B821" s="12"/>
      <c r="C821" s="12"/>
      <c r="D821" s="13"/>
      <c r="E821" s="14"/>
    </row>
    <row r="822" spans="2:5" x14ac:dyDescent="0.25">
      <c r="B822" s="12"/>
      <c r="C822" s="12"/>
      <c r="D822" s="13"/>
      <c r="E822" s="14"/>
    </row>
    <row r="823" spans="2:5" x14ac:dyDescent="0.25">
      <c r="B823" s="12"/>
      <c r="C823" s="12"/>
      <c r="D823" s="13"/>
      <c r="E823" s="14"/>
    </row>
    <row r="824" spans="2:5" x14ac:dyDescent="0.25">
      <c r="B824" s="12"/>
      <c r="C824" s="12"/>
      <c r="D824" s="13"/>
      <c r="E824" s="14"/>
    </row>
    <row r="825" spans="2:5" x14ac:dyDescent="0.25">
      <c r="B825" s="12"/>
      <c r="C825" s="12"/>
      <c r="D825" s="13"/>
      <c r="E825" s="14"/>
    </row>
    <row r="826" spans="2:5" x14ac:dyDescent="0.25">
      <c r="B826" s="12"/>
      <c r="C826" s="12"/>
      <c r="D826" s="13"/>
      <c r="E826" s="14"/>
    </row>
    <row r="827" spans="2:5" x14ac:dyDescent="0.25">
      <c r="B827" s="12"/>
      <c r="C827" s="12"/>
      <c r="D827" s="13"/>
      <c r="E827" s="14"/>
    </row>
    <row r="828" spans="2:5" x14ac:dyDescent="0.25">
      <c r="B828" s="12"/>
      <c r="C828" s="12"/>
      <c r="D828" s="13"/>
      <c r="E828" s="14"/>
    </row>
    <row r="829" spans="2:5" x14ac:dyDescent="0.25">
      <c r="B829" s="12"/>
      <c r="C829" s="12"/>
      <c r="D829" s="13"/>
      <c r="E829" s="14"/>
    </row>
    <row r="830" spans="2:5" x14ac:dyDescent="0.25">
      <c r="B830" s="12"/>
      <c r="C830" s="12"/>
      <c r="D830" s="13"/>
      <c r="E830" s="14"/>
    </row>
    <row r="831" spans="2:5" x14ac:dyDescent="0.25">
      <c r="B831" s="12"/>
      <c r="C831" s="12"/>
      <c r="D831" s="13"/>
      <c r="E831" s="14"/>
    </row>
    <row r="832" spans="2:5" x14ac:dyDescent="0.25">
      <c r="B832" s="12"/>
      <c r="C832" s="12"/>
      <c r="D832" s="13"/>
      <c r="E832" s="14"/>
    </row>
    <row r="833" spans="2:5" x14ac:dyDescent="0.25">
      <c r="B833" s="12"/>
      <c r="C833" s="12"/>
      <c r="D833" s="13"/>
      <c r="E833" s="14"/>
    </row>
    <row r="834" spans="2:5" x14ac:dyDescent="0.25">
      <c r="B834" s="12"/>
      <c r="C834" s="12"/>
      <c r="D834" s="13"/>
      <c r="E834" s="14"/>
    </row>
    <row r="835" spans="2:5" x14ac:dyDescent="0.25">
      <c r="B835" s="12"/>
      <c r="C835" s="12"/>
      <c r="D835" s="13"/>
      <c r="E835" s="14"/>
    </row>
    <row r="836" spans="2:5" x14ac:dyDescent="0.25">
      <c r="B836" s="12"/>
      <c r="C836" s="12"/>
      <c r="D836" s="13"/>
      <c r="E836" s="14"/>
    </row>
    <row r="837" spans="2:5" x14ac:dyDescent="0.25">
      <c r="B837" s="12"/>
      <c r="C837" s="12"/>
      <c r="D837" s="13"/>
      <c r="E837" s="14"/>
    </row>
    <row r="838" spans="2:5" x14ac:dyDescent="0.25">
      <c r="B838" s="12"/>
      <c r="C838" s="12"/>
      <c r="D838" s="13"/>
      <c r="E838" s="14"/>
    </row>
    <row r="839" spans="2:5" x14ac:dyDescent="0.25">
      <c r="B839" s="12"/>
      <c r="C839" s="12"/>
      <c r="D839" s="13"/>
      <c r="E839" s="14"/>
    </row>
    <row r="840" spans="2:5" x14ac:dyDescent="0.25">
      <c r="B840" s="12"/>
      <c r="C840" s="12"/>
      <c r="D840" s="13"/>
      <c r="E840" s="14"/>
    </row>
    <row r="841" spans="2:5" x14ac:dyDescent="0.25">
      <c r="B841" s="12"/>
      <c r="C841" s="12"/>
      <c r="D841" s="13"/>
      <c r="E841" s="14"/>
    </row>
    <row r="842" spans="2:5" x14ac:dyDescent="0.25">
      <c r="B842" s="12"/>
      <c r="C842" s="12"/>
      <c r="D842" s="13"/>
      <c r="E842" s="14"/>
    </row>
    <row r="843" spans="2:5" x14ac:dyDescent="0.25">
      <c r="B843" s="12"/>
      <c r="C843" s="12"/>
      <c r="D843" s="13"/>
      <c r="E843" s="14"/>
    </row>
    <row r="844" spans="2:5" x14ac:dyDescent="0.25">
      <c r="B844" s="12"/>
      <c r="C844" s="12"/>
      <c r="D844" s="13"/>
      <c r="E844" s="14"/>
    </row>
    <row r="845" spans="2:5" x14ac:dyDescent="0.25">
      <c r="B845" s="12"/>
      <c r="C845" s="12"/>
      <c r="D845" s="13"/>
      <c r="E845" s="14"/>
    </row>
    <row r="846" spans="2:5" x14ac:dyDescent="0.25">
      <c r="B846" s="12"/>
      <c r="C846" s="12"/>
      <c r="D846" s="13"/>
      <c r="E846" s="14"/>
    </row>
    <row r="847" spans="2:5" x14ac:dyDescent="0.25">
      <c r="B847" s="12"/>
      <c r="C847" s="12"/>
      <c r="D847" s="13"/>
      <c r="E847" s="14"/>
    </row>
    <row r="848" spans="2:5" x14ac:dyDescent="0.25">
      <c r="B848" s="12"/>
      <c r="C848" s="12"/>
      <c r="D848" s="13"/>
      <c r="E848" s="14"/>
    </row>
    <row r="849" spans="2:5" x14ac:dyDescent="0.25">
      <c r="B849" s="12"/>
      <c r="C849" s="12"/>
      <c r="D849" s="13"/>
      <c r="E849" s="14"/>
    </row>
    <row r="850" spans="2:5" x14ac:dyDescent="0.25">
      <c r="B850" s="12"/>
      <c r="C850" s="12"/>
      <c r="D850" s="13"/>
      <c r="E850" s="14"/>
    </row>
    <row r="851" spans="2:5" x14ac:dyDescent="0.25">
      <c r="B851" s="12"/>
      <c r="C851" s="12"/>
      <c r="D851" s="13"/>
      <c r="E851" s="14"/>
    </row>
    <row r="852" spans="2:5" x14ac:dyDescent="0.25">
      <c r="B852" s="12"/>
      <c r="C852" s="12"/>
      <c r="D852" s="13"/>
      <c r="E852" s="14"/>
    </row>
    <row r="853" spans="2:5" x14ac:dyDescent="0.25">
      <c r="B853" s="12"/>
      <c r="C853" s="12"/>
      <c r="D853" s="13"/>
      <c r="E853" s="14"/>
    </row>
    <row r="854" spans="2:5" x14ac:dyDescent="0.25">
      <c r="B854" s="12"/>
      <c r="C854" s="12"/>
      <c r="D854" s="13"/>
      <c r="E854" s="14"/>
    </row>
    <row r="855" spans="2:5" x14ac:dyDescent="0.25">
      <c r="B855" s="12"/>
      <c r="C855" s="12"/>
      <c r="D855" s="13"/>
      <c r="E855" s="14"/>
    </row>
    <row r="856" spans="2:5" x14ac:dyDescent="0.25">
      <c r="B856" s="12"/>
      <c r="C856" s="12"/>
      <c r="D856" s="13"/>
      <c r="E856" s="14"/>
    </row>
    <row r="857" spans="2:5" x14ac:dyDescent="0.25">
      <c r="B857" s="12"/>
      <c r="C857" s="12"/>
      <c r="D857" s="13"/>
      <c r="E857" s="14"/>
    </row>
    <row r="858" spans="2:5" x14ac:dyDescent="0.25">
      <c r="B858" s="12"/>
      <c r="C858" s="12"/>
      <c r="D858" s="13"/>
      <c r="E858" s="14"/>
    </row>
    <row r="859" spans="2:5" x14ac:dyDescent="0.25">
      <c r="B859" s="12"/>
      <c r="C859" s="12"/>
      <c r="D859" s="13"/>
      <c r="E859" s="14"/>
    </row>
    <row r="860" spans="2:5" x14ac:dyDescent="0.25">
      <c r="B860" s="12"/>
      <c r="C860" s="12"/>
      <c r="D860" s="13"/>
      <c r="E860" s="14"/>
    </row>
    <row r="861" spans="2:5" x14ac:dyDescent="0.25">
      <c r="B861" s="12"/>
      <c r="C861" s="12"/>
      <c r="D861" s="13"/>
      <c r="E861" s="14"/>
    </row>
    <row r="862" spans="2:5" x14ac:dyDescent="0.25">
      <c r="B862" s="12"/>
      <c r="C862" s="12"/>
      <c r="D862" s="13"/>
      <c r="E862" s="14"/>
    </row>
    <row r="863" spans="2:5" x14ac:dyDescent="0.25">
      <c r="B863" s="12"/>
      <c r="C863" s="12"/>
      <c r="D863" s="13"/>
      <c r="E863" s="14"/>
    </row>
    <row r="864" spans="2:5" x14ac:dyDescent="0.25">
      <c r="B864" s="12"/>
      <c r="C864" s="12"/>
      <c r="D864" s="13"/>
      <c r="E864" s="14"/>
    </row>
    <row r="865" spans="2:5" x14ac:dyDescent="0.25">
      <c r="B865" s="12"/>
      <c r="C865" s="12"/>
      <c r="D865" s="13"/>
      <c r="E865" s="14"/>
    </row>
    <row r="866" spans="2:5" x14ac:dyDescent="0.25">
      <c r="B866" s="12"/>
      <c r="C866" s="12"/>
      <c r="D866" s="13"/>
      <c r="E866" s="14"/>
    </row>
    <row r="867" spans="2:5" x14ac:dyDescent="0.25">
      <c r="B867" s="12"/>
      <c r="C867" s="12"/>
      <c r="D867" s="13"/>
      <c r="E867" s="14"/>
    </row>
    <row r="868" spans="2:5" x14ac:dyDescent="0.25">
      <c r="B868" s="12"/>
      <c r="C868" s="12"/>
      <c r="D868" s="13"/>
      <c r="E868" s="14"/>
    </row>
    <row r="869" spans="2:5" x14ac:dyDescent="0.25">
      <c r="B869" s="12"/>
      <c r="C869" s="12"/>
      <c r="D869" s="13"/>
      <c r="E869" s="14"/>
    </row>
    <row r="870" spans="2:5" x14ac:dyDescent="0.25">
      <c r="B870" s="12"/>
      <c r="C870" s="12"/>
      <c r="D870" s="13"/>
      <c r="E870" s="14"/>
    </row>
    <row r="871" spans="2:5" x14ac:dyDescent="0.25">
      <c r="B871" s="12"/>
      <c r="C871" s="12"/>
      <c r="D871" s="13"/>
      <c r="E871" s="14"/>
    </row>
    <row r="872" spans="2:5" x14ac:dyDescent="0.25">
      <c r="B872" s="12"/>
      <c r="C872" s="12"/>
      <c r="D872" s="13"/>
      <c r="E872" s="14"/>
    </row>
    <row r="873" spans="2:5" x14ac:dyDescent="0.25">
      <c r="B873" s="12"/>
      <c r="C873" s="12"/>
      <c r="D873" s="13"/>
      <c r="E873" s="14"/>
    </row>
    <row r="874" spans="2:5" x14ac:dyDescent="0.25">
      <c r="B874" s="12"/>
      <c r="C874" s="12"/>
      <c r="D874" s="13"/>
      <c r="E874" s="14"/>
    </row>
    <row r="875" spans="2:5" x14ac:dyDescent="0.25">
      <c r="B875" s="12"/>
      <c r="C875" s="12"/>
      <c r="D875" s="13"/>
      <c r="E875" s="14"/>
    </row>
    <row r="876" spans="2:5" x14ac:dyDescent="0.25">
      <c r="B876" s="12"/>
      <c r="C876" s="12"/>
      <c r="D876" s="13"/>
      <c r="E876" s="14"/>
    </row>
    <row r="877" spans="2:5" x14ac:dyDescent="0.25">
      <c r="B877" s="12"/>
      <c r="C877" s="12"/>
      <c r="D877" s="13"/>
      <c r="E877" s="14"/>
    </row>
    <row r="878" spans="2:5" x14ac:dyDescent="0.25">
      <c r="B878" s="12"/>
      <c r="C878" s="12"/>
      <c r="D878" s="13"/>
      <c r="E878" s="14"/>
    </row>
    <row r="879" spans="2:5" x14ac:dyDescent="0.25">
      <c r="B879" s="12"/>
      <c r="C879" s="12"/>
      <c r="D879" s="13"/>
      <c r="E879" s="14"/>
    </row>
    <row r="880" spans="2:5" x14ac:dyDescent="0.25">
      <c r="B880" s="12"/>
      <c r="C880" s="12"/>
      <c r="D880" s="13"/>
      <c r="E880" s="14"/>
    </row>
    <row r="881" spans="2:5" x14ac:dyDescent="0.25">
      <c r="B881" s="12"/>
      <c r="C881" s="12"/>
      <c r="D881" s="13"/>
      <c r="E881" s="14"/>
    </row>
    <row r="882" spans="2:5" x14ac:dyDescent="0.25">
      <c r="B882" s="12"/>
      <c r="C882" s="12"/>
      <c r="D882" s="13"/>
      <c r="E882" s="14"/>
    </row>
    <row r="883" spans="2:5" x14ac:dyDescent="0.25">
      <c r="B883" s="12"/>
      <c r="C883" s="12"/>
      <c r="D883" s="13"/>
      <c r="E883" s="14"/>
    </row>
    <row r="884" spans="2:5" x14ac:dyDescent="0.25">
      <c r="B884" s="12"/>
      <c r="C884" s="12"/>
      <c r="D884" s="13"/>
      <c r="E884" s="14"/>
    </row>
    <row r="885" spans="2:5" x14ac:dyDescent="0.25">
      <c r="B885" s="12"/>
      <c r="C885" s="12"/>
      <c r="D885" s="13"/>
      <c r="E885" s="14"/>
    </row>
    <row r="886" spans="2:5" x14ac:dyDescent="0.25">
      <c r="B886" s="12"/>
      <c r="C886" s="12"/>
      <c r="D886" s="13"/>
      <c r="E886" s="14"/>
    </row>
    <row r="887" spans="2:5" x14ac:dyDescent="0.25">
      <c r="B887" s="12"/>
      <c r="C887" s="12"/>
      <c r="D887" s="13"/>
      <c r="E887" s="14"/>
    </row>
    <row r="888" spans="2:5" x14ac:dyDescent="0.25">
      <c r="B888" s="12"/>
      <c r="C888" s="12"/>
      <c r="D888" s="13"/>
      <c r="E888" s="14"/>
    </row>
    <row r="889" spans="2:5" x14ac:dyDescent="0.25">
      <c r="B889" s="12"/>
      <c r="C889" s="12"/>
      <c r="D889" s="13"/>
      <c r="E889" s="14"/>
    </row>
    <row r="890" spans="2:5" x14ac:dyDescent="0.25">
      <c r="B890" s="12"/>
      <c r="C890" s="12"/>
      <c r="D890" s="13"/>
      <c r="E890" s="14"/>
    </row>
    <row r="891" spans="2:5" x14ac:dyDescent="0.25">
      <c r="B891" s="12"/>
      <c r="C891" s="12"/>
      <c r="D891" s="13"/>
      <c r="E891" s="14"/>
    </row>
    <row r="892" spans="2:5" x14ac:dyDescent="0.25">
      <c r="B892" s="12"/>
      <c r="C892" s="12"/>
      <c r="D892" s="13"/>
      <c r="E892" s="14"/>
    </row>
    <row r="893" spans="2:5" x14ac:dyDescent="0.25">
      <c r="B893" s="12"/>
      <c r="C893" s="12"/>
      <c r="D893" s="13"/>
      <c r="E893" s="14"/>
    </row>
    <row r="894" spans="2:5" x14ac:dyDescent="0.25">
      <c r="B894" s="12"/>
      <c r="C894" s="12"/>
      <c r="D894" s="13"/>
      <c r="E894" s="14"/>
    </row>
    <row r="895" spans="2:5" x14ac:dyDescent="0.25">
      <c r="B895" s="12"/>
      <c r="C895" s="12"/>
      <c r="D895" s="13"/>
      <c r="E895" s="14"/>
    </row>
    <row r="896" spans="2:5" x14ac:dyDescent="0.25">
      <c r="B896" s="12"/>
      <c r="C896" s="12"/>
      <c r="D896" s="13"/>
      <c r="E896" s="14"/>
    </row>
    <row r="897" spans="2:5" x14ac:dyDescent="0.25">
      <c r="B897" s="12"/>
      <c r="C897" s="12"/>
      <c r="D897" s="13"/>
      <c r="E897" s="14"/>
    </row>
    <row r="898" spans="2:5" x14ac:dyDescent="0.25">
      <c r="B898" s="12"/>
      <c r="C898" s="12"/>
      <c r="D898" s="13"/>
      <c r="E898" s="14"/>
    </row>
    <row r="899" spans="2:5" x14ac:dyDescent="0.25">
      <c r="B899" s="12"/>
      <c r="C899" s="12"/>
      <c r="D899" s="13"/>
      <c r="E899" s="14"/>
    </row>
    <row r="900" spans="2:5" x14ac:dyDescent="0.25">
      <c r="B900" s="12"/>
      <c r="C900" s="12"/>
      <c r="D900" s="13"/>
      <c r="E900" s="14"/>
    </row>
    <row r="901" spans="2:5" x14ac:dyDescent="0.25">
      <c r="B901" s="12"/>
      <c r="C901" s="12"/>
      <c r="D901" s="13"/>
      <c r="E901" s="14"/>
    </row>
    <row r="902" spans="2:5" x14ac:dyDescent="0.25">
      <c r="B902" s="12"/>
      <c r="C902" s="12"/>
      <c r="D902" s="13"/>
      <c r="E902" s="14"/>
    </row>
    <row r="903" spans="2:5" x14ac:dyDescent="0.25">
      <c r="B903" s="12"/>
      <c r="C903" s="12"/>
      <c r="D903" s="13"/>
      <c r="E903" s="14"/>
    </row>
    <row r="904" spans="2:5" x14ac:dyDescent="0.25">
      <c r="B904" s="12"/>
      <c r="C904" s="12"/>
      <c r="D904" s="13"/>
      <c r="E904" s="14"/>
    </row>
    <row r="905" spans="2:5" x14ac:dyDescent="0.25">
      <c r="B905" s="12"/>
      <c r="C905" s="12"/>
      <c r="D905" s="13"/>
      <c r="E905" s="14"/>
    </row>
    <row r="906" spans="2:5" x14ac:dyDescent="0.25">
      <c r="B906" s="12"/>
      <c r="C906" s="12"/>
      <c r="D906" s="13"/>
      <c r="E906" s="14"/>
    </row>
    <row r="907" spans="2:5" x14ac:dyDescent="0.25">
      <c r="B907" s="12"/>
      <c r="C907" s="12"/>
      <c r="D907" s="13"/>
      <c r="E907" s="14"/>
    </row>
    <row r="908" spans="2:5" x14ac:dyDescent="0.25">
      <c r="B908" s="12"/>
      <c r="C908" s="12"/>
      <c r="D908" s="13"/>
      <c r="E908" s="14"/>
    </row>
    <row r="909" spans="2:5" x14ac:dyDescent="0.25">
      <c r="B909" s="12"/>
      <c r="C909" s="12"/>
      <c r="D909" s="13"/>
      <c r="E909" s="14"/>
    </row>
    <row r="910" spans="2:5" x14ac:dyDescent="0.25">
      <c r="B910" s="12"/>
      <c r="C910" s="12"/>
      <c r="D910" s="13"/>
      <c r="E910" s="14"/>
    </row>
    <row r="911" spans="2:5" x14ac:dyDescent="0.25">
      <c r="B911" s="12"/>
      <c r="C911" s="12"/>
      <c r="D911" s="13"/>
      <c r="E911" s="14"/>
    </row>
    <row r="912" spans="2:5" x14ac:dyDescent="0.25">
      <c r="B912" s="12"/>
      <c r="C912" s="12"/>
      <c r="D912" s="13"/>
      <c r="E912" s="14"/>
    </row>
    <row r="913" spans="2:5" x14ac:dyDescent="0.25">
      <c r="B913" s="12"/>
      <c r="C913" s="12"/>
      <c r="D913" s="13"/>
      <c r="E913" s="14"/>
    </row>
    <row r="914" spans="2:5" x14ac:dyDescent="0.25">
      <c r="B914" s="12"/>
      <c r="C914" s="12"/>
      <c r="D914" s="13"/>
      <c r="E914" s="14"/>
    </row>
    <row r="915" spans="2:5" x14ac:dyDescent="0.25">
      <c r="B915" s="12"/>
      <c r="C915" s="12"/>
      <c r="D915" s="13"/>
      <c r="E915" s="14"/>
    </row>
    <row r="916" spans="2:5" x14ac:dyDescent="0.25">
      <c r="B916" s="12"/>
      <c r="C916" s="12"/>
      <c r="D916" s="13"/>
      <c r="E916" s="14"/>
    </row>
    <row r="917" spans="2:5" x14ac:dyDescent="0.25">
      <c r="B917" s="12"/>
      <c r="C917" s="12"/>
      <c r="D917" s="13"/>
      <c r="E917" s="14"/>
    </row>
    <row r="918" spans="2:5" x14ac:dyDescent="0.25">
      <c r="B918" s="12"/>
      <c r="C918" s="12"/>
      <c r="D918" s="13"/>
      <c r="E918" s="14"/>
    </row>
    <row r="919" spans="2:5" x14ac:dyDescent="0.25">
      <c r="B919" s="12"/>
      <c r="C919" s="12"/>
      <c r="D919" s="13"/>
      <c r="E919" s="14"/>
    </row>
    <row r="920" spans="2:5" x14ac:dyDescent="0.25">
      <c r="B920" s="12"/>
      <c r="C920" s="12"/>
      <c r="D920" s="13"/>
      <c r="E920" s="14"/>
    </row>
    <row r="921" spans="2:5" x14ac:dyDescent="0.25">
      <c r="B921" s="12"/>
      <c r="C921" s="12"/>
      <c r="D921" s="13"/>
      <c r="E921" s="14"/>
    </row>
    <row r="922" spans="2:5" x14ac:dyDescent="0.25">
      <c r="B922" s="12"/>
      <c r="C922" s="12"/>
      <c r="D922" s="13"/>
      <c r="E922" s="14"/>
    </row>
    <row r="923" spans="2:5" x14ac:dyDescent="0.25">
      <c r="B923" s="12"/>
      <c r="C923" s="12"/>
      <c r="D923" s="13"/>
      <c r="E923" s="14"/>
    </row>
    <row r="924" spans="2:5" x14ac:dyDescent="0.25">
      <c r="B924" s="12"/>
      <c r="C924" s="12"/>
      <c r="D924" s="13"/>
      <c r="E924" s="14"/>
    </row>
    <row r="925" spans="2:5" x14ac:dyDescent="0.25">
      <c r="B925" s="12"/>
      <c r="C925" s="12"/>
      <c r="D925" s="13"/>
      <c r="E925" s="14"/>
    </row>
    <row r="926" spans="2:5" x14ac:dyDescent="0.25">
      <c r="B926" s="12"/>
      <c r="C926" s="12"/>
      <c r="D926" s="13"/>
      <c r="E926" s="14"/>
    </row>
    <row r="927" spans="2:5" x14ac:dyDescent="0.25">
      <c r="B927" s="12"/>
      <c r="C927" s="12"/>
      <c r="D927" s="13"/>
      <c r="E927" s="14"/>
    </row>
    <row r="928" spans="2:5" x14ac:dyDescent="0.25">
      <c r="B928" s="12"/>
      <c r="C928" s="12"/>
      <c r="D928" s="13"/>
      <c r="E928" s="14"/>
    </row>
    <row r="929" spans="2:5" x14ac:dyDescent="0.25">
      <c r="B929" s="12"/>
      <c r="C929" s="12"/>
      <c r="D929" s="13"/>
      <c r="E929" s="14"/>
    </row>
    <row r="930" spans="2:5" x14ac:dyDescent="0.25">
      <c r="B930" s="12"/>
      <c r="C930" s="12"/>
      <c r="D930" s="13"/>
      <c r="E930" s="14"/>
    </row>
    <row r="931" spans="2:5" x14ac:dyDescent="0.25">
      <c r="B931" s="12"/>
      <c r="C931" s="12"/>
      <c r="D931" s="13"/>
      <c r="E931" s="14"/>
    </row>
    <row r="932" spans="2:5" x14ac:dyDescent="0.25">
      <c r="B932" s="12"/>
      <c r="C932" s="12"/>
      <c r="D932" s="13"/>
      <c r="E932" s="14"/>
    </row>
    <row r="933" spans="2:5" x14ac:dyDescent="0.25">
      <c r="B933" s="12"/>
      <c r="C933" s="12"/>
      <c r="D933" s="13"/>
      <c r="E933" s="14"/>
    </row>
    <row r="934" spans="2:5" x14ac:dyDescent="0.25">
      <c r="B934" s="12"/>
      <c r="C934" s="12"/>
      <c r="D934" s="13"/>
      <c r="E934" s="14"/>
    </row>
    <row r="935" spans="2:5" x14ac:dyDescent="0.25">
      <c r="B935" s="12"/>
      <c r="C935" s="12"/>
      <c r="D935" s="13"/>
      <c r="E935" s="14"/>
    </row>
    <row r="936" spans="2:5" x14ac:dyDescent="0.25">
      <c r="B936" s="12"/>
      <c r="C936" s="12"/>
      <c r="D936" s="13"/>
      <c r="E936" s="14"/>
    </row>
    <row r="937" spans="2:5" x14ac:dyDescent="0.25">
      <c r="B937" s="12"/>
      <c r="C937" s="12"/>
      <c r="D937" s="13"/>
      <c r="E937" s="14"/>
    </row>
    <row r="938" spans="2:5" x14ac:dyDescent="0.25">
      <c r="B938" s="12"/>
      <c r="C938" s="12"/>
      <c r="D938" s="13"/>
      <c r="E938" s="14"/>
    </row>
    <row r="939" spans="2:5" x14ac:dyDescent="0.25">
      <c r="B939" s="12"/>
      <c r="C939" s="12"/>
      <c r="D939" s="13"/>
      <c r="E939" s="14"/>
    </row>
    <row r="940" spans="2:5" x14ac:dyDescent="0.25">
      <c r="B940" s="12"/>
      <c r="C940" s="12"/>
      <c r="D940" s="13"/>
      <c r="E940" s="14"/>
    </row>
    <row r="941" spans="2:5" x14ac:dyDescent="0.25">
      <c r="B941" s="12"/>
      <c r="C941" s="12"/>
      <c r="D941" s="13"/>
      <c r="E941" s="14"/>
    </row>
    <row r="942" spans="2:5" x14ac:dyDescent="0.25">
      <c r="B942" s="12"/>
      <c r="C942" s="12"/>
      <c r="D942" s="13"/>
      <c r="E942" s="14"/>
    </row>
    <row r="943" spans="2:5" x14ac:dyDescent="0.25">
      <c r="B943" s="12"/>
      <c r="C943" s="12"/>
      <c r="D943" s="13"/>
      <c r="E943" s="14"/>
    </row>
    <row r="944" spans="2:5" x14ac:dyDescent="0.25">
      <c r="B944" s="12"/>
      <c r="C944" s="12"/>
      <c r="D944" s="13"/>
      <c r="E944" s="14"/>
    </row>
    <row r="945" spans="2:5" x14ac:dyDescent="0.25">
      <c r="B945" s="12"/>
      <c r="C945" s="12"/>
      <c r="D945" s="13"/>
      <c r="E945" s="14"/>
    </row>
    <row r="946" spans="2:5" x14ac:dyDescent="0.25">
      <c r="B946" s="12"/>
      <c r="C946" s="12"/>
      <c r="D946" s="13"/>
      <c r="E946" s="14"/>
    </row>
    <row r="947" spans="2:5" x14ac:dyDescent="0.25">
      <c r="B947" s="12"/>
      <c r="C947" s="12"/>
      <c r="D947" s="13"/>
      <c r="E947" s="14"/>
    </row>
    <row r="948" spans="2:5" x14ac:dyDescent="0.25">
      <c r="B948" s="12"/>
      <c r="C948" s="12"/>
      <c r="D948" s="13"/>
      <c r="E948" s="14"/>
    </row>
    <row r="949" spans="2:5" x14ac:dyDescent="0.25">
      <c r="B949" s="12"/>
      <c r="C949" s="12"/>
      <c r="D949" s="13"/>
      <c r="E949" s="14"/>
    </row>
    <row r="950" spans="2:5" x14ac:dyDescent="0.25">
      <c r="B950" s="12"/>
      <c r="C950" s="12"/>
      <c r="D950" s="13"/>
      <c r="E950" s="14"/>
    </row>
    <row r="951" spans="2:5" x14ac:dyDescent="0.25">
      <c r="B951" s="12"/>
      <c r="C951" s="12"/>
      <c r="D951" s="13"/>
      <c r="E951" s="14"/>
    </row>
    <row r="952" spans="2:5" x14ac:dyDescent="0.25">
      <c r="B952" s="12"/>
      <c r="C952" s="12"/>
      <c r="D952" s="13"/>
      <c r="E952" s="14"/>
    </row>
    <row r="953" spans="2:5" x14ac:dyDescent="0.25">
      <c r="B953" s="12"/>
      <c r="C953" s="12"/>
      <c r="D953" s="13"/>
      <c r="E953" s="14"/>
    </row>
    <row r="954" spans="2:5" x14ac:dyDescent="0.25">
      <c r="B954" s="12"/>
      <c r="C954" s="12"/>
      <c r="D954" s="13"/>
      <c r="E954" s="14"/>
    </row>
    <row r="955" spans="2:5" x14ac:dyDescent="0.25">
      <c r="B955" s="12"/>
      <c r="C955" s="12"/>
      <c r="D955" s="13"/>
      <c r="E955" s="14"/>
    </row>
    <row r="956" spans="2:5" x14ac:dyDescent="0.25">
      <c r="B956" s="12"/>
      <c r="C956" s="12"/>
      <c r="D956" s="13"/>
      <c r="E956" s="14"/>
    </row>
    <row r="957" spans="2:5" x14ac:dyDescent="0.25">
      <c r="B957" s="12"/>
      <c r="C957" s="12"/>
      <c r="D957" s="13"/>
      <c r="E957" s="14"/>
    </row>
    <row r="958" spans="2:5" x14ac:dyDescent="0.25">
      <c r="B958" s="12"/>
      <c r="C958" s="12"/>
      <c r="D958" s="13"/>
      <c r="E958" s="14"/>
    </row>
    <row r="959" spans="2:5" x14ac:dyDescent="0.25">
      <c r="B959" s="12"/>
      <c r="C959" s="12"/>
      <c r="D959" s="13"/>
      <c r="E959" s="14"/>
    </row>
    <row r="960" spans="2:5" x14ac:dyDescent="0.25">
      <c r="B960" s="12"/>
      <c r="C960" s="12"/>
      <c r="D960" s="13"/>
      <c r="E960" s="14"/>
    </row>
    <row r="961" spans="2:5" x14ac:dyDescent="0.25">
      <c r="B961" s="12"/>
      <c r="C961" s="12"/>
      <c r="D961" s="13"/>
      <c r="E961" s="14"/>
    </row>
    <row r="962" spans="2:5" x14ac:dyDescent="0.25">
      <c r="B962" s="12"/>
      <c r="C962" s="12"/>
      <c r="D962" s="13"/>
      <c r="E962" s="14"/>
    </row>
    <row r="963" spans="2:5" x14ac:dyDescent="0.25">
      <c r="B963" s="12"/>
      <c r="C963" s="12"/>
      <c r="D963" s="13"/>
      <c r="E963" s="14"/>
    </row>
    <row r="964" spans="2:5" x14ac:dyDescent="0.25">
      <c r="B964" s="12"/>
      <c r="C964" s="12"/>
      <c r="D964" s="13"/>
      <c r="E964" s="14"/>
    </row>
    <row r="965" spans="2:5" x14ac:dyDescent="0.25">
      <c r="B965" s="12"/>
      <c r="C965" s="12"/>
      <c r="D965" s="13"/>
      <c r="E965" s="14"/>
    </row>
    <row r="966" spans="2:5" x14ac:dyDescent="0.25">
      <c r="B966" s="12"/>
      <c r="C966" s="12"/>
      <c r="D966" s="13"/>
      <c r="E966" s="14"/>
    </row>
    <row r="967" spans="2:5" x14ac:dyDescent="0.25">
      <c r="B967" s="12"/>
      <c r="C967" s="12"/>
      <c r="D967" s="13"/>
      <c r="E967" s="14"/>
    </row>
    <row r="968" spans="2:5" x14ac:dyDescent="0.25">
      <c r="B968" s="12"/>
      <c r="C968" s="12"/>
      <c r="D968" s="13"/>
      <c r="E968" s="14"/>
    </row>
    <row r="969" spans="2:5" x14ac:dyDescent="0.25">
      <c r="B969" s="12"/>
      <c r="C969" s="12"/>
      <c r="D969" s="13"/>
      <c r="E969" s="14"/>
    </row>
    <row r="970" spans="2:5" x14ac:dyDescent="0.25">
      <c r="B970" s="12"/>
      <c r="C970" s="12"/>
      <c r="D970" s="13"/>
      <c r="E970" s="14"/>
    </row>
    <row r="971" spans="2:5" x14ac:dyDescent="0.25">
      <c r="B971" s="12"/>
      <c r="C971" s="12"/>
      <c r="D971" s="13"/>
      <c r="E971" s="14"/>
    </row>
    <row r="972" spans="2:5" x14ac:dyDescent="0.25">
      <c r="B972" s="12"/>
      <c r="C972" s="12"/>
      <c r="D972" s="13"/>
      <c r="E972" s="14"/>
    </row>
    <row r="973" spans="2:5" x14ac:dyDescent="0.25">
      <c r="B973" s="12"/>
      <c r="C973" s="12"/>
      <c r="D973" s="13"/>
      <c r="E973" s="14"/>
    </row>
    <row r="974" spans="2:5" x14ac:dyDescent="0.25">
      <c r="B974" s="12"/>
      <c r="C974" s="12"/>
      <c r="D974" s="13"/>
      <c r="E974" s="14"/>
    </row>
    <row r="975" spans="2:5" x14ac:dyDescent="0.25">
      <c r="B975" s="12"/>
      <c r="C975" s="12"/>
      <c r="D975" s="13"/>
      <c r="E975" s="14"/>
    </row>
    <row r="976" spans="2:5" x14ac:dyDescent="0.25">
      <c r="B976" s="12"/>
      <c r="C976" s="12"/>
      <c r="D976" s="13"/>
      <c r="E976" s="14"/>
    </row>
    <row r="977" spans="2:5" x14ac:dyDescent="0.25">
      <c r="B977" s="12"/>
      <c r="C977" s="12"/>
      <c r="D977" s="13"/>
      <c r="E977" s="14"/>
    </row>
    <row r="978" spans="2:5" x14ac:dyDescent="0.25">
      <c r="B978" s="12"/>
      <c r="C978" s="12"/>
      <c r="D978" s="13"/>
      <c r="E978" s="14"/>
    </row>
    <row r="979" spans="2:5" x14ac:dyDescent="0.25">
      <c r="B979" s="12"/>
      <c r="C979" s="12"/>
      <c r="D979" s="13"/>
      <c r="E979" s="14"/>
    </row>
    <row r="980" spans="2:5" x14ac:dyDescent="0.25">
      <c r="B980" s="12"/>
      <c r="C980" s="12"/>
      <c r="D980" s="13"/>
      <c r="E980" s="14"/>
    </row>
    <row r="981" spans="2:5" x14ac:dyDescent="0.25">
      <c r="B981" s="12"/>
      <c r="C981" s="12"/>
      <c r="D981" s="13"/>
      <c r="E981" s="14"/>
    </row>
    <row r="982" spans="2:5" x14ac:dyDescent="0.25">
      <c r="B982" s="12"/>
      <c r="C982" s="12"/>
      <c r="D982" s="13"/>
      <c r="E982" s="14"/>
    </row>
    <row r="983" spans="2:5" x14ac:dyDescent="0.25">
      <c r="B983" s="12"/>
      <c r="C983" s="12"/>
      <c r="D983" s="13"/>
      <c r="E983" s="14"/>
    </row>
    <row r="984" spans="2:5" x14ac:dyDescent="0.25">
      <c r="B984" s="12"/>
      <c r="C984" s="12"/>
      <c r="D984" s="13"/>
      <c r="E984" s="14"/>
    </row>
    <row r="985" spans="2:5" x14ac:dyDescent="0.25">
      <c r="B985" s="12"/>
      <c r="C985" s="12"/>
      <c r="D985" s="13"/>
      <c r="E985" s="14"/>
    </row>
    <row r="986" spans="2:5" x14ac:dyDescent="0.25">
      <c r="B986" s="12"/>
      <c r="C986" s="12"/>
      <c r="D986" s="13"/>
      <c r="E986" s="14"/>
    </row>
    <row r="987" spans="2:5" x14ac:dyDescent="0.25">
      <c r="B987" s="12"/>
      <c r="C987" s="12"/>
      <c r="D987" s="13"/>
      <c r="E987" s="14"/>
    </row>
    <row r="988" spans="2:5" x14ac:dyDescent="0.25">
      <c r="B988" s="12"/>
      <c r="C988" s="12"/>
      <c r="D988" s="13"/>
      <c r="E988" s="14"/>
    </row>
    <row r="989" spans="2:5" x14ac:dyDescent="0.25">
      <c r="B989" s="12"/>
      <c r="C989" s="12"/>
      <c r="D989" s="13"/>
      <c r="E989" s="14"/>
    </row>
    <row r="990" spans="2:5" x14ac:dyDescent="0.25">
      <c r="B990" s="12"/>
      <c r="C990" s="12"/>
      <c r="D990" s="13"/>
      <c r="E990" s="14"/>
    </row>
    <row r="991" spans="2:5" x14ac:dyDescent="0.25">
      <c r="B991" s="12"/>
      <c r="C991" s="12"/>
      <c r="D991" s="13"/>
      <c r="E991" s="14"/>
    </row>
    <row r="992" spans="2:5" x14ac:dyDescent="0.25">
      <c r="B992" s="12"/>
      <c r="C992" s="12"/>
      <c r="D992" s="13"/>
      <c r="E992" s="14"/>
    </row>
    <row r="993" spans="2:5" x14ac:dyDescent="0.25">
      <c r="B993" s="12"/>
      <c r="C993" s="12"/>
      <c r="D993" s="13"/>
      <c r="E993" s="14"/>
    </row>
    <row r="994" spans="2:5" x14ac:dyDescent="0.25">
      <c r="B994" s="12"/>
      <c r="C994" s="12"/>
      <c r="D994" s="13"/>
      <c r="E994" s="14"/>
    </row>
    <row r="995" spans="2:5" x14ac:dyDescent="0.25">
      <c r="B995" s="12"/>
      <c r="C995" s="12"/>
      <c r="D995" s="13"/>
      <c r="E995" s="14"/>
    </row>
    <row r="996" spans="2:5" x14ac:dyDescent="0.25">
      <c r="B996" s="12"/>
      <c r="C996" s="12"/>
      <c r="D996" s="13"/>
      <c r="E996" s="14"/>
    </row>
    <row r="997" spans="2:5" x14ac:dyDescent="0.25">
      <c r="B997" s="12"/>
      <c r="C997" s="12"/>
      <c r="D997" s="13"/>
      <c r="E997" s="14"/>
    </row>
    <row r="998" spans="2:5" x14ac:dyDescent="0.25">
      <c r="B998" s="12"/>
      <c r="C998" s="12"/>
      <c r="D998" s="13"/>
      <c r="E998" s="14"/>
    </row>
    <row r="999" spans="2:5" x14ac:dyDescent="0.25">
      <c r="B999" s="12"/>
      <c r="C999" s="12"/>
      <c r="D999" s="13"/>
      <c r="E999" s="14"/>
    </row>
    <row r="1000" spans="2:5" x14ac:dyDescent="0.25">
      <c r="B1000" s="12"/>
      <c r="C1000" s="12"/>
      <c r="D1000" s="13"/>
      <c r="E1000" s="14"/>
    </row>
    <row r="1001" spans="2:5" x14ac:dyDescent="0.25">
      <c r="B1001" s="12"/>
      <c r="C1001" s="12"/>
      <c r="D1001" s="13"/>
      <c r="E1001" s="14"/>
    </row>
    <row r="1002" spans="2:5" x14ac:dyDescent="0.25">
      <c r="B1002" s="12"/>
      <c r="C1002" s="12"/>
      <c r="D1002" s="13"/>
      <c r="E1002" s="14"/>
    </row>
    <row r="1003" spans="2:5" x14ac:dyDescent="0.25">
      <c r="B1003" s="12"/>
      <c r="C1003" s="12"/>
      <c r="D1003" s="13"/>
      <c r="E1003" s="14"/>
    </row>
    <row r="1004" spans="2:5" x14ac:dyDescent="0.25"/>
    <row r="1005" spans="2:5" x14ac:dyDescent="0.25"/>
    <row r="1006" spans="2:5" hidden="1" x14ac:dyDescent="0.25"/>
    <row r="1007" spans="2:5" hidden="1" x14ac:dyDescent="0.25"/>
    <row r="1008" spans="2:5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</sheetData>
  <mergeCells count="3">
    <mergeCell ref="G4:I4"/>
    <mergeCell ref="B4:E4"/>
    <mergeCell ref="D2:E2"/>
  </mergeCells>
  <phoneticPr fontId="19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7" customWidth="1"/>
    <col min="2" max="16384" width="12.44140625" style="47"/>
  </cols>
  <sheetData>
    <row r="4" spans="1:1" s="43" customFormat="1" ht="15.6" customHeight="1" x14ac:dyDescent="0.5">
      <c r="A4" s="42"/>
    </row>
    <row r="5" spans="1:1" s="43" customFormat="1" ht="15.6" customHeight="1" x14ac:dyDescent="0.5">
      <c r="A5" s="44"/>
    </row>
    <row r="40" spans="1:15" s="43" customFormat="1" ht="30" customHeight="1" x14ac:dyDescent="0.5">
      <c r="A40" s="58" t="s">
        <v>50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45"/>
      <c r="N40" s="45"/>
      <c r="O40" s="45"/>
    </row>
    <row r="41" spans="1:15" s="43" customFormat="1" ht="30" customHeight="1" x14ac:dyDescent="0.5">
      <c r="A41" s="59" t="s">
        <v>51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46"/>
      <c r="N41" s="46"/>
      <c r="O41" s="4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7" customWidth="1"/>
    <col min="2" max="16384" width="12.44140625" style="47"/>
  </cols>
  <sheetData>
    <row r="4" spans="1:1" s="43" customFormat="1" ht="15.6" customHeight="1" x14ac:dyDescent="0.5">
      <c r="A4" s="42"/>
    </row>
    <row r="5" spans="1:1" s="43" customFormat="1" ht="15.6" customHeight="1" x14ac:dyDescent="0.5">
      <c r="A5" s="44"/>
    </row>
    <row r="40" spans="1:15" s="43" customFormat="1" ht="30" customHeight="1" x14ac:dyDescent="0.5">
      <c r="A40" s="58" t="s">
        <v>50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45"/>
      <c r="N40" s="45"/>
      <c r="O40" s="45"/>
    </row>
    <row r="41" spans="1:15" s="43" customFormat="1" ht="30" customHeight="1" x14ac:dyDescent="0.5">
      <c r="A41" s="59" t="s">
        <v>51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46"/>
      <c r="N41" s="46"/>
      <c r="O41" s="4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Weekly</vt:lpstr>
      <vt:lpstr>Schedule</vt:lpstr>
      <vt:lpstr>Events and Holidays</vt:lpstr>
      <vt:lpstr>Copyright</vt:lpstr>
      <vt:lpstr>Copyright-2</vt:lpstr>
      <vt:lpstr>Holiday</vt:lpstr>
      <vt:lpstr>Weekly!Print_Area</vt:lpstr>
      <vt:lpstr>StartingDate</vt:lpstr>
    </vt:vector>
  </TitlesOfParts>
  <Company>Exceltemplate.net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2009-10-18T15:12:01Z</cp:lastPrinted>
  <dcterms:created xsi:type="dcterms:W3CDTF">2009-04-19T13:01:12Z</dcterms:created>
  <dcterms:modified xsi:type="dcterms:W3CDTF">2020-11-03T20:14:14Z</dcterms:modified>
</cp:coreProperties>
</file>