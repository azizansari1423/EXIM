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Syed Nayab Haider\Desktop\Excel S3\planning\calendar\"/>
    </mc:Choice>
  </mc:AlternateContent>
  <bookViews>
    <workbookView xWindow="0" yWindow="0" windowWidth="23040" windowHeight="9336"/>
  </bookViews>
  <sheets>
    <sheet name="Todo-Holiday-Event" sheetId="2" r:id="rId1"/>
    <sheet name="Layout 1" sheetId="1" r:id="rId2"/>
    <sheet name="Layout 2" sheetId="4" r:id="rId3"/>
    <sheet name="Layout 3" sheetId="5" r:id="rId4"/>
    <sheet name="Layout 4" sheetId="7" r:id="rId5"/>
    <sheet name="Layout 5" sheetId="8" r:id="rId6"/>
    <sheet name="Copyright" sheetId="9" r:id="rId7"/>
    <sheet name="Copyright-2" sheetId="10" state="hidden" r:id="rId8"/>
    <sheet name="Supporting Calendar" sheetId="3" state="hidden" r:id="rId9"/>
  </sheets>
  <definedNames>
    <definedName name="Event">'Todo-Holiday-Event'!$M$9:$M$28</definedName>
    <definedName name="Event_Date">'Todo-Holiday-Event'!$L$9:$L$28</definedName>
    <definedName name="Holiday">'Todo-Holiday-Event'!$I$9:$I$28</definedName>
    <definedName name="Holiday_Date">'Todo-Holiday-Event'!$H$9:$H$28</definedName>
    <definedName name="MonthRef">'Supporting Calendar'!$J$2:$J$13</definedName>
    <definedName name="Months">'Supporting Calendar'!$K$2:$K$13</definedName>
    <definedName name="_xlnm.Print_Area" localSheetId="1">'Layout 1'!$C$2:$P$35</definedName>
    <definedName name="_xlnm.Print_Area" localSheetId="2">'Layout 2'!$C$2:$P$35</definedName>
    <definedName name="_xlnm.Print_Area" localSheetId="3">'Layout 3'!$C$2:$P$35</definedName>
    <definedName name="_xlnm.Print_Area" localSheetId="4">'Layout 4'!$C$2:$P$35</definedName>
    <definedName name="_xlnm.Print_Area" localSheetId="5">'Layout 5'!$C$2:$P$35</definedName>
    <definedName name="_xlnm.Print_Area" localSheetId="8">'Supporting Calendar'!$A$1:$K$24</definedName>
    <definedName name="StartMonth">'Todo-Holiday-Event'!$E$4</definedName>
  </definedNames>
  <calcPr calcId="162913"/>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51" i="3" l="1"/>
  <c r="D76" i="3" s="1"/>
  <c r="D101" i="3" s="1"/>
  <c r="P33" i="8"/>
  <c r="P31" i="8" s="1"/>
  <c r="N33" i="8"/>
  <c r="P32" i="8"/>
  <c r="P33" i="7"/>
  <c r="P31" i="7" s="1"/>
  <c r="N33" i="7"/>
  <c r="P32" i="7"/>
  <c r="O32" i="5"/>
  <c r="O32" i="4"/>
  <c r="O33" i="5"/>
  <c r="O31" i="5" s="1"/>
  <c r="M33" i="5"/>
  <c r="H26" i="3"/>
  <c r="H51" i="3" s="1"/>
  <c r="H76" i="3" s="1"/>
  <c r="H101" i="3" s="1"/>
  <c r="G26" i="3"/>
  <c r="G51" i="3" s="1"/>
  <c r="G76" i="3" s="1"/>
  <c r="G101" i="3" s="1"/>
  <c r="F26" i="3"/>
  <c r="F51" i="3" s="1"/>
  <c r="F76" i="3" s="1"/>
  <c r="F101" i="3" s="1"/>
  <c r="E26" i="3"/>
  <c r="E51" i="3" s="1"/>
  <c r="E76" i="3" s="1"/>
  <c r="E101" i="3" s="1"/>
  <c r="D26" i="3"/>
  <c r="C26" i="3"/>
  <c r="C51" i="3" s="1"/>
  <c r="C76" i="3" s="1"/>
  <c r="C101" i="3" s="1"/>
  <c r="B26" i="3"/>
  <c r="B51" i="3" s="1"/>
  <c r="B76" i="3" s="1"/>
  <c r="B101" i="3" s="1"/>
  <c r="O33" i="4"/>
  <c r="M33" i="4"/>
  <c r="N31" i="8" l="1"/>
  <c r="D6" i="8" s="1"/>
  <c r="F6" i="8" s="1"/>
  <c r="E6" i="8" s="1"/>
  <c r="N31" i="7"/>
  <c r="D6" i="7" s="1"/>
  <c r="F6" i="7" s="1"/>
  <c r="H6" i="7" s="1"/>
  <c r="O31" i="4"/>
  <c r="M31" i="5"/>
  <c r="M31" i="4"/>
  <c r="O33" i="1"/>
  <c r="C6" i="8" l="1"/>
  <c r="H6" i="8"/>
  <c r="J6" i="8" s="1"/>
  <c r="C6" i="7"/>
  <c r="E6" i="7"/>
  <c r="J6" i="7"/>
  <c r="G6" i="7"/>
  <c r="C6" i="5"/>
  <c r="C6" i="4"/>
  <c r="O31" i="1"/>
  <c r="H24" i="3" s="1"/>
  <c r="H49" i="3" s="1"/>
  <c r="H74" i="3" s="1"/>
  <c r="H99" i="3" s="1"/>
  <c r="H124" i="3" s="1"/>
  <c r="M33" i="1"/>
  <c r="H18" i="3"/>
  <c r="H43" i="3" s="1"/>
  <c r="H68" i="3" s="1"/>
  <c r="H93" i="3" s="1"/>
  <c r="H118" i="3" s="1"/>
  <c r="G18" i="3"/>
  <c r="G43" i="3" s="1"/>
  <c r="G68" i="3" s="1"/>
  <c r="G93" i="3" s="1"/>
  <c r="G118" i="3" s="1"/>
  <c r="F18" i="3"/>
  <c r="F43" i="3" s="1"/>
  <c r="F68" i="3" s="1"/>
  <c r="F93" i="3" s="1"/>
  <c r="F118" i="3" s="1"/>
  <c r="E18" i="3"/>
  <c r="E43" i="3" s="1"/>
  <c r="E68" i="3" s="1"/>
  <c r="E93" i="3" s="1"/>
  <c r="E118" i="3" s="1"/>
  <c r="D18" i="3"/>
  <c r="D43" i="3" s="1"/>
  <c r="D68" i="3" s="1"/>
  <c r="D93" i="3" s="1"/>
  <c r="D118" i="3" s="1"/>
  <c r="C18" i="3"/>
  <c r="C43" i="3" s="1"/>
  <c r="C68" i="3" s="1"/>
  <c r="C93" i="3" s="1"/>
  <c r="C118" i="3" s="1"/>
  <c r="B18" i="3"/>
  <c r="B43" i="3" s="1"/>
  <c r="B68" i="3" s="1"/>
  <c r="B93" i="3" s="1"/>
  <c r="B118" i="3" s="1"/>
  <c r="H9" i="3"/>
  <c r="H34" i="3" s="1"/>
  <c r="H59" i="3" s="1"/>
  <c r="H84" i="3" s="1"/>
  <c r="H109" i="3" s="1"/>
  <c r="G9" i="3"/>
  <c r="G34" i="3" s="1"/>
  <c r="G59" i="3" s="1"/>
  <c r="G84" i="3" s="1"/>
  <c r="G109" i="3" s="1"/>
  <c r="F9" i="3"/>
  <c r="F34" i="3" s="1"/>
  <c r="F59" i="3" s="1"/>
  <c r="F84" i="3" s="1"/>
  <c r="F109" i="3" s="1"/>
  <c r="E9" i="3"/>
  <c r="E34" i="3" s="1"/>
  <c r="E59" i="3" s="1"/>
  <c r="E84" i="3" s="1"/>
  <c r="E109" i="3" s="1"/>
  <c r="D9" i="3"/>
  <c r="D34" i="3" s="1"/>
  <c r="D59" i="3" s="1"/>
  <c r="D84" i="3" s="1"/>
  <c r="D109" i="3" s="1"/>
  <c r="C9" i="3"/>
  <c r="C34" i="3" s="1"/>
  <c r="C59" i="3" s="1"/>
  <c r="C84" i="3" s="1"/>
  <c r="C109" i="3" s="1"/>
  <c r="H18" i="2"/>
  <c r="H17" i="2"/>
  <c r="H16" i="2"/>
  <c r="H15" i="2"/>
  <c r="H14" i="2"/>
  <c r="H13" i="2"/>
  <c r="H12" i="2"/>
  <c r="H11" i="2"/>
  <c r="H10" i="2"/>
  <c r="B9" i="3"/>
  <c r="B34" i="3" s="1"/>
  <c r="B59" i="3" s="1"/>
  <c r="B84" i="3" s="1"/>
  <c r="B109" i="3" s="1"/>
  <c r="G6" i="8" l="1"/>
  <c r="I6" i="8"/>
  <c r="L6" i="8"/>
  <c r="L6" i="7"/>
  <c r="I6" i="7"/>
  <c r="E6" i="5"/>
  <c r="D6" i="5"/>
  <c r="E6" i="4"/>
  <c r="D6" i="4"/>
  <c r="H7" i="3"/>
  <c r="H32" i="3" s="1"/>
  <c r="H57" i="3" s="1"/>
  <c r="H82" i="3" s="1"/>
  <c r="H107" i="3" s="1"/>
  <c r="H15" i="3"/>
  <c r="H40" i="3" s="1"/>
  <c r="H65" i="3" s="1"/>
  <c r="H90" i="3" s="1"/>
  <c r="H115" i="3" s="1"/>
  <c r="M31" i="1"/>
  <c r="N6" i="8" l="1"/>
  <c r="K6" i="8"/>
  <c r="N6" i="7"/>
  <c r="K6" i="7"/>
  <c r="G6" i="5"/>
  <c r="F6" i="5"/>
  <c r="F6" i="4"/>
  <c r="G6" i="4"/>
  <c r="G15" i="3"/>
  <c r="G40" i="3" s="1"/>
  <c r="G65" i="3" s="1"/>
  <c r="G90" i="3" s="1"/>
  <c r="G115" i="3" s="1"/>
  <c r="G7" i="3"/>
  <c r="G32" i="3" s="1"/>
  <c r="G57" i="3" s="1"/>
  <c r="G82" i="3" s="1"/>
  <c r="G107" i="3" s="1"/>
  <c r="G24" i="3"/>
  <c r="G49" i="3" s="1"/>
  <c r="G74" i="3" s="1"/>
  <c r="G99" i="3" s="1"/>
  <c r="G124" i="3" s="1"/>
  <c r="C6" i="1"/>
  <c r="AB1" i="3" s="1"/>
  <c r="C7" i="8" s="1"/>
  <c r="M6" i="8" l="1"/>
  <c r="P6" i="8"/>
  <c r="C7" i="7"/>
  <c r="P6" i="7"/>
  <c r="M6" i="7"/>
  <c r="C7" i="5"/>
  <c r="I6" i="5"/>
  <c r="H6" i="5"/>
  <c r="D7" i="4"/>
  <c r="C7" i="4"/>
  <c r="I6" i="4"/>
  <c r="H6" i="4"/>
  <c r="B19" i="3"/>
  <c r="B10" i="3"/>
  <c r="AB2" i="3"/>
  <c r="C8" i="8" s="1"/>
  <c r="C7" i="1"/>
  <c r="D7" i="1"/>
  <c r="D6" i="1"/>
  <c r="E6" i="1"/>
  <c r="G6" i="1" s="1"/>
  <c r="B2" i="3"/>
  <c r="D11" i="8" l="1"/>
  <c r="O6" i="8"/>
  <c r="D11" i="7"/>
  <c r="O6" i="7"/>
  <c r="C8" i="7"/>
  <c r="C2" i="3"/>
  <c r="B27" i="3"/>
  <c r="B52" i="3" s="1"/>
  <c r="B77" i="3" s="1"/>
  <c r="B102" i="3" s="1"/>
  <c r="K6" i="5"/>
  <c r="J6" i="5"/>
  <c r="C8" i="5"/>
  <c r="C10" i="3"/>
  <c r="B35" i="3"/>
  <c r="B60" i="3" s="1"/>
  <c r="B85" i="3" s="1"/>
  <c r="B110" i="3" s="1"/>
  <c r="C19" i="3"/>
  <c r="B44" i="3"/>
  <c r="B69" i="3" s="1"/>
  <c r="B94" i="3" s="1"/>
  <c r="B119" i="3" s="1"/>
  <c r="C8" i="1"/>
  <c r="C8" i="4"/>
  <c r="D8" i="4"/>
  <c r="J6" i="4"/>
  <c r="K6" i="4"/>
  <c r="F6" i="1"/>
  <c r="AC1" i="3"/>
  <c r="AB3" i="3"/>
  <c r="C9" i="8" s="1"/>
  <c r="D8" i="1"/>
  <c r="I6" i="1"/>
  <c r="H6" i="1"/>
  <c r="AD1" i="3"/>
  <c r="H7" i="8" l="1"/>
  <c r="G7" i="8"/>
  <c r="E7" i="8"/>
  <c r="F7" i="8"/>
  <c r="F11" i="8"/>
  <c r="C11" i="8"/>
  <c r="F7" i="7"/>
  <c r="E7" i="7"/>
  <c r="G7" i="7"/>
  <c r="H7" i="7"/>
  <c r="C9" i="7"/>
  <c r="F11" i="7"/>
  <c r="C11" i="7"/>
  <c r="D19" i="3"/>
  <c r="C44" i="3"/>
  <c r="C69" i="3" s="1"/>
  <c r="C94" i="3" s="1"/>
  <c r="C119" i="3" s="1"/>
  <c r="G7" i="5"/>
  <c r="E7" i="5"/>
  <c r="D10" i="3"/>
  <c r="C35" i="3"/>
  <c r="C60" i="3" s="1"/>
  <c r="C85" i="3" s="1"/>
  <c r="C110" i="3" s="1"/>
  <c r="M6" i="5"/>
  <c r="L6" i="5"/>
  <c r="C9" i="5"/>
  <c r="D2" i="3"/>
  <c r="C27" i="3"/>
  <c r="C52" i="3" s="1"/>
  <c r="C77" i="3" s="1"/>
  <c r="C102" i="3" s="1"/>
  <c r="H7" i="4"/>
  <c r="G7" i="4"/>
  <c r="AB4" i="3"/>
  <c r="C10" i="8" s="1"/>
  <c r="D9" i="4"/>
  <c r="C9" i="4"/>
  <c r="F7" i="1"/>
  <c r="F7" i="4"/>
  <c r="E7" i="4"/>
  <c r="M6" i="4"/>
  <c r="L6" i="4"/>
  <c r="AC2" i="3"/>
  <c r="C9" i="1"/>
  <c r="D9" i="1"/>
  <c r="E7" i="1"/>
  <c r="K6" i="1"/>
  <c r="AE1" i="3"/>
  <c r="J6" i="1"/>
  <c r="AD2" i="3"/>
  <c r="H7" i="1"/>
  <c r="G7" i="1"/>
  <c r="I7" i="8" l="1"/>
  <c r="J7" i="8"/>
  <c r="H8" i="8"/>
  <c r="G8" i="8"/>
  <c r="F8" i="8"/>
  <c r="E8" i="8"/>
  <c r="E11" i="8"/>
  <c r="H11" i="8"/>
  <c r="J7" i="7"/>
  <c r="I7" i="7"/>
  <c r="E11" i="7"/>
  <c r="H11" i="7"/>
  <c r="E8" i="7"/>
  <c r="F8" i="7"/>
  <c r="C10" i="7"/>
  <c r="G8" i="7"/>
  <c r="H8" i="7"/>
  <c r="I7" i="5"/>
  <c r="E8" i="5"/>
  <c r="G8" i="5"/>
  <c r="E10" i="3"/>
  <c r="D35" i="3"/>
  <c r="D60" i="3" s="1"/>
  <c r="D85" i="3" s="1"/>
  <c r="D110" i="3" s="1"/>
  <c r="AB5" i="3"/>
  <c r="AB6" i="3" s="1"/>
  <c r="C10" i="5"/>
  <c r="E2" i="3"/>
  <c r="D27" i="3"/>
  <c r="D52" i="3" s="1"/>
  <c r="D77" i="3" s="1"/>
  <c r="D102" i="3" s="1"/>
  <c r="O6" i="5"/>
  <c r="N6" i="5"/>
  <c r="E19" i="3"/>
  <c r="D44" i="3"/>
  <c r="D69" i="3" s="1"/>
  <c r="D94" i="3" s="1"/>
  <c r="D119" i="3" s="1"/>
  <c r="C10" i="1"/>
  <c r="D10" i="1"/>
  <c r="E8" i="1"/>
  <c r="F8" i="4"/>
  <c r="E8" i="4"/>
  <c r="C10" i="4"/>
  <c r="D10" i="4"/>
  <c r="I7" i="4"/>
  <c r="J7" i="4"/>
  <c r="G8" i="4"/>
  <c r="H8" i="4"/>
  <c r="N6" i="4"/>
  <c r="O6" i="4"/>
  <c r="F8" i="1"/>
  <c r="AC3" i="3"/>
  <c r="AE2" i="3"/>
  <c r="J7" i="1"/>
  <c r="I7" i="1"/>
  <c r="H8" i="1"/>
  <c r="AD3" i="3"/>
  <c r="G8" i="1"/>
  <c r="M6" i="1"/>
  <c r="L6" i="1"/>
  <c r="AF1" i="3"/>
  <c r="J11" i="8" l="1"/>
  <c r="G11" i="8"/>
  <c r="L7" i="8"/>
  <c r="K7" i="8"/>
  <c r="H9" i="8"/>
  <c r="G9" i="8"/>
  <c r="J8" i="8"/>
  <c r="I8" i="8"/>
  <c r="E9" i="8"/>
  <c r="F9" i="8"/>
  <c r="K7" i="7"/>
  <c r="L7" i="7"/>
  <c r="I8" i="7"/>
  <c r="J8" i="7"/>
  <c r="J11" i="7"/>
  <c r="G11" i="7"/>
  <c r="G9" i="7"/>
  <c r="H9" i="7"/>
  <c r="E9" i="7"/>
  <c r="F9" i="7"/>
  <c r="E9" i="5"/>
  <c r="F19" i="3"/>
  <c r="E44" i="3"/>
  <c r="E69" i="3" s="1"/>
  <c r="E94" i="3" s="1"/>
  <c r="E119" i="3" s="1"/>
  <c r="F2" i="3"/>
  <c r="E27" i="3"/>
  <c r="E52" i="3" s="1"/>
  <c r="E77" i="3" s="1"/>
  <c r="E102" i="3" s="1"/>
  <c r="F10" i="3"/>
  <c r="E35" i="3"/>
  <c r="E60" i="3" s="1"/>
  <c r="E85" i="3" s="1"/>
  <c r="E110" i="3" s="1"/>
  <c r="K7" i="5"/>
  <c r="I8" i="5"/>
  <c r="C11" i="5"/>
  <c r="P6" i="5"/>
  <c r="G9" i="5"/>
  <c r="L7" i="4"/>
  <c r="K7" i="4"/>
  <c r="H9" i="4"/>
  <c r="G9" i="4"/>
  <c r="J8" i="4"/>
  <c r="I8" i="4"/>
  <c r="C11" i="4"/>
  <c r="P6" i="4"/>
  <c r="AC4" i="3"/>
  <c r="E9" i="4"/>
  <c r="F9" i="4"/>
  <c r="E9" i="1"/>
  <c r="F9" i="1"/>
  <c r="AD4" i="3"/>
  <c r="H9" i="1"/>
  <c r="G9" i="1"/>
  <c r="AE3" i="3"/>
  <c r="J8" i="1"/>
  <c r="I8" i="1"/>
  <c r="AF2" i="3"/>
  <c r="L7" i="1"/>
  <c r="K7" i="1"/>
  <c r="O6" i="1"/>
  <c r="AG1" i="3"/>
  <c r="N6" i="1"/>
  <c r="L8" i="8" l="1"/>
  <c r="K8" i="8"/>
  <c r="H10" i="8"/>
  <c r="G10" i="8"/>
  <c r="N7" i="8"/>
  <c r="M7" i="8"/>
  <c r="I9" i="8"/>
  <c r="J9" i="8"/>
  <c r="F10" i="8"/>
  <c r="E10" i="8"/>
  <c r="I11" i="8"/>
  <c r="L11" i="8"/>
  <c r="K8" i="7"/>
  <c r="L8" i="7"/>
  <c r="G10" i="7"/>
  <c r="H10" i="7"/>
  <c r="I9" i="7"/>
  <c r="J9" i="7"/>
  <c r="E10" i="7"/>
  <c r="F10" i="7"/>
  <c r="N7" i="7"/>
  <c r="M7" i="7"/>
  <c r="I11" i="7"/>
  <c r="L11" i="7"/>
  <c r="I9" i="5"/>
  <c r="F10" i="1"/>
  <c r="E10" i="5"/>
  <c r="M7" i="5"/>
  <c r="K8" i="5"/>
  <c r="G19" i="3"/>
  <c r="F44" i="3"/>
  <c r="F69" i="3" s="1"/>
  <c r="F94" i="3" s="1"/>
  <c r="F119" i="3" s="1"/>
  <c r="G10" i="3"/>
  <c r="F35" i="3"/>
  <c r="F60" i="3" s="1"/>
  <c r="F85" i="3" s="1"/>
  <c r="F110" i="3" s="1"/>
  <c r="G10" i="5"/>
  <c r="E11" i="5"/>
  <c r="D11" i="5"/>
  <c r="G2" i="3"/>
  <c r="F27" i="3"/>
  <c r="F52" i="3" s="1"/>
  <c r="F77" i="3" s="1"/>
  <c r="F102" i="3" s="1"/>
  <c r="AC5" i="3"/>
  <c r="AC6" i="3" s="1"/>
  <c r="E10" i="1"/>
  <c r="N7" i="4"/>
  <c r="M7" i="4"/>
  <c r="E11" i="4"/>
  <c r="D11" i="4"/>
  <c r="K8" i="4"/>
  <c r="L8" i="4"/>
  <c r="G10" i="4"/>
  <c r="H10" i="4"/>
  <c r="I9" i="4"/>
  <c r="J9" i="4"/>
  <c r="F10" i="4"/>
  <c r="E10" i="4"/>
  <c r="AE4" i="3"/>
  <c r="J9" i="1"/>
  <c r="I9" i="1"/>
  <c r="AF3" i="3"/>
  <c r="L8" i="1"/>
  <c r="K8" i="1"/>
  <c r="AG2" i="3"/>
  <c r="N7" i="1"/>
  <c r="M7" i="1"/>
  <c r="C11" i="1"/>
  <c r="P6" i="1"/>
  <c r="AH1" i="3"/>
  <c r="AD5" i="3"/>
  <c r="H10" i="1"/>
  <c r="G10" i="1"/>
  <c r="O7" i="8" l="1"/>
  <c r="P7" i="8"/>
  <c r="N11" i="8"/>
  <c r="K11" i="8"/>
  <c r="L9" i="8"/>
  <c r="K9" i="8"/>
  <c r="N8" i="8"/>
  <c r="M8" i="8"/>
  <c r="J10" i="8"/>
  <c r="I10" i="8"/>
  <c r="N11" i="7"/>
  <c r="K11" i="7"/>
  <c r="M8" i="7"/>
  <c r="N8" i="7"/>
  <c r="O7" i="7"/>
  <c r="P7" i="7"/>
  <c r="K9" i="7"/>
  <c r="L9" i="7"/>
  <c r="I10" i="7"/>
  <c r="J10" i="7"/>
  <c r="M8" i="5"/>
  <c r="G11" i="5"/>
  <c r="F11" i="5"/>
  <c r="H10" i="3"/>
  <c r="G35" i="3"/>
  <c r="G60" i="3" s="1"/>
  <c r="G85" i="3" s="1"/>
  <c r="G110" i="3" s="1"/>
  <c r="O7" i="5"/>
  <c r="K9" i="5"/>
  <c r="I10" i="5"/>
  <c r="H2" i="3"/>
  <c r="G27" i="3"/>
  <c r="G52" i="3" s="1"/>
  <c r="G77" i="3" s="1"/>
  <c r="G102" i="3" s="1"/>
  <c r="H19" i="3"/>
  <c r="G44" i="3"/>
  <c r="G69" i="3" s="1"/>
  <c r="G94" i="3" s="1"/>
  <c r="G119" i="3" s="1"/>
  <c r="N8" i="4"/>
  <c r="M8" i="4"/>
  <c r="F11" i="4"/>
  <c r="G11" i="4"/>
  <c r="L9" i="4"/>
  <c r="K9" i="4"/>
  <c r="P7" i="4"/>
  <c r="O7" i="4"/>
  <c r="J10" i="4"/>
  <c r="I10" i="4"/>
  <c r="AF4" i="3"/>
  <c r="L9" i="1"/>
  <c r="K9" i="1"/>
  <c r="AD6" i="3"/>
  <c r="AG3" i="3"/>
  <c r="N8" i="1"/>
  <c r="M8" i="1"/>
  <c r="AH2" i="3"/>
  <c r="P7" i="1"/>
  <c r="O7" i="1"/>
  <c r="E11" i="1"/>
  <c r="AB7" i="3"/>
  <c r="D11" i="1"/>
  <c r="AE5" i="3"/>
  <c r="J10" i="1"/>
  <c r="I10" i="1"/>
  <c r="M11" i="8" l="1"/>
  <c r="P11" i="8"/>
  <c r="D12" i="8"/>
  <c r="C12" i="8"/>
  <c r="P8" i="8"/>
  <c r="O8" i="8"/>
  <c r="M9" i="8"/>
  <c r="N9" i="8"/>
  <c r="L10" i="8"/>
  <c r="K10" i="8"/>
  <c r="M9" i="7"/>
  <c r="N9" i="7"/>
  <c r="O8" i="7"/>
  <c r="P8" i="7"/>
  <c r="C12" i="7"/>
  <c r="D12" i="7"/>
  <c r="K10" i="7"/>
  <c r="L10" i="7"/>
  <c r="M11" i="7"/>
  <c r="P11" i="7"/>
  <c r="B20" i="3"/>
  <c r="H44" i="3"/>
  <c r="H69" i="3" s="1"/>
  <c r="H94" i="3" s="1"/>
  <c r="H119" i="3" s="1"/>
  <c r="I11" i="5"/>
  <c r="H11" i="5"/>
  <c r="M9" i="5"/>
  <c r="K10" i="5"/>
  <c r="C12" i="5"/>
  <c r="O8" i="5"/>
  <c r="B3" i="3"/>
  <c r="H27" i="3"/>
  <c r="H52" i="3" s="1"/>
  <c r="H77" i="3" s="1"/>
  <c r="H102" i="3" s="1"/>
  <c r="B11" i="3"/>
  <c r="H35" i="3"/>
  <c r="H60" i="3" s="1"/>
  <c r="H85" i="3" s="1"/>
  <c r="H110" i="3" s="1"/>
  <c r="I11" i="4"/>
  <c r="H11" i="4"/>
  <c r="M9" i="4"/>
  <c r="N9" i="4"/>
  <c r="K10" i="4"/>
  <c r="L10" i="4"/>
  <c r="D12" i="4"/>
  <c r="C12" i="4"/>
  <c r="O8" i="4"/>
  <c r="P8" i="4"/>
  <c r="AB8" i="3"/>
  <c r="D12" i="1"/>
  <c r="C12" i="1"/>
  <c r="G11" i="1"/>
  <c r="F11" i="1"/>
  <c r="AC7" i="3"/>
  <c r="AG4" i="3"/>
  <c r="N9" i="1"/>
  <c r="M9" i="1"/>
  <c r="AE6" i="3"/>
  <c r="AH3" i="3"/>
  <c r="P8" i="1"/>
  <c r="O8" i="1"/>
  <c r="AF5" i="3"/>
  <c r="L10" i="1"/>
  <c r="K10" i="1"/>
  <c r="F12" i="8" l="1"/>
  <c r="E12" i="8"/>
  <c r="C13" i="8"/>
  <c r="D13" i="8"/>
  <c r="D16" i="8"/>
  <c r="O11" i="8"/>
  <c r="P9" i="8"/>
  <c r="O9" i="8"/>
  <c r="N10" i="8"/>
  <c r="M10" i="8"/>
  <c r="E12" i="7"/>
  <c r="F12" i="7"/>
  <c r="O9" i="7"/>
  <c r="P9" i="7"/>
  <c r="M10" i="7"/>
  <c r="N10" i="7"/>
  <c r="D16" i="7"/>
  <c r="O11" i="7"/>
  <c r="C13" i="7"/>
  <c r="D13" i="7"/>
  <c r="O9" i="5"/>
  <c r="E12" i="5"/>
  <c r="K11" i="5"/>
  <c r="J11" i="5"/>
  <c r="C13" i="5"/>
  <c r="C11" i="3"/>
  <c r="B36" i="3"/>
  <c r="B61" i="3" s="1"/>
  <c r="B86" i="3" s="1"/>
  <c r="B111" i="3" s="1"/>
  <c r="M10" i="5"/>
  <c r="C3" i="3"/>
  <c r="B28" i="3"/>
  <c r="B53" i="3" s="1"/>
  <c r="B78" i="3" s="1"/>
  <c r="B103" i="3" s="1"/>
  <c r="C20" i="3"/>
  <c r="B45" i="3"/>
  <c r="B70" i="3" s="1"/>
  <c r="B95" i="3" s="1"/>
  <c r="B120" i="3" s="1"/>
  <c r="F12" i="4"/>
  <c r="E12" i="4"/>
  <c r="D13" i="4"/>
  <c r="C13" i="4"/>
  <c r="P9" i="4"/>
  <c r="O9" i="4"/>
  <c r="N10" i="4"/>
  <c r="M10" i="4"/>
  <c r="J11" i="4"/>
  <c r="K11" i="4"/>
  <c r="AC8" i="3"/>
  <c r="F12" i="1"/>
  <c r="E12" i="1"/>
  <c r="AB9" i="3"/>
  <c r="D13" i="1"/>
  <c r="C13" i="1"/>
  <c r="AF6" i="3"/>
  <c r="I11" i="1"/>
  <c r="AD7" i="3"/>
  <c r="H11" i="1"/>
  <c r="AH4" i="3"/>
  <c r="P9" i="1"/>
  <c r="O9" i="1"/>
  <c r="N10" i="1"/>
  <c r="AG5" i="3"/>
  <c r="M10" i="1"/>
  <c r="H12" i="8" l="1"/>
  <c r="G12" i="8"/>
  <c r="F13" i="8"/>
  <c r="E13" i="8"/>
  <c r="D14" i="8"/>
  <c r="C14" i="8"/>
  <c r="P10" i="8"/>
  <c r="O10" i="8"/>
  <c r="C16" i="8"/>
  <c r="F16" i="8"/>
  <c r="C14" i="7"/>
  <c r="D14" i="7"/>
  <c r="O10" i="7"/>
  <c r="P10" i="7"/>
  <c r="F16" i="7"/>
  <c r="C16" i="7"/>
  <c r="G12" i="7"/>
  <c r="H12" i="7"/>
  <c r="E13" i="7"/>
  <c r="F13" i="7"/>
  <c r="O10" i="5"/>
  <c r="D11" i="3"/>
  <c r="C36" i="3"/>
  <c r="C61" i="3" s="1"/>
  <c r="C86" i="3" s="1"/>
  <c r="C111" i="3" s="1"/>
  <c r="M11" i="5"/>
  <c r="L11" i="5"/>
  <c r="G12" i="5"/>
  <c r="D20" i="3"/>
  <c r="C45" i="3"/>
  <c r="C70" i="3" s="1"/>
  <c r="C95" i="3" s="1"/>
  <c r="C120" i="3" s="1"/>
  <c r="E13" i="5"/>
  <c r="C14" i="5"/>
  <c r="D3" i="3"/>
  <c r="C28" i="3"/>
  <c r="C53" i="3" s="1"/>
  <c r="C78" i="3" s="1"/>
  <c r="C103" i="3" s="1"/>
  <c r="H12" i="4"/>
  <c r="G12" i="4"/>
  <c r="F13" i="4"/>
  <c r="E13" i="4"/>
  <c r="O10" i="4"/>
  <c r="P10" i="4"/>
  <c r="D14" i="4"/>
  <c r="C14" i="4"/>
  <c r="M11" i="4"/>
  <c r="L11" i="4"/>
  <c r="AB10" i="3"/>
  <c r="D14" i="1"/>
  <c r="C14" i="1"/>
  <c r="AG6" i="3"/>
  <c r="AH5" i="3"/>
  <c r="P10" i="1"/>
  <c r="O10" i="1"/>
  <c r="AD8" i="3"/>
  <c r="H12" i="1"/>
  <c r="G12" i="1"/>
  <c r="K11" i="1"/>
  <c r="J11" i="1"/>
  <c r="AE7" i="3"/>
  <c r="I12" i="8" s="1"/>
  <c r="F13" i="1"/>
  <c r="E13" i="1"/>
  <c r="AC9" i="3"/>
  <c r="H16" i="8" l="1"/>
  <c r="E16" i="8"/>
  <c r="D15" i="8"/>
  <c r="C15" i="8"/>
  <c r="F14" i="8"/>
  <c r="E14" i="8"/>
  <c r="G13" i="8"/>
  <c r="H13" i="8"/>
  <c r="G13" i="7"/>
  <c r="H13" i="7"/>
  <c r="E14" i="7"/>
  <c r="F14" i="7"/>
  <c r="I12" i="7"/>
  <c r="C15" i="7"/>
  <c r="D15" i="7"/>
  <c r="H16" i="7"/>
  <c r="E16" i="7"/>
  <c r="E20" i="3"/>
  <c r="D45" i="3"/>
  <c r="D70" i="3" s="1"/>
  <c r="D95" i="3" s="1"/>
  <c r="D120" i="3" s="1"/>
  <c r="O11" i="5"/>
  <c r="N11" i="5"/>
  <c r="E3" i="3"/>
  <c r="D28" i="3"/>
  <c r="D53" i="3" s="1"/>
  <c r="D78" i="3" s="1"/>
  <c r="D103" i="3" s="1"/>
  <c r="E11" i="3"/>
  <c r="D36" i="3"/>
  <c r="D61" i="3" s="1"/>
  <c r="D86" i="3" s="1"/>
  <c r="D111" i="3" s="1"/>
  <c r="I12" i="5"/>
  <c r="C15" i="5"/>
  <c r="E14" i="5"/>
  <c r="G13" i="5"/>
  <c r="F14" i="4"/>
  <c r="E14" i="4"/>
  <c r="H13" i="4"/>
  <c r="G13" i="4"/>
  <c r="J12" i="4"/>
  <c r="I12" i="4"/>
  <c r="D15" i="4"/>
  <c r="C15" i="4"/>
  <c r="N11" i="4"/>
  <c r="O11" i="4"/>
  <c r="AC10" i="3"/>
  <c r="F14" i="1"/>
  <c r="E14" i="1"/>
  <c r="AH6" i="3"/>
  <c r="M11" i="1"/>
  <c r="AF7" i="3"/>
  <c r="L11" i="1"/>
  <c r="AD9" i="3"/>
  <c r="H13" i="1"/>
  <c r="G13" i="1"/>
  <c r="AE8" i="3"/>
  <c r="I13" i="8" s="1"/>
  <c r="J12" i="1"/>
  <c r="I12" i="1"/>
  <c r="AB11" i="3"/>
  <c r="D15" i="1"/>
  <c r="C15" i="1"/>
  <c r="E15" i="8" l="1"/>
  <c r="F15" i="8"/>
  <c r="H14" i="8"/>
  <c r="G14" i="8"/>
  <c r="L12" i="8"/>
  <c r="K12" i="8"/>
  <c r="G16" i="8"/>
  <c r="J16" i="8"/>
  <c r="G14" i="7"/>
  <c r="H14" i="7"/>
  <c r="K12" i="7"/>
  <c r="L12" i="7"/>
  <c r="I13" i="7"/>
  <c r="E15" i="7"/>
  <c r="F15" i="7"/>
  <c r="J16" i="7"/>
  <c r="G16" i="7"/>
  <c r="K12" i="5"/>
  <c r="E15" i="5"/>
  <c r="F11" i="3"/>
  <c r="E36" i="3"/>
  <c r="E61" i="3" s="1"/>
  <c r="E86" i="3" s="1"/>
  <c r="E111" i="3" s="1"/>
  <c r="C16" i="5"/>
  <c r="P11" i="5"/>
  <c r="G14" i="5"/>
  <c r="I13" i="5"/>
  <c r="F3" i="3"/>
  <c r="E28" i="3"/>
  <c r="E53" i="3" s="1"/>
  <c r="E78" i="3" s="1"/>
  <c r="E103" i="3" s="1"/>
  <c r="F20" i="3"/>
  <c r="E45" i="3"/>
  <c r="E70" i="3" s="1"/>
  <c r="E95" i="3" s="1"/>
  <c r="E120" i="3" s="1"/>
  <c r="L12" i="4"/>
  <c r="K12" i="4"/>
  <c r="J13" i="4"/>
  <c r="I13" i="4"/>
  <c r="F15" i="4"/>
  <c r="E15" i="4"/>
  <c r="H14" i="4"/>
  <c r="G14" i="4"/>
  <c r="C16" i="4"/>
  <c r="P11" i="4"/>
  <c r="AD10" i="3"/>
  <c r="H14" i="1"/>
  <c r="G14" i="1"/>
  <c r="AB12" i="3"/>
  <c r="AF8" i="3"/>
  <c r="L12" i="1"/>
  <c r="K12" i="1"/>
  <c r="J13" i="1"/>
  <c r="I13" i="1"/>
  <c r="AE9" i="3"/>
  <c r="I14" i="8" s="1"/>
  <c r="O11" i="1"/>
  <c r="N11" i="1"/>
  <c r="AG7" i="3"/>
  <c r="AC11" i="3"/>
  <c r="F15" i="1"/>
  <c r="E15" i="1"/>
  <c r="L16" i="8" l="1"/>
  <c r="I16" i="8"/>
  <c r="H15" i="8"/>
  <c r="G15" i="8"/>
  <c r="M12" i="8"/>
  <c r="N12" i="8"/>
  <c r="L13" i="8"/>
  <c r="K13" i="8"/>
  <c r="I14" i="7"/>
  <c r="M12" i="7"/>
  <c r="N12" i="7"/>
  <c r="K13" i="7"/>
  <c r="L13" i="7"/>
  <c r="G15" i="7"/>
  <c r="H15" i="7"/>
  <c r="L16" i="7"/>
  <c r="I16" i="7"/>
  <c r="G3" i="3"/>
  <c r="F28" i="3"/>
  <c r="F53" i="3" s="1"/>
  <c r="F78" i="3" s="1"/>
  <c r="F103" i="3" s="1"/>
  <c r="I14" i="5"/>
  <c r="G15" i="5"/>
  <c r="G20" i="3"/>
  <c r="F45" i="3"/>
  <c r="F70" i="3" s="1"/>
  <c r="F95" i="3" s="1"/>
  <c r="F120" i="3" s="1"/>
  <c r="D16" i="5"/>
  <c r="E16" i="5"/>
  <c r="M12" i="5"/>
  <c r="K13" i="5"/>
  <c r="G11" i="3"/>
  <c r="F36" i="3"/>
  <c r="F61" i="3" s="1"/>
  <c r="F86" i="3" s="1"/>
  <c r="F111" i="3" s="1"/>
  <c r="J14" i="4"/>
  <c r="I14" i="4"/>
  <c r="H15" i="4"/>
  <c r="G15" i="4"/>
  <c r="N12" i="4"/>
  <c r="M12" i="4"/>
  <c r="L13" i="4"/>
  <c r="K13" i="4"/>
  <c r="D16" i="4"/>
  <c r="E16" i="4"/>
  <c r="C16" i="1"/>
  <c r="AH7" i="3"/>
  <c r="P11" i="1"/>
  <c r="AF9" i="3"/>
  <c r="L13" i="1"/>
  <c r="K13" i="1"/>
  <c r="AC12" i="3"/>
  <c r="AE10" i="3"/>
  <c r="I15" i="8" s="1"/>
  <c r="J14" i="1"/>
  <c r="I14" i="1"/>
  <c r="AG8" i="3"/>
  <c r="N12" i="1"/>
  <c r="M12" i="1"/>
  <c r="AD11" i="3"/>
  <c r="H15" i="1"/>
  <c r="G15" i="1"/>
  <c r="K14" i="8" l="1"/>
  <c r="L14" i="8"/>
  <c r="N13" i="8"/>
  <c r="M13" i="8"/>
  <c r="P12" i="8"/>
  <c r="O12" i="8"/>
  <c r="K16" i="8"/>
  <c r="N16" i="8"/>
  <c r="O12" i="7"/>
  <c r="P12" i="7"/>
  <c r="I15" i="7"/>
  <c r="K14" i="7"/>
  <c r="L14" i="7"/>
  <c r="M13" i="7"/>
  <c r="N13" i="7"/>
  <c r="N16" i="7"/>
  <c r="K16" i="7"/>
  <c r="O12" i="5"/>
  <c r="H11" i="3"/>
  <c r="G36" i="3"/>
  <c r="G61" i="3" s="1"/>
  <c r="G86" i="3" s="1"/>
  <c r="G111" i="3" s="1"/>
  <c r="H20" i="3"/>
  <c r="G45" i="3"/>
  <c r="G70" i="3" s="1"/>
  <c r="G95" i="3" s="1"/>
  <c r="G120" i="3" s="1"/>
  <c r="I15" i="5"/>
  <c r="K14" i="5"/>
  <c r="G16" i="5"/>
  <c r="F16" i="5"/>
  <c r="M13" i="5"/>
  <c r="H3" i="3"/>
  <c r="G28" i="3"/>
  <c r="G53" i="3" s="1"/>
  <c r="G78" i="3" s="1"/>
  <c r="G103" i="3" s="1"/>
  <c r="P12" i="4"/>
  <c r="O12" i="4"/>
  <c r="N13" i="4"/>
  <c r="M13" i="4"/>
  <c r="J15" i="4"/>
  <c r="I15" i="4"/>
  <c r="L14" i="4"/>
  <c r="K14" i="4"/>
  <c r="G16" i="4"/>
  <c r="F16" i="4"/>
  <c r="AH8" i="3"/>
  <c r="P12" i="1"/>
  <c r="O12" i="1"/>
  <c r="AE11" i="3"/>
  <c r="J15" i="1"/>
  <c r="I15" i="1"/>
  <c r="E16" i="1"/>
  <c r="D16" i="1"/>
  <c r="AB13" i="3"/>
  <c r="AG9" i="3"/>
  <c r="N13" i="1"/>
  <c r="M13" i="1"/>
  <c r="AD12" i="3"/>
  <c r="AF10" i="3"/>
  <c r="L14" i="1"/>
  <c r="K14" i="1"/>
  <c r="D17" i="8" l="1"/>
  <c r="C17" i="8"/>
  <c r="P16" i="8"/>
  <c r="M16" i="8"/>
  <c r="P13" i="8"/>
  <c r="O13" i="8"/>
  <c r="L15" i="8"/>
  <c r="K15" i="8"/>
  <c r="N14" i="8"/>
  <c r="M14" i="8"/>
  <c r="L15" i="7"/>
  <c r="K15" i="7"/>
  <c r="M14" i="7"/>
  <c r="N14" i="7"/>
  <c r="D17" i="7"/>
  <c r="C17" i="7"/>
  <c r="O13" i="7"/>
  <c r="P13" i="7"/>
  <c r="P16" i="7"/>
  <c r="M16" i="7"/>
  <c r="K15" i="5"/>
  <c r="M14" i="5"/>
  <c r="C17" i="5"/>
  <c r="O13" i="5"/>
  <c r="B4" i="3"/>
  <c r="H28" i="3"/>
  <c r="H53" i="3" s="1"/>
  <c r="H78" i="3" s="1"/>
  <c r="H103" i="3" s="1"/>
  <c r="H16" i="5"/>
  <c r="I16" i="5"/>
  <c r="B12" i="3"/>
  <c r="H36" i="3"/>
  <c r="H61" i="3" s="1"/>
  <c r="H86" i="3" s="1"/>
  <c r="H111" i="3" s="1"/>
  <c r="B21" i="3"/>
  <c r="H45" i="3"/>
  <c r="H70" i="3" s="1"/>
  <c r="H95" i="3" s="1"/>
  <c r="H120" i="3" s="1"/>
  <c r="H16" i="4"/>
  <c r="I16" i="4"/>
  <c r="L15" i="4"/>
  <c r="K15" i="4"/>
  <c r="N14" i="4"/>
  <c r="M14" i="4"/>
  <c r="D17" i="4"/>
  <c r="C17" i="4"/>
  <c r="P13" i="4"/>
  <c r="O13" i="4"/>
  <c r="AE12" i="3"/>
  <c r="G16" i="1"/>
  <c r="F16" i="1"/>
  <c r="AC13" i="3"/>
  <c r="AF11" i="3"/>
  <c r="L15" i="1"/>
  <c r="K15" i="1"/>
  <c r="AG10" i="3"/>
  <c r="N14" i="1"/>
  <c r="M14" i="1"/>
  <c r="AB14" i="3"/>
  <c r="D17" i="1"/>
  <c r="C17" i="1"/>
  <c r="AH9" i="3"/>
  <c r="P13" i="1"/>
  <c r="O13" i="1"/>
  <c r="O14" i="8" l="1"/>
  <c r="P14" i="8"/>
  <c r="O16" i="8"/>
  <c r="D21" i="8"/>
  <c r="N15" i="8"/>
  <c r="M15" i="8"/>
  <c r="F17" i="8"/>
  <c r="E17" i="8"/>
  <c r="D18" i="8"/>
  <c r="C18" i="8"/>
  <c r="M15" i="7"/>
  <c r="N15" i="7"/>
  <c r="E17" i="7"/>
  <c r="F17" i="7"/>
  <c r="C18" i="7"/>
  <c r="D18" i="7"/>
  <c r="O14" i="7"/>
  <c r="P14" i="7"/>
  <c r="D21" i="7"/>
  <c r="O16" i="7"/>
  <c r="C18" i="5"/>
  <c r="C12" i="3"/>
  <c r="B37" i="3"/>
  <c r="B62" i="3" s="1"/>
  <c r="B87" i="3" s="1"/>
  <c r="B112" i="3" s="1"/>
  <c r="C4" i="3"/>
  <c r="B29" i="3"/>
  <c r="B54" i="3" s="1"/>
  <c r="B79" i="3" s="1"/>
  <c r="B104" i="3" s="1"/>
  <c r="O14" i="5"/>
  <c r="K16" i="5"/>
  <c r="J16" i="5"/>
  <c r="C21" i="3"/>
  <c r="B46" i="3"/>
  <c r="B71" i="3" s="1"/>
  <c r="B96" i="3" s="1"/>
  <c r="B121" i="3" s="1"/>
  <c r="M15" i="5"/>
  <c r="E17" i="5"/>
  <c r="P14" i="4"/>
  <c r="O14" i="4"/>
  <c r="F17" i="4"/>
  <c r="E17" i="4"/>
  <c r="K16" i="4"/>
  <c r="J16" i="4"/>
  <c r="N15" i="4"/>
  <c r="M15" i="4"/>
  <c r="D18" i="4"/>
  <c r="C18" i="4"/>
  <c r="I16" i="1"/>
  <c r="H16" i="1"/>
  <c r="AD13" i="3"/>
  <c r="D18" i="1"/>
  <c r="C18" i="1"/>
  <c r="AB15" i="3"/>
  <c r="AF12" i="3"/>
  <c r="AG11" i="3"/>
  <c r="N15" i="1"/>
  <c r="M15" i="1"/>
  <c r="AC14" i="3"/>
  <c r="F17" i="1"/>
  <c r="E17" i="1"/>
  <c r="AH10" i="3"/>
  <c r="P14" i="1"/>
  <c r="O14" i="1"/>
  <c r="C21" i="8" l="1"/>
  <c r="F21" i="8"/>
  <c r="P15" i="8"/>
  <c r="O15" i="8"/>
  <c r="C19" i="8"/>
  <c r="D19" i="8"/>
  <c r="E18" i="8"/>
  <c r="F18" i="8"/>
  <c r="H17" i="8"/>
  <c r="G17" i="8"/>
  <c r="F18" i="7"/>
  <c r="E18" i="7"/>
  <c r="H17" i="7"/>
  <c r="G17" i="7"/>
  <c r="P15" i="7"/>
  <c r="O15" i="7"/>
  <c r="D19" i="7"/>
  <c r="C19" i="7"/>
  <c r="F21" i="7"/>
  <c r="C21" i="7"/>
  <c r="G17" i="5"/>
  <c r="L16" i="5"/>
  <c r="M16" i="5"/>
  <c r="A2" i="5"/>
  <c r="D4" i="3"/>
  <c r="C29" i="3"/>
  <c r="C54" i="3" s="1"/>
  <c r="C79" i="3" s="1"/>
  <c r="C104" i="3" s="1"/>
  <c r="O15" i="5"/>
  <c r="C19" i="5"/>
  <c r="D21" i="3"/>
  <c r="C46" i="3"/>
  <c r="C71" i="3" s="1"/>
  <c r="C96" i="3" s="1"/>
  <c r="C121" i="3" s="1"/>
  <c r="D12" i="3"/>
  <c r="C37" i="3"/>
  <c r="C62" i="3" s="1"/>
  <c r="C87" i="3" s="1"/>
  <c r="C112" i="3" s="1"/>
  <c r="E18" i="5"/>
  <c r="H17" i="4"/>
  <c r="G17" i="4"/>
  <c r="P15" i="4"/>
  <c r="O15" i="4"/>
  <c r="D19" i="4"/>
  <c r="C19" i="4"/>
  <c r="F18" i="4"/>
  <c r="E18" i="4"/>
  <c r="L16" i="4"/>
  <c r="M16" i="4"/>
  <c r="P15" i="1"/>
  <c r="AH11" i="3"/>
  <c r="O15" i="1"/>
  <c r="AD14" i="3"/>
  <c r="H17" i="1"/>
  <c r="G17" i="1"/>
  <c r="AG12" i="3"/>
  <c r="AB16" i="3"/>
  <c r="D19" i="1"/>
  <c r="C19" i="1"/>
  <c r="AC15" i="3"/>
  <c r="F18" i="1"/>
  <c r="E18" i="1"/>
  <c r="K16" i="1"/>
  <c r="A2" i="1" s="1"/>
  <c r="A2" i="8" s="1"/>
  <c r="AE13" i="3"/>
  <c r="J16" i="1"/>
  <c r="D20" i="8" l="1"/>
  <c r="C20" i="8"/>
  <c r="H18" i="8"/>
  <c r="G18" i="8"/>
  <c r="J17" i="8"/>
  <c r="I17" i="8"/>
  <c r="F19" i="8"/>
  <c r="E19" i="8"/>
  <c r="E21" i="8"/>
  <c r="H21" i="8"/>
  <c r="E19" i="7"/>
  <c r="F19" i="7"/>
  <c r="A2" i="4"/>
  <c r="A2" i="7"/>
  <c r="I17" i="7"/>
  <c r="J17" i="7"/>
  <c r="C20" i="7"/>
  <c r="D20" i="7"/>
  <c r="G18" i="7"/>
  <c r="H18" i="7"/>
  <c r="H21" i="7"/>
  <c r="E21" i="7"/>
  <c r="C20" i="5"/>
  <c r="G18" i="5"/>
  <c r="E21" i="3"/>
  <c r="D46" i="3"/>
  <c r="D71" i="3" s="1"/>
  <c r="D96" i="3" s="1"/>
  <c r="D121" i="3" s="1"/>
  <c r="O16" i="5"/>
  <c r="N16" i="5"/>
  <c r="E19" i="5"/>
  <c r="I17" i="5"/>
  <c r="E12" i="3"/>
  <c r="D37" i="3"/>
  <c r="D62" i="3" s="1"/>
  <c r="D87" i="3" s="1"/>
  <c r="D112" i="3" s="1"/>
  <c r="E4" i="3"/>
  <c r="D29" i="3"/>
  <c r="D54" i="3" s="1"/>
  <c r="D79" i="3" s="1"/>
  <c r="D104" i="3" s="1"/>
  <c r="D20" i="4"/>
  <c r="C20" i="4"/>
  <c r="H18" i="4"/>
  <c r="G18" i="4"/>
  <c r="J17" i="4"/>
  <c r="I17" i="4"/>
  <c r="F19" i="4"/>
  <c r="E19" i="4"/>
  <c r="O16" i="4"/>
  <c r="N16" i="4"/>
  <c r="H18" i="1"/>
  <c r="G18" i="1"/>
  <c r="AD15" i="3"/>
  <c r="AE14" i="3"/>
  <c r="J17" i="1"/>
  <c r="I17" i="1"/>
  <c r="AC16" i="3"/>
  <c r="F19" i="1"/>
  <c r="E19" i="1"/>
  <c r="M16" i="1"/>
  <c r="L16" i="1"/>
  <c r="AF13" i="3"/>
  <c r="AH12" i="3"/>
  <c r="AB17" i="3"/>
  <c r="D20" i="1"/>
  <c r="C20" i="1"/>
  <c r="K17" i="8" l="1"/>
  <c r="L17" i="8"/>
  <c r="E20" i="8"/>
  <c r="F20" i="8"/>
  <c r="G19" i="8"/>
  <c r="H19" i="8"/>
  <c r="G21" i="8"/>
  <c r="J21" i="8"/>
  <c r="I18" i="8"/>
  <c r="J18" i="8"/>
  <c r="L17" i="7"/>
  <c r="K17" i="7"/>
  <c r="J21" i="7"/>
  <c r="G21" i="7"/>
  <c r="J18" i="7"/>
  <c r="I18" i="7"/>
  <c r="F20" i="7"/>
  <c r="E20" i="7"/>
  <c r="H19" i="7"/>
  <c r="G19" i="7"/>
  <c r="E20" i="5"/>
  <c r="G19" i="5"/>
  <c r="F12" i="3"/>
  <c r="E37" i="3"/>
  <c r="E62" i="3" s="1"/>
  <c r="E87" i="3" s="1"/>
  <c r="E112" i="3" s="1"/>
  <c r="A9" i="3"/>
  <c r="A34" i="3" s="1"/>
  <c r="A59" i="3" s="1"/>
  <c r="A84" i="3" s="1"/>
  <c r="A109" i="3" s="1"/>
  <c r="F21" i="3"/>
  <c r="E46" i="3"/>
  <c r="E71" i="3" s="1"/>
  <c r="E96" i="3" s="1"/>
  <c r="E121" i="3" s="1"/>
  <c r="A18" i="3"/>
  <c r="A43" i="3" s="1"/>
  <c r="A68" i="3" s="1"/>
  <c r="A93" i="3" s="1"/>
  <c r="A118" i="3" s="1"/>
  <c r="F4" i="3"/>
  <c r="E29" i="3"/>
  <c r="E54" i="3" s="1"/>
  <c r="E79" i="3" s="1"/>
  <c r="E104" i="3" s="1"/>
  <c r="A1" i="3"/>
  <c r="A26" i="3" s="1"/>
  <c r="A51" i="3" s="1"/>
  <c r="A76" i="3" s="1"/>
  <c r="A101" i="3" s="1"/>
  <c r="P16" i="5"/>
  <c r="C21" i="5"/>
  <c r="K17" i="5"/>
  <c r="I18" i="5"/>
  <c r="L17" i="4"/>
  <c r="K17" i="4"/>
  <c r="J18" i="4"/>
  <c r="I18" i="4"/>
  <c r="F20" i="4"/>
  <c r="E20" i="4"/>
  <c r="H19" i="4"/>
  <c r="G19" i="4"/>
  <c r="P16" i="4"/>
  <c r="C21" i="4"/>
  <c r="AE15" i="3"/>
  <c r="J18" i="1"/>
  <c r="I18" i="1"/>
  <c r="AD16" i="3"/>
  <c r="H19" i="1"/>
  <c r="G19" i="1"/>
  <c r="AB18" i="3"/>
  <c r="F20" i="1"/>
  <c r="AC17" i="3"/>
  <c r="E20" i="1"/>
  <c r="O16" i="1"/>
  <c r="N16" i="1"/>
  <c r="AG13" i="3"/>
  <c r="AF14" i="3"/>
  <c r="L17" i="1"/>
  <c r="K17" i="1"/>
  <c r="I21" i="8" l="1"/>
  <c r="L21" i="8"/>
  <c r="L18" i="8"/>
  <c r="K18" i="8"/>
  <c r="N17" i="8"/>
  <c r="M17" i="8"/>
  <c r="J19" i="8"/>
  <c r="I19" i="8"/>
  <c r="H20" i="8"/>
  <c r="G20" i="8"/>
  <c r="M17" i="7"/>
  <c r="N17" i="7"/>
  <c r="I19" i="7"/>
  <c r="J19" i="7"/>
  <c r="G20" i="7"/>
  <c r="H20" i="7"/>
  <c r="L21" i="7"/>
  <c r="I21" i="7"/>
  <c r="K18" i="7"/>
  <c r="L18" i="7"/>
  <c r="G21" i="3"/>
  <c r="F46" i="3"/>
  <c r="F71" i="3" s="1"/>
  <c r="F96" i="3" s="1"/>
  <c r="F121" i="3" s="1"/>
  <c r="K18" i="5"/>
  <c r="E21" i="5"/>
  <c r="D21" i="5"/>
  <c r="G4" i="3"/>
  <c r="F29" i="3"/>
  <c r="F54" i="3" s="1"/>
  <c r="F79" i="3" s="1"/>
  <c r="F104" i="3" s="1"/>
  <c r="I19" i="5"/>
  <c r="M17" i="5"/>
  <c r="G20" i="5"/>
  <c r="G12" i="3"/>
  <c r="F37" i="3"/>
  <c r="F62" i="3" s="1"/>
  <c r="F87" i="3" s="1"/>
  <c r="F112" i="3" s="1"/>
  <c r="L18" i="4"/>
  <c r="K18" i="4"/>
  <c r="N17" i="4"/>
  <c r="M17" i="4"/>
  <c r="J19" i="4"/>
  <c r="I19" i="4"/>
  <c r="H20" i="4"/>
  <c r="G20" i="4"/>
  <c r="E21" i="4"/>
  <c r="D21" i="4"/>
  <c r="AD17" i="3"/>
  <c r="H20" i="1"/>
  <c r="G20" i="1"/>
  <c r="C21" i="1"/>
  <c r="P16" i="1"/>
  <c r="AH13" i="3"/>
  <c r="AC18" i="3"/>
  <c r="AF15" i="3"/>
  <c r="L18" i="1"/>
  <c r="K18" i="1"/>
  <c r="AG14" i="3"/>
  <c r="N17" i="1"/>
  <c r="M17" i="1"/>
  <c r="AE16" i="3"/>
  <c r="J19" i="1"/>
  <c r="I19" i="1"/>
  <c r="O17" i="8" l="1"/>
  <c r="P17" i="8"/>
  <c r="K19" i="8"/>
  <c r="L19" i="8"/>
  <c r="K21" i="8"/>
  <c r="N21" i="8"/>
  <c r="I20" i="8"/>
  <c r="J20" i="8"/>
  <c r="M18" i="8"/>
  <c r="N18" i="8"/>
  <c r="N18" i="7"/>
  <c r="M18" i="7"/>
  <c r="N21" i="7"/>
  <c r="K21" i="7"/>
  <c r="P17" i="7"/>
  <c r="O17" i="7"/>
  <c r="L19" i="7"/>
  <c r="K19" i="7"/>
  <c r="J20" i="7"/>
  <c r="I20" i="7"/>
  <c r="M18" i="5"/>
  <c r="I20" i="5"/>
  <c r="O17" i="5"/>
  <c r="H4" i="3"/>
  <c r="G29" i="3"/>
  <c r="G54" i="3" s="1"/>
  <c r="G79" i="3" s="1"/>
  <c r="G104" i="3" s="1"/>
  <c r="H12" i="3"/>
  <c r="G37" i="3"/>
  <c r="G62" i="3" s="1"/>
  <c r="G87" i="3" s="1"/>
  <c r="G112" i="3" s="1"/>
  <c r="K19" i="5"/>
  <c r="F21" i="5"/>
  <c r="G21" i="5"/>
  <c r="H21" i="3"/>
  <c r="G46" i="3"/>
  <c r="G71" i="3" s="1"/>
  <c r="G96" i="3" s="1"/>
  <c r="G121" i="3" s="1"/>
  <c r="N18" i="4"/>
  <c r="M18" i="4"/>
  <c r="F21" i="4"/>
  <c r="G21" i="4"/>
  <c r="J20" i="4"/>
  <c r="I20" i="4"/>
  <c r="P17" i="4"/>
  <c r="O17" i="4"/>
  <c r="L19" i="4"/>
  <c r="K19" i="4"/>
  <c r="AF16" i="3"/>
  <c r="L19" i="1"/>
  <c r="K19" i="1"/>
  <c r="E21" i="1"/>
  <c r="AB19" i="3"/>
  <c r="D21" i="1"/>
  <c r="AE17" i="3"/>
  <c r="J20" i="1"/>
  <c r="I20" i="1"/>
  <c r="AG15" i="3"/>
  <c r="N18" i="1"/>
  <c r="M18" i="1"/>
  <c r="AH14" i="3"/>
  <c r="P17" i="1"/>
  <c r="O17" i="1"/>
  <c r="AD18" i="3"/>
  <c r="N19" i="8" l="1"/>
  <c r="M19" i="8"/>
  <c r="D22" i="8"/>
  <c r="C22" i="8"/>
  <c r="L20" i="8"/>
  <c r="K20" i="8"/>
  <c r="P18" i="8"/>
  <c r="O18" i="8"/>
  <c r="M21" i="8"/>
  <c r="P21" i="8"/>
  <c r="P21" i="7"/>
  <c r="M21" i="7"/>
  <c r="M19" i="7"/>
  <c r="N19" i="7"/>
  <c r="O18" i="7"/>
  <c r="P18" i="7"/>
  <c r="C22" i="7"/>
  <c r="D22" i="7"/>
  <c r="K20" i="7"/>
  <c r="L20" i="7"/>
  <c r="B13" i="3"/>
  <c r="H37" i="3"/>
  <c r="H62" i="3" s="1"/>
  <c r="H87" i="3" s="1"/>
  <c r="H112" i="3" s="1"/>
  <c r="M19" i="5"/>
  <c r="O18" i="5"/>
  <c r="K20" i="5"/>
  <c r="C22" i="5"/>
  <c r="B22" i="3"/>
  <c r="H46" i="3"/>
  <c r="H71" i="3" s="1"/>
  <c r="H96" i="3" s="1"/>
  <c r="H121" i="3" s="1"/>
  <c r="B5" i="3"/>
  <c r="H29" i="3"/>
  <c r="H54" i="3" s="1"/>
  <c r="H79" i="3" s="1"/>
  <c r="H104" i="3" s="1"/>
  <c r="I21" i="5"/>
  <c r="H21" i="5"/>
  <c r="I21" i="4"/>
  <c r="H21" i="4"/>
  <c r="D22" i="4"/>
  <c r="C22" i="4"/>
  <c r="L20" i="4"/>
  <c r="K20" i="4"/>
  <c r="N19" i="4"/>
  <c r="M19" i="4"/>
  <c r="P18" i="4"/>
  <c r="O18" i="4"/>
  <c r="G21" i="1"/>
  <c r="F21" i="1"/>
  <c r="AC19" i="3"/>
  <c r="P18" i="1"/>
  <c r="AH15" i="3"/>
  <c r="O18" i="1"/>
  <c r="AE18" i="3"/>
  <c r="AG16" i="3"/>
  <c r="N19" i="1"/>
  <c r="M19" i="1"/>
  <c r="AB20" i="3"/>
  <c r="D22" i="1"/>
  <c r="C22" i="1"/>
  <c r="AF17" i="3"/>
  <c r="L20" i="1"/>
  <c r="K20" i="1"/>
  <c r="C23" i="8" l="1"/>
  <c r="D23" i="8"/>
  <c r="O19" i="8"/>
  <c r="P19" i="8"/>
  <c r="M20" i="8"/>
  <c r="N20" i="8"/>
  <c r="O21" i="8"/>
  <c r="D26" i="8"/>
  <c r="E22" i="8"/>
  <c r="F22" i="8"/>
  <c r="D23" i="7"/>
  <c r="C23" i="7"/>
  <c r="F22" i="7"/>
  <c r="E22" i="7"/>
  <c r="N20" i="7"/>
  <c r="M20" i="7"/>
  <c r="P19" i="7"/>
  <c r="O19" i="7"/>
  <c r="D26" i="7"/>
  <c r="O21" i="7"/>
  <c r="O19" i="5"/>
  <c r="J21" i="5"/>
  <c r="K21" i="5"/>
  <c r="C22" i="3"/>
  <c r="B47" i="3"/>
  <c r="B72" i="3" s="1"/>
  <c r="B97" i="3" s="1"/>
  <c r="B122" i="3" s="1"/>
  <c r="M20" i="5"/>
  <c r="C23" i="5"/>
  <c r="E22" i="5"/>
  <c r="C5" i="3"/>
  <c r="B30" i="3"/>
  <c r="B55" i="3" s="1"/>
  <c r="B80" i="3" s="1"/>
  <c r="B105" i="3" s="1"/>
  <c r="C13" i="3"/>
  <c r="B38" i="3"/>
  <c r="B63" i="3" s="1"/>
  <c r="B88" i="3" s="1"/>
  <c r="B113" i="3" s="1"/>
  <c r="F22" i="4"/>
  <c r="E22" i="4"/>
  <c r="D23" i="4"/>
  <c r="C23" i="4"/>
  <c r="P19" i="4"/>
  <c r="O19" i="4"/>
  <c r="N20" i="4"/>
  <c r="M20" i="4"/>
  <c r="J21" i="4"/>
  <c r="K21" i="4"/>
  <c r="N20" i="1"/>
  <c r="AG17" i="3"/>
  <c r="M20" i="1"/>
  <c r="AC20" i="3"/>
  <c r="F22" i="1"/>
  <c r="E22" i="1"/>
  <c r="AB21" i="3"/>
  <c r="D23" i="1"/>
  <c r="C23" i="1"/>
  <c r="AH16" i="3"/>
  <c r="P19" i="1"/>
  <c r="O19" i="1"/>
  <c r="AF18" i="3"/>
  <c r="I21" i="1"/>
  <c r="H21" i="1"/>
  <c r="AD19" i="3"/>
  <c r="P20" i="8" l="1"/>
  <c r="O20" i="8"/>
  <c r="C26" i="8"/>
  <c r="F26" i="8"/>
  <c r="F23" i="8"/>
  <c r="E23" i="8"/>
  <c r="H22" i="8"/>
  <c r="G22" i="8"/>
  <c r="D24" i="8"/>
  <c r="C24" i="8"/>
  <c r="G22" i="7"/>
  <c r="H22" i="7"/>
  <c r="E23" i="7"/>
  <c r="F23" i="7"/>
  <c r="C24" i="7"/>
  <c r="D24" i="7"/>
  <c r="O20" i="7"/>
  <c r="P20" i="7"/>
  <c r="F26" i="7"/>
  <c r="C26" i="7"/>
  <c r="O20" i="5"/>
  <c r="M21" i="5"/>
  <c r="L21" i="5"/>
  <c r="D13" i="3"/>
  <c r="C38" i="3"/>
  <c r="C63" i="3" s="1"/>
  <c r="C88" i="3" s="1"/>
  <c r="C113" i="3" s="1"/>
  <c r="G22" i="5"/>
  <c r="E23" i="5"/>
  <c r="C24" i="5"/>
  <c r="D5" i="3"/>
  <c r="C30" i="3"/>
  <c r="C55" i="3" s="1"/>
  <c r="C80" i="3" s="1"/>
  <c r="C105" i="3" s="1"/>
  <c r="D22" i="3"/>
  <c r="C47" i="3"/>
  <c r="C72" i="3" s="1"/>
  <c r="C97" i="3" s="1"/>
  <c r="C122" i="3" s="1"/>
  <c r="P20" i="4"/>
  <c r="O20" i="4"/>
  <c r="H22" i="4"/>
  <c r="G22" i="4"/>
  <c r="F23" i="4"/>
  <c r="E23" i="4"/>
  <c r="M21" i="4"/>
  <c r="L21" i="4"/>
  <c r="D24" i="4"/>
  <c r="C24" i="4"/>
  <c r="AC21" i="3"/>
  <c r="F23" i="1"/>
  <c r="E23" i="1"/>
  <c r="AB22" i="3"/>
  <c r="D24" i="1"/>
  <c r="C24" i="1"/>
  <c r="AD20" i="3"/>
  <c r="H22" i="1"/>
  <c r="G22" i="1"/>
  <c r="K21" i="1"/>
  <c r="J21" i="1"/>
  <c r="AE19" i="3"/>
  <c r="AH17" i="3"/>
  <c r="P20" i="1"/>
  <c r="O20" i="1"/>
  <c r="AG18" i="3"/>
  <c r="E26" i="8" l="1"/>
  <c r="H26" i="8"/>
  <c r="E24" i="8"/>
  <c r="F24" i="8"/>
  <c r="I22" i="8"/>
  <c r="J22" i="8"/>
  <c r="C25" i="8"/>
  <c r="D25" i="8"/>
  <c r="G23" i="8"/>
  <c r="H23" i="8"/>
  <c r="J22" i="7"/>
  <c r="I22" i="7"/>
  <c r="D25" i="7"/>
  <c r="C25" i="7"/>
  <c r="H23" i="7"/>
  <c r="G23" i="7"/>
  <c r="F24" i="7"/>
  <c r="E24" i="7"/>
  <c r="H26" i="7"/>
  <c r="E26" i="7"/>
  <c r="G23" i="5"/>
  <c r="E5" i="3"/>
  <c r="D30" i="3"/>
  <c r="D55" i="3" s="1"/>
  <c r="D80" i="3" s="1"/>
  <c r="D105" i="3" s="1"/>
  <c r="N21" i="5"/>
  <c r="O21" i="5"/>
  <c r="E24" i="5"/>
  <c r="E22" i="3"/>
  <c r="D47" i="3"/>
  <c r="D72" i="3" s="1"/>
  <c r="D97" i="3" s="1"/>
  <c r="D122" i="3" s="1"/>
  <c r="I22" i="5"/>
  <c r="C25" i="5"/>
  <c r="E13" i="3"/>
  <c r="D38" i="3"/>
  <c r="D63" i="3" s="1"/>
  <c r="D88" i="3" s="1"/>
  <c r="D113" i="3" s="1"/>
  <c r="H23" i="4"/>
  <c r="G23" i="4"/>
  <c r="F24" i="4"/>
  <c r="E24" i="4"/>
  <c r="N21" i="4"/>
  <c r="O21" i="4"/>
  <c r="J22" i="4"/>
  <c r="I22" i="4"/>
  <c r="D25" i="4"/>
  <c r="C25" i="4"/>
  <c r="AB23" i="3"/>
  <c r="D25" i="1"/>
  <c r="C25" i="1"/>
  <c r="AD21" i="3"/>
  <c r="H23" i="1"/>
  <c r="G23" i="1"/>
  <c r="AE20" i="3"/>
  <c r="J22" i="1"/>
  <c r="I22" i="1"/>
  <c r="M21" i="1"/>
  <c r="AF19" i="3"/>
  <c r="L21" i="1"/>
  <c r="AH18" i="3"/>
  <c r="AC22" i="3"/>
  <c r="F24" i="1"/>
  <c r="E24" i="1"/>
  <c r="F25" i="8" l="1"/>
  <c r="E25" i="8"/>
  <c r="H24" i="8"/>
  <c r="G24" i="8"/>
  <c r="G26" i="8"/>
  <c r="J26" i="8"/>
  <c r="L22" i="8"/>
  <c r="K22" i="8"/>
  <c r="J23" i="8"/>
  <c r="I23" i="8"/>
  <c r="K22" i="7"/>
  <c r="L22" i="7"/>
  <c r="G24" i="7"/>
  <c r="H24" i="7"/>
  <c r="I23" i="7"/>
  <c r="J23" i="7"/>
  <c r="E25" i="7"/>
  <c r="F25" i="7"/>
  <c r="J26" i="7"/>
  <c r="G26" i="7"/>
  <c r="E25" i="5"/>
  <c r="K22" i="5"/>
  <c r="F5" i="3"/>
  <c r="E30" i="3"/>
  <c r="E55" i="3" s="1"/>
  <c r="E80" i="3" s="1"/>
  <c r="E105" i="3" s="1"/>
  <c r="I23" i="5"/>
  <c r="F13" i="3"/>
  <c r="E38" i="3"/>
  <c r="E63" i="3" s="1"/>
  <c r="E88" i="3" s="1"/>
  <c r="E113" i="3" s="1"/>
  <c r="G24" i="5"/>
  <c r="C26" i="5"/>
  <c r="P21" i="5"/>
  <c r="F22" i="3"/>
  <c r="E47" i="3"/>
  <c r="E72" i="3" s="1"/>
  <c r="E97" i="3" s="1"/>
  <c r="E122" i="3" s="1"/>
  <c r="F25" i="4"/>
  <c r="E25" i="4"/>
  <c r="H24" i="4"/>
  <c r="G24" i="4"/>
  <c r="C26" i="4"/>
  <c r="P21" i="4"/>
  <c r="L22" i="4"/>
  <c r="K22" i="4"/>
  <c r="J23" i="4"/>
  <c r="I23" i="4"/>
  <c r="AC23" i="3"/>
  <c r="F25" i="1"/>
  <c r="E25" i="1"/>
  <c r="O21" i="1"/>
  <c r="N21" i="1"/>
  <c r="AG19" i="3"/>
  <c r="AB24" i="3"/>
  <c r="AD22" i="3"/>
  <c r="H24" i="1"/>
  <c r="G24" i="1"/>
  <c r="AF20" i="3"/>
  <c r="L22" i="1"/>
  <c r="K22" i="1"/>
  <c r="J23" i="1"/>
  <c r="AE21" i="3"/>
  <c r="I23" i="1"/>
  <c r="M22" i="8" l="1"/>
  <c r="N22" i="8"/>
  <c r="G25" i="8"/>
  <c r="H25" i="8"/>
  <c r="I26" i="8"/>
  <c r="L26" i="8"/>
  <c r="I24" i="8"/>
  <c r="J24" i="8"/>
  <c r="K23" i="8"/>
  <c r="L23" i="8"/>
  <c r="H25" i="7"/>
  <c r="G25" i="7"/>
  <c r="J24" i="7"/>
  <c r="I24" i="7"/>
  <c r="L23" i="7"/>
  <c r="K23" i="7"/>
  <c r="N22" i="7"/>
  <c r="M22" i="7"/>
  <c r="L26" i="7"/>
  <c r="I26" i="7"/>
  <c r="I24" i="5"/>
  <c r="D26" i="5"/>
  <c r="E26" i="5"/>
  <c r="G13" i="3"/>
  <c r="F38" i="3"/>
  <c r="F63" i="3" s="1"/>
  <c r="F88" i="3" s="1"/>
  <c r="F113" i="3" s="1"/>
  <c r="M22" i="5"/>
  <c r="K23" i="5"/>
  <c r="G22" i="3"/>
  <c r="F47" i="3"/>
  <c r="F72" i="3" s="1"/>
  <c r="F97" i="3" s="1"/>
  <c r="F122" i="3" s="1"/>
  <c r="G25" i="5"/>
  <c r="G5" i="3"/>
  <c r="F30" i="3"/>
  <c r="F55" i="3" s="1"/>
  <c r="F80" i="3" s="1"/>
  <c r="F105" i="3" s="1"/>
  <c r="D26" i="4"/>
  <c r="E26" i="4"/>
  <c r="N22" i="4"/>
  <c r="M22" i="4"/>
  <c r="L23" i="4"/>
  <c r="K23" i="4"/>
  <c r="H25" i="4"/>
  <c r="G25" i="4"/>
  <c r="J24" i="4"/>
  <c r="I24" i="4"/>
  <c r="H25" i="1"/>
  <c r="AD23" i="3"/>
  <c r="G25" i="1"/>
  <c r="C26" i="1"/>
  <c r="P21" i="1"/>
  <c r="AH19" i="3"/>
  <c r="AE22" i="3"/>
  <c r="J24" i="1"/>
  <c r="I24" i="1"/>
  <c r="AF21" i="3"/>
  <c r="L23" i="1"/>
  <c r="K23" i="1"/>
  <c r="AG20" i="3"/>
  <c r="N22" i="1"/>
  <c r="M22" i="1"/>
  <c r="AC24" i="3"/>
  <c r="L24" i="8" l="1"/>
  <c r="K24" i="8"/>
  <c r="P22" i="8"/>
  <c r="O22" i="8"/>
  <c r="N23" i="8"/>
  <c r="M23" i="8"/>
  <c r="K26" i="8"/>
  <c r="N26" i="8"/>
  <c r="J25" i="8"/>
  <c r="I25" i="8"/>
  <c r="I25" i="7"/>
  <c r="J25" i="7"/>
  <c r="O22" i="7"/>
  <c r="P22" i="7"/>
  <c r="K24" i="7"/>
  <c r="L24" i="7"/>
  <c r="M23" i="7"/>
  <c r="N23" i="7"/>
  <c r="N26" i="7"/>
  <c r="K26" i="7"/>
  <c r="I25" i="5"/>
  <c r="K24" i="5"/>
  <c r="O22" i="5"/>
  <c r="G26" i="5"/>
  <c r="F26" i="5"/>
  <c r="M23" i="5"/>
  <c r="H5" i="3"/>
  <c r="G30" i="3"/>
  <c r="G55" i="3" s="1"/>
  <c r="G80" i="3" s="1"/>
  <c r="G105" i="3" s="1"/>
  <c r="H22" i="3"/>
  <c r="G47" i="3"/>
  <c r="G72" i="3" s="1"/>
  <c r="G97" i="3" s="1"/>
  <c r="G122" i="3" s="1"/>
  <c r="H13" i="3"/>
  <c r="G38" i="3"/>
  <c r="G63" i="3" s="1"/>
  <c r="G88" i="3" s="1"/>
  <c r="G113" i="3" s="1"/>
  <c r="J25" i="4"/>
  <c r="I25" i="4"/>
  <c r="L24" i="4"/>
  <c r="K24" i="4"/>
  <c r="P22" i="4"/>
  <c r="O22" i="4"/>
  <c r="N23" i="4"/>
  <c r="M23" i="4"/>
  <c r="G26" i="4"/>
  <c r="F26" i="4"/>
  <c r="E26" i="1"/>
  <c r="D26" i="1"/>
  <c r="AB25" i="3"/>
  <c r="AE23" i="3"/>
  <c r="J25" i="1"/>
  <c r="I25" i="1"/>
  <c r="AF22" i="3"/>
  <c r="L24" i="1"/>
  <c r="K24" i="1"/>
  <c r="AH20" i="3"/>
  <c r="P22" i="1"/>
  <c r="O22" i="1"/>
  <c r="AD24" i="3"/>
  <c r="AG21" i="3"/>
  <c r="N23" i="1"/>
  <c r="M23" i="1"/>
  <c r="M26" i="8" l="1"/>
  <c r="P26" i="8"/>
  <c r="M24" i="8"/>
  <c r="N24" i="8"/>
  <c r="O23" i="8"/>
  <c r="P23" i="8"/>
  <c r="K25" i="8"/>
  <c r="L25" i="8"/>
  <c r="C27" i="8"/>
  <c r="D27" i="8"/>
  <c r="D27" i="7"/>
  <c r="C27" i="7"/>
  <c r="L25" i="7"/>
  <c r="K25" i="7"/>
  <c r="N24" i="7"/>
  <c r="M24" i="7"/>
  <c r="P23" i="7"/>
  <c r="O23" i="7"/>
  <c r="P26" i="7"/>
  <c r="M26" i="7"/>
  <c r="M24" i="5"/>
  <c r="O23" i="5"/>
  <c r="B14" i="3"/>
  <c r="H38" i="3"/>
  <c r="H63" i="3" s="1"/>
  <c r="H88" i="3" s="1"/>
  <c r="H113" i="3" s="1"/>
  <c r="B6" i="3"/>
  <c r="H30" i="3"/>
  <c r="H55" i="3" s="1"/>
  <c r="H80" i="3" s="1"/>
  <c r="H105" i="3" s="1"/>
  <c r="K25" i="5"/>
  <c r="H26" i="5"/>
  <c r="I26" i="5"/>
  <c r="C27" i="5"/>
  <c r="B23" i="3"/>
  <c r="H47" i="3"/>
  <c r="H72" i="3" s="1"/>
  <c r="H97" i="3" s="1"/>
  <c r="H122" i="3" s="1"/>
  <c r="P23" i="4"/>
  <c r="O23" i="4"/>
  <c r="N24" i="4"/>
  <c r="M24" i="4"/>
  <c r="L25" i="4"/>
  <c r="K25" i="4"/>
  <c r="D27" i="4"/>
  <c r="C27" i="4"/>
  <c r="H26" i="4"/>
  <c r="I26" i="4"/>
  <c r="AG22" i="3"/>
  <c r="N24" i="1"/>
  <c r="M24" i="1"/>
  <c r="AH21" i="3"/>
  <c r="P23" i="1"/>
  <c r="O23" i="1"/>
  <c r="AE24" i="3"/>
  <c r="AB26" i="3"/>
  <c r="D27" i="1"/>
  <c r="C27" i="1"/>
  <c r="L25" i="1"/>
  <c r="AF23" i="3"/>
  <c r="K25" i="1"/>
  <c r="G26" i="1"/>
  <c r="AC25" i="3"/>
  <c r="F26" i="1"/>
  <c r="N25" i="8" l="1"/>
  <c r="M25" i="8"/>
  <c r="D28" i="8"/>
  <c r="C28" i="8"/>
  <c r="P24" i="8"/>
  <c r="O24" i="8"/>
  <c r="O26" i="8"/>
  <c r="D31" i="8"/>
  <c r="F27" i="8"/>
  <c r="E27" i="8"/>
  <c r="E27" i="7"/>
  <c r="F27" i="7"/>
  <c r="C28" i="7"/>
  <c r="D28" i="7"/>
  <c r="O24" i="7"/>
  <c r="P24" i="7"/>
  <c r="M25" i="7"/>
  <c r="N25" i="7"/>
  <c r="D31" i="7"/>
  <c r="O26" i="7"/>
  <c r="E27" i="5"/>
  <c r="C14" i="3"/>
  <c r="B39" i="3"/>
  <c r="B64" i="3" s="1"/>
  <c r="B89" i="3" s="1"/>
  <c r="B114" i="3" s="1"/>
  <c r="K26" i="5"/>
  <c r="J26" i="5"/>
  <c r="M25" i="5"/>
  <c r="C6" i="3"/>
  <c r="B31" i="3"/>
  <c r="B56" i="3" s="1"/>
  <c r="B81" i="3" s="1"/>
  <c r="B106" i="3" s="1"/>
  <c r="C23" i="3"/>
  <c r="B48" i="3"/>
  <c r="B73" i="3" s="1"/>
  <c r="B98" i="3" s="1"/>
  <c r="B123" i="3" s="1"/>
  <c r="C28" i="5"/>
  <c r="O24" i="5"/>
  <c r="N25" i="4"/>
  <c r="M25" i="4"/>
  <c r="D28" i="4"/>
  <c r="C28" i="4"/>
  <c r="P24" i="4"/>
  <c r="O24" i="4"/>
  <c r="K26" i="4"/>
  <c r="J26" i="4"/>
  <c r="F27" i="4"/>
  <c r="E27" i="4"/>
  <c r="AF24" i="3"/>
  <c r="AH22" i="3"/>
  <c r="P24" i="1"/>
  <c r="O24" i="1"/>
  <c r="AC26" i="3"/>
  <c r="F27" i="1"/>
  <c r="E27" i="1"/>
  <c r="I26" i="1"/>
  <c r="H26" i="1"/>
  <c r="AD25" i="3"/>
  <c r="D28" i="1"/>
  <c r="C28" i="1"/>
  <c r="AB27" i="3"/>
  <c r="AG23" i="3"/>
  <c r="N25" i="1"/>
  <c r="M25" i="1"/>
  <c r="G27" i="8" l="1"/>
  <c r="H27" i="8"/>
  <c r="O25" i="8"/>
  <c r="P25" i="8"/>
  <c r="C31" i="8"/>
  <c r="F31" i="8"/>
  <c r="E31" i="8" s="1"/>
  <c r="C29" i="8"/>
  <c r="D29" i="8"/>
  <c r="E28" i="8"/>
  <c r="F28" i="8"/>
  <c r="H27" i="7"/>
  <c r="G27" i="7"/>
  <c r="P25" i="7"/>
  <c r="O25" i="7"/>
  <c r="D29" i="7"/>
  <c r="C29" i="7"/>
  <c r="F28" i="7"/>
  <c r="E28" i="7"/>
  <c r="F31" i="7"/>
  <c r="E31" i="7" s="1"/>
  <c r="C31" i="7"/>
  <c r="G27" i="5"/>
  <c r="O25" i="5"/>
  <c r="E28" i="5"/>
  <c r="D23" i="3"/>
  <c r="C48" i="3"/>
  <c r="C73" i="3" s="1"/>
  <c r="C98" i="3" s="1"/>
  <c r="C123" i="3" s="1"/>
  <c r="D14" i="3"/>
  <c r="C39" i="3"/>
  <c r="C64" i="3" s="1"/>
  <c r="C89" i="3" s="1"/>
  <c r="C114" i="3" s="1"/>
  <c r="C29" i="5"/>
  <c r="D6" i="3"/>
  <c r="C31" i="3"/>
  <c r="C56" i="3" s="1"/>
  <c r="C81" i="3" s="1"/>
  <c r="C106" i="3" s="1"/>
  <c r="L26" i="5"/>
  <c r="M26" i="5"/>
  <c r="H27" i="4"/>
  <c r="G27" i="4"/>
  <c r="P25" i="4"/>
  <c r="O25" i="4"/>
  <c r="L26" i="4"/>
  <c r="M26" i="4"/>
  <c r="D29" i="4"/>
  <c r="C29" i="4"/>
  <c r="F28" i="4"/>
  <c r="E28" i="4"/>
  <c r="K26" i="1"/>
  <c r="J26" i="1"/>
  <c r="AE25" i="3"/>
  <c r="P25" i="1"/>
  <c r="O25" i="1"/>
  <c r="AH23" i="3"/>
  <c r="AC27" i="3"/>
  <c r="F28" i="1"/>
  <c r="E28" i="1"/>
  <c r="AD26" i="3"/>
  <c r="H27" i="1"/>
  <c r="G27" i="1"/>
  <c r="AG24" i="3"/>
  <c r="AB28" i="3"/>
  <c r="D29" i="1"/>
  <c r="C29" i="1"/>
  <c r="D30" i="8" l="1"/>
  <c r="C30" i="8"/>
  <c r="H28" i="8"/>
  <c r="G28" i="8"/>
  <c r="F29" i="8"/>
  <c r="E29" i="8"/>
  <c r="J27" i="8"/>
  <c r="I27" i="8"/>
  <c r="C30" i="7"/>
  <c r="D30" i="7"/>
  <c r="I27" i="7"/>
  <c r="J27" i="7"/>
  <c r="G28" i="7"/>
  <c r="H28" i="7"/>
  <c r="E29" i="7"/>
  <c r="F29" i="7"/>
  <c r="G28" i="5"/>
  <c r="O26" i="5"/>
  <c r="N26" i="5"/>
  <c r="C30" i="5"/>
  <c r="E23" i="3"/>
  <c r="D48" i="3"/>
  <c r="D73" i="3" s="1"/>
  <c r="D98" i="3" s="1"/>
  <c r="D123" i="3" s="1"/>
  <c r="E29" i="5"/>
  <c r="I27" i="5"/>
  <c r="E6" i="3"/>
  <c r="D31" i="3"/>
  <c r="D56" i="3" s="1"/>
  <c r="D81" i="3" s="1"/>
  <c r="D106" i="3" s="1"/>
  <c r="E14" i="3"/>
  <c r="D39" i="3"/>
  <c r="D64" i="3" s="1"/>
  <c r="D89" i="3" s="1"/>
  <c r="D114" i="3" s="1"/>
  <c r="H28" i="4"/>
  <c r="G28" i="4"/>
  <c r="D30" i="4"/>
  <c r="C30" i="4"/>
  <c r="O26" i="4"/>
  <c r="N26" i="4"/>
  <c r="F29" i="4"/>
  <c r="E29" i="4"/>
  <c r="J27" i="4"/>
  <c r="I27" i="4"/>
  <c r="C30" i="1"/>
  <c r="AB29" i="3"/>
  <c r="D30" i="1"/>
  <c r="AE26" i="3"/>
  <c r="J27" i="1"/>
  <c r="I27" i="1"/>
  <c r="AC28" i="3"/>
  <c r="F29" i="1"/>
  <c r="E29" i="1"/>
  <c r="H28" i="1"/>
  <c r="AD27" i="3"/>
  <c r="G28" i="1"/>
  <c r="AH24" i="3"/>
  <c r="M26" i="1"/>
  <c r="L26" i="1"/>
  <c r="AF25" i="3"/>
  <c r="I28" i="8" l="1"/>
  <c r="J28" i="8"/>
  <c r="K27" i="8"/>
  <c r="L27" i="8"/>
  <c r="G29" i="8"/>
  <c r="H29" i="8"/>
  <c r="E30" i="8"/>
  <c r="F30" i="8"/>
  <c r="H29" i="7"/>
  <c r="G29" i="7"/>
  <c r="J28" i="7"/>
  <c r="I28" i="7"/>
  <c r="L27" i="7"/>
  <c r="K27" i="7"/>
  <c r="F30" i="7"/>
  <c r="E30" i="7"/>
  <c r="F14" i="3"/>
  <c r="E39" i="3"/>
  <c r="E64" i="3" s="1"/>
  <c r="E89" i="3" s="1"/>
  <c r="E114" i="3" s="1"/>
  <c r="F23" i="3"/>
  <c r="E48" i="3"/>
  <c r="E73" i="3" s="1"/>
  <c r="E98" i="3" s="1"/>
  <c r="E123" i="3" s="1"/>
  <c r="P26" i="5"/>
  <c r="C31" i="5"/>
  <c r="K27" i="5"/>
  <c r="I28" i="5"/>
  <c r="G29" i="5"/>
  <c r="E30" i="5"/>
  <c r="F6" i="3"/>
  <c r="E31" i="3"/>
  <c r="E56" i="3" s="1"/>
  <c r="E81" i="3" s="1"/>
  <c r="E106" i="3" s="1"/>
  <c r="L27" i="4"/>
  <c r="K27" i="4"/>
  <c r="J28" i="4"/>
  <c r="I28" i="4"/>
  <c r="H29" i="4"/>
  <c r="G29" i="4"/>
  <c r="F30" i="4"/>
  <c r="E30" i="4"/>
  <c r="P26" i="4"/>
  <c r="C31" i="4"/>
  <c r="AE27" i="3"/>
  <c r="J28" i="1"/>
  <c r="I28" i="1"/>
  <c r="AF26" i="3"/>
  <c r="L27" i="1"/>
  <c r="K27" i="1"/>
  <c r="E30" i="1"/>
  <c r="AC29" i="3"/>
  <c r="F30" i="1"/>
  <c r="O26" i="1"/>
  <c r="AG25" i="3"/>
  <c r="N26" i="1"/>
  <c r="AB30" i="3"/>
  <c r="AD28" i="3"/>
  <c r="H29" i="1"/>
  <c r="G29" i="1"/>
  <c r="H30" i="8" l="1"/>
  <c r="G30" i="8"/>
  <c r="N27" i="8"/>
  <c r="M27" i="8"/>
  <c r="J29" i="8"/>
  <c r="I29" i="8"/>
  <c r="L28" i="8"/>
  <c r="K28" i="8"/>
  <c r="M27" i="7"/>
  <c r="N27" i="7"/>
  <c r="G30" i="7"/>
  <c r="H30" i="7"/>
  <c r="I29" i="7"/>
  <c r="J29" i="7"/>
  <c r="K28" i="7"/>
  <c r="L28" i="7"/>
  <c r="M27" i="5"/>
  <c r="G30" i="5"/>
  <c r="G6" i="3"/>
  <c r="F31" i="3"/>
  <c r="F56" i="3" s="1"/>
  <c r="F81" i="3" s="1"/>
  <c r="F106" i="3" s="1"/>
  <c r="G23" i="3"/>
  <c r="F48" i="3"/>
  <c r="F73" i="3" s="1"/>
  <c r="F98" i="3" s="1"/>
  <c r="F123" i="3" s="1"/>
  <c r="I29" i="5"/>
  <c r="K28" i="5"/>
  <c r="E31" i="5"/>
  <c r="F31" i="5" s="1"/>
  <c r="D31" i="5"/>
  <c r="G14" i="3"/>
  <c r="F39" i="3"/>
  <c r="F64" i="3" s="1"/>
  <c r="F89" i="3" s="1"/>
  <c r="F114" i="3" s="1"/>
  <c r="H30" i="4"/>
  <c r="G30" i="4"/>
  <c r="J29" i="4"/>
  <c r="I29" i="4"/>
  <c r="N27" i="4"/>
  <c r="M27" i="4"/>
  <c r="L28" i="4"/>
  <c r="K28" i="4"/>
  <c r="E31" i="4"/>
  <c r="F31" i="4" s="1"/>
  <c r="D31" i="4"/>
  <c r="AC30" i="3"/>
  <c r="L28" i="1"/>
  <c r="K28" i="1"/>
  <c r="AF27" i="3"/>
  <c r="AG26" i="3"/>
  <c r="N27" i="1"/>
  <c r="M27" i="1"/>
  <c r="G30" i="1"/>
  <c r="AD29" i="3"/>
  <c r="H30" i="1"/>
  <c r="C31" i="1"/>
  <c r="P26" i="1"/>
  <c r="AH25" i="3"/>
  <c r="AE28" i="3"/>
  <c r="J29" i="1"/>
  <c r="I29" i="1"/>
  <c r="I30" i="8" l="1"/>
  <c r="J30" i="8"/>
  <c r="O27" i="8"/>
  <c r="P27" i="8"/>
  <c r="M28" i="8"/>
  <c r="N28" i="8"/>
  <c r="K29" i="8"/>
  <c r="L29" i="8"/>
  <c r="J30" i="7"/>
  <c r="I30" i="7"/>
  <c r="P27" i="7"/>
  <c r="O27" i="7"/>
  <c r="N28" i="7"/>
  <c r="M28" i="7"/>
  <c r="L29" i="7"/>
  <c r="K29" i="7"/>
  <c r="M28" i="5"/>
  <c r="I30" i="5"/>
  <c r="H14" i="3"/>
  <c r="G39" i="3"/>
  <c r="G64" i="3" s="1"/>
  <c r="G89" i="3" s="1"/>
  <c r="G114" i="3" s="1"/>
  <c r="H23" i="3"/>
  <c r="G48" i="3"/>
  <c r="G73" i="3" s="1"/>
  <c r="G98" i="3" s="1"/>
  <c r="G123" i="3" s="1"/>
  <c r="O27" i="5"/>
  <c r="K29" i="5"/>
  <c r="H6" i="3"/>
  <c r="G31" i="3"/>
  <c r="G56" i="3" s="1"/>
  <c r="G81" i="3" s="1"/>
  <c r="G106" i="3" s="1"/>
  <c r="J30" i="4"/>
  <c r="I30" i="4"/>
  <c r="P27" i="4"/>
  <c r="O27" i="4"/>
  <c r="N28" i="4"/>
  <c r="M28" i="4"/>
  <c r="L29" i="4"/>
  <c r="K29" i="4"/>
  <c r="AH26" i="3"/>
  <c r="P27" i="1"/>
  <c r="O27" i="1"/>
  <c r="AD30" i="3"/>
  <c r="AG27" i="3"/>
  <c r="N28" i="1"/>
  <c r="M28" i="1"/>
  <c r="AF28" i="3"/>
  <c r="K29" i="1"/>
  <c r="L29" i="1"/>
  <c r="I30" i="1"/>
  <c r="J30" i="1"/>
  <c r="AE29" i="3"/>
  <c r="E31" i="1"/>
  <c r="D31" i="1"/>
  <c r="AB31" i="3"/>
  <c r="N29" i="8" l="1"/>
  <c r="M29" i="8"/>
  <c r="P28" i="8"/>
  <c r="O28" i="8"/>
  <c r="D32" i="8"/>
  <c r="C32" i="8"/>
  <c r="L30" i="8"/>
  <c r="K30" i="8"/>
  <c r="M29" i="7"/>
  <c r="N29" i="7"/>
  <c r="C32" i="7"/>
  <c r="D32" i="7"/>
  <c r="K30" i="7"/>
  <c r="L30" i="7"/>
  <c r="O28" i="7"/>
  <c r="P28" i="7"/>
  <c r="M29" i="5"/>
  <c r="O28" i="5"/>
  <c r="B24" i="3"/>
  <c r="H48" i="3"/>
  <c r="H73" i="3" s="1"/>
  <c r="H98" i="3" s="1"/>
  <c r="H123" i="3" s="1"/>
  <c r="C32" i="5"/>
  <c r="K30" i="5"/>
  <c r="B7" i="3"/>
  <c r="H31" i="3"/>
  <c r="H56" i="3" s="1"/>
  <c r="H81" i="3" s="1"/>
  <c r="H106" i="3" s="1"/>
  <c r="B15" i="3"/>
  <c r="H39" i="3"/>
  <c r="H64" i="3" s="1"/>
  <c r="H89" i="3" s="1"/>
  <c r="H114" i="3" s="1"/>
  <c r="L30" i="4"/>
  <c r="K30" i="4"/>
  <c r="D32" i="4"/>
  <c r="C32" i="4"/>
  <c r="N29" i="4"/>
  <c r="M29" i="4"/>
  <c r="P28" i="4"/>
  <c r="O28" i="4"/>
  <c r="AE30" i="3"/>
  <c r="AG28" i="3"/>
  <c r="M29" i="1"/>
  <c r="N29" i="1"/>
  <c r="AB32" i="3"/>
  <c r="C32" i="1"/>
  <c r="D32" i="1"/>
  <c r="K30" i="1"/>
  <c r="AF29" i="3"/>
  <c r="L30" i="1"/>
  <c r="F31" i="1"/>
  <c r="AC31" i="3"/>
  <c r="AH27" i="3"/>
  <c r="P28" i="1"/>
  <c r="O28" i="1"/>
  <c r="M30" i="8" l="1"/>
  <c r="N30" i="8"/>
  <c r="O29" i="8"/>
  <c r="P29" i="8"/>
  <c r="D33" i="8"/>
  <c r="C33" i="8"/>
  <c r="E32" i="8"/>
  <c r="F32" i="8"/>
  <c r="N30" i="7"/>
  <c r="M30" i="7"/>
  <c r="P29" i="7"/>
  <c r="O29" i="7"/>
  <c r="C33" i="7"/>
  <c r="D33" i="7"/>
  <c r="F32" i="7"/>
  <c r="E32" i="7"/>
  <c r="M30" i="5"/>
  <c r="O29" i="5"/>
  <c r="C33" i="5"/>
  <c r="C7" i="3"/>
  <c r="C32" i="3" s="1"/>
  <c r="C57" i="3" s="1"/>
  <c r="C82" i="3" s="1"/>
  <c r="C107" i="3" s="1"/>
  <c r="B32" i="3"/>
  <c r="B57" i="3" s="1"/>
  <c r="B82" i="3" s="1"/>
  <c r="B107" i="3" s="1"/>
  <c r="E32" i="5"/>
  <c r="C15" i="3"/>
  <c r="C40" i="3" s="1"/>
  <c r="C65" i="3" s="1"/>
  <c r="C90" i="3" s="1"/>
  <c r="C115" i="3" s="1"/>
  <c r="B40" i="3"/>
  <c r="B65" i="3" s="1"/>
  <c r="B90" i="3" s="1"/>
  <c r="B115" i="3" s="1"/>
  <c r="C24" i="3"/>
  <c r="C49" i="3" s="1"/>
  <c r="C74" i="3" s="1"/>
  <c r="C99" i="3" s="1"/>
  <c r="C124" i="3" s="1"/>
  <c r="B49" i="3"/>
  <c r="B74" i="3" s="1"/>
  <c r="B99" i="3" s="1"/>
  <c r="B124" i="3" s="1"/>
  <c r="F32" i="4"/>
  <c r="E32" i="4"/>
  <c r="N30" i="4"/>
  <c r="M30" i="4"/>
  <c r="P29" i="4"/>
  <c r="O29" i="4"/>
  <c r="D33" i="4"/>
  <c r="C33" i="4"/>
  <c r="E32" i="1"/>
  <c r="AC32" i="3"/>
  <c r="F32" i="1"/>
  <c r="M30" i="1"/>
  <c r="AG29" i="3"/>
  <c r="N30" i="1"/>
  <c r="AH28" i="3"/>
  <c r="O29" i="1"/>
  <c r="P29" i="1"/>
  <c r="AF30" i="3"/>
  <c r="AB33" i="3"/>
  <c r="C33" i="1"/>
  <c r="D33" i="1"/>
  <c r="F33" i="8" l="1"/>
  <c r="E33" i="8"/>
  <c r="D34" i="8"/>
  <c r="C34" i="8"/>
  <c r="P30" i="8"/>
  <c r="O30" i="8"/>
  <c r="E33" i="7"/>
  <c r="F33" i="7"/>
  <c r="C34" i="7"/>
  <c r="D34" i="7"/>
  <c r="O30" i="7"/>
  <c r="P30" i="7"/>
  <c r="C34" i="5"/>
  <c r="E33" i="5"/>
  <c r="O30" i="5"/>
  <c r="P30" i="4"/>
  <c r="O30" i="4"/>
  <c r="D34" i="4"/>
  <c r="C34" i="4"/>
  <c r="F33" i="4"/>
  <c r="E33" i="4"/>
  <c r="E33" i="1"/>
  <c r="AC33" i="3"/>
  <c r="F33" i="1"/>
  <c r="AG30" i="3"/>
  <c r="AB34" i="3"/>
  <c r="C34" i="1"/>
  <c r="D34" i="1"/>
  <c r="O30" i="1"/>
  <c r="AH29" i="3"/>
  <c r="P30" i="1"/>
  <c r="F34" i="8" l="1"/>
  <c r="E34" i="8"/>
  <c r="D35" i="8"/>
  <c r="C35" i="8"/>
  <c r="C35" i="7"/>
  <c r="D35" i="7"/>
  <c r="E34" i="7"/>
  <c r="F34" i="7"/>
  <c r="E34" i="5"/>
  <c r="C35" i="5"/>
  <c r="D35" i="4"/>
  <c r="C35" i="4"/>
  <c r="F34" i="4"/>
  <c r="E34" i="4"/>
  <c r="AC34" i="3"/>
  <c r="E34" i="1"/>
  <c r="F34" i="1"/>
  <c r="AH30" i="3"/>
  <c r="C35" i="1"/>
  <c r="D35" i="1"/>
  <c r="AB35" i="3"/>
  <c r="F35" i="8" l="1"/>
  <c r="E35" i="8"/>
  <c r="E35" i="7"/>
  <c r="F35" i="7"/>
  <c r="E35" i="5"/>
  <c r="F35" i="4"/>
  <c r="E35" i="4"/>
  <c r="E35" i="1"/>
  <c r="AC35" i="3"/>
  <c r="F35" i="1"/>
  <c r="AB36" i="3"/>
  <c r="AC36" i="3" l="1"/>
</calcChain>
</file>

<file path=xl/sharedStrings.xml><?xml version="1.0" encoding="utf-8"?>
<sst xmlns="http://schemas.openxmlformats.org/spreadsheetml/2006/main" count="108" uniqueCount="63">
  <si>
    <t>March</t>
  </si>
  <si>
    <t>January</t>
  </si>
  <si>
    <t>YEAR</t>
  </si>
  <si>
    <t>February</t>
  </si>
  <si>
    <t>April</t>
  </si>
  <si>
    <t>May</t>
  </si>
  <si>
    <t>June</t>
  </si>
  <si>
    <t>July</t>
  </si>
  <si>
    <t>August</t>
  </si>
  <si>
    <t>September</t>
  </si>
  <si>
    <t>October</t>
  </si>
  <si>
    <t>November</t>
  </si>
  <si>
    <t>December</t>
  </si>
  <si>
    <t>NO</t>
  </si>
  <si>
    <t>DATE</t>
  </si>
  <si>
    <t>Month References</t>
  </si>
  <si>
    <t>STARTING MONTH</t>
  </si>
  <si>
    <t>TIME</t>
  </si>
  <si>
    <t>SUNDAY</t>
  </si>
  <si>
    <t>MONDAY</t>
  </si>
  <si>
    <t>TUESDAY</t>
  </si>
  <si>
    <t>WEDNESDAY</t>
  </si>
  <si>
    <t>THURSDAY</t>
  </si>
  <si>
    <t>FRIDAY</t>
  </si>
  <si>
    <t>SATURDAY</t>
  </si>
  <si>
    <t>Notes :</t>
  </si>
  <si>
    <t>TO DO</t>
  </si>
  <si>
    <t>HOLIDAY</t>
  </si>
  <si>
    <t>IMPORTANT EVENT</t>
  </si>
  <si>
    <t>Company Birthday</t>
  </si>
  <si>
    <t>Jane Doe Birthday</t>
  </si>
  <si>
    <t>John Doe Birthday</t>
  </si>
  <si>
    <t>Memorial Day</t>
  </si>
  <si>
    <t>Independence Day</t>
  </si>
  <si>
    <t>Labor Day</t>
  </si>
  <si>
    <t>Veterans Day</t>
  </si>
  <si>
    <t>Thanksgiving Day</t>
  </si>
  <si>
    <t>Christmas Day</t>
  </si>
  <si>
    <t>House Renovation</t>
  </si>
  <si>
    <t>Romantic Dinner</t>
  </si>
  <si>
    <t>New Year’s Day</t>
  </si>
  <si>
    <t>Martin Luther King, Jr. Day</t>
  </si>
  <si>
    <t>Presidents’ Day</t>
  </si>
  <si>
    <t>Columbus Day</t>
  </si>
  <si>
    <t>Finalizing Proposal</t>
  </si>
  <si>
    <t>2019 MONTHLY CALENDAR - EVENT TABLE</t>
  </si>
  <si>
    <t>© 2019 - exceltemplate.net</t>
  </si>
  <si>
    <t>Jane Doe  Show</t>
  </si>
  <si>
    <t>Hang Out</t>
  </si>
  <si>
    <t>Meeting with ABC</t>
  </si>
  <si>
    <t>Shopping</t>
  </si>
  <si>
    <t>Madrid vs Barcelona</t>
  </si>
  <si>
    <t>MU vs Arsenal</t>
  </si>
  <si>
    <t>Warriors vs Lakers</t>
  </si>
  <si>
    <t>Booking Hotel</t>
  </si>
  <si>
    <t>S</t>
  </si>
  <si>
    <t>M</t>
  </si>
  <si>
    <t>T</t>
  </si>
  <si>
    <t>W</t>
  </si>
  <si>
    <t>F</t>
  </si>
  <si>
    <t xml:space="preserve">Need help? Please see this page for information: </t>
  </si>
  <si>
    <t>https://exceltemplate.net/support/</t>
  </si>
  <si>
    <t>© 2021 - ExcelTemplate.net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</si>
</sst>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d;@"/>
    <numFmt numFmtId="165" formatCode="h:mm;@"/>
    <numFmt numFmtId="166" formatCode="[$-409]d\-mmm\-yy;@"/>
  </numFmts>
  <fonts count="53" x14ac:knownFonts="1">
    <font>
      <sz val="10"/>
      <name val="Arial"/>
    </font>
    <font>
      <u/>
      <sz val="10"/>
      <color indexed="12"/>
      <name val="Arial"/>
      <family val="2"/>
    </font>
    <font>
      <sz val="8"/>
      <name val="Arial"/>
      <family val="2"/>
    </font>
    <font>
      <sz val="10"/>
      <name val="Tahoma"/>
      <family val="2"/>
    </font>
    <font>
      <sz val="10"/>
      <color indexed="9"/>
      <name val="Verdana"/>
      <family val="2"/>
    </font>
    <font>
      <sz val="9"/>
      <color indexed="9"/>
      <name val="Verdana"/>
      <family val="2"/>
    </font>
    <font>
      <sz val="10"/>
      <color indexed="48"/>
      <name val="Tahoma"/>
      <family val="2"/>
    </font>
    <font>
      <sz val="10"/>
      <color indexed="9"/>
      <name val="Tahoma"/>
      <family val="2"/>
    </font>
    <font>
      <b/>
      <sz val="11"/>
      <color indexed="9"/>
      <name val="Calibri"/>
      <family val="2"/>
      <scheme val="minor"/>
    </font>
    <font>
      <sz val="11"/>
      <name val="Calibri"/>
      <family val="2"/>
      <scheme val="minor"/>
    </font>
    <font>
      <b/>
      <sz val="11"/>
      <name val="Calibri"/>
      <family val="2"/>
      <scheme val="minor"/>
    </font>
    <font>
      <sz val="12"/>
      <name val="Calibri"/>
      <family val="2"/>
      <scheme val="minor"/>
    </font>
    <font>
      <sz val="16"/>
      <name val="Calibri"/>
      <family val="2"/>
      <scheme val="minor"/>
    </font>
    <font>
      <b/>
      <sz val="18"/>
      <name val="Calibri"/>
      <family val="2"/>
      <scheme val="minor"/>
    </font>
    <font>
      <sz val="12"/>
      <color indexed="9"/>
      <name val="Calibri"/>
      <family val="2"/>
      <scheme val="minor"/>
    </font>
    <font>
      <sz val="12"/>
      <color indexed="12"/>
      <name val="Calibri"/>
      <family val="2"/>
      <scheme val="minor"/>
    </font>
    <font>
      <sz val="20"/>
      <color indexed="9"/>
      <name val="Calibri"/>
      <family val="2"/>
      <scheme val="minor"/>
    </font>
    <font>
      <sz val="20"/>
      <color indexed="12"/>
      <name val="Calibri"/>
      <family val="2"/>
      <scheme val="minor"/>
    </font>
    <font>
      <sz val="20"/>
      <name val="Calibri"/>
      <family val="2"/>
      <scheme val="minor"/>
    </font>
    <font>
      <b/>
      <sz val="16"/>
      <name val="Calibri"/>
      <family val="2"/>
      <scheme val="minor"/>
    </font>
    <font>
      <b/>
      <sz val="10"/>
      <color indexed="9"/>
      <name val="Calibri"/>
      <family val="2"/>
      <scheme val="minor"/>
    </font>
    <font>
      <sz val="10"/>
      <name val="Calibri"/>
      <family val="2"/>
      <scheme val="minor"/>
    </font>
    <font>
      <sz val="10"/>
      <name val="Arial Narrow"/>
      <family val="2"/>
    </font>
    <font>
      <sz val="11"/>
      <color indexed="12"/>
      <name val="Calibri"/>
      <family val="2"/>
      <scheme val="minor"/>
    </font>
    <font>
      <sz val="14"/>
      <name val="Calibri"/>
      <family val="2"/>
      <scheme val="minor"/>
    </font>
    <font>
      <b/>
      <sz val="48"/>
      <color indexed="9"/>
      <name val="Calibri"/>
      <family val="2"/>
      <scheme val="minor"/>
    </font>
    <font>
      <sz val="11"/>
      <color indexed="9"/>
      <name val="Calibri"/>
      <family val="2"/>
      <scheme val="minor"/>
    </font>
    <font>
      <sz val="10"/>
      <color indexed="12"/>
      <name val="Arial Narrow"/>
      <family val="2"/>
    </font>
    <font>
      <b/>
      <sz val="10"/>
      <name val="Arial Narrow"/>
      <family val="2"/>
    </font>
    <font>
      <b/>
      <sz val="14"/>
      <name val="Calibri"/>
      <family val="2"/>
      <scheme val="minor"/>
    </font>
    <font>
      <sz val="11"/>
      <color theme="8" tint="0.59999389629810485"/>
      <name val="Calibri"/>
      <family val="2"/>
      <scheme val="minor"/>
    </font>
    <font>
      <sz val="10"/>
      <color theme="8" tint="0.59999389629810485"/>
      <name val="Arial Narrow"/>
      <family val="2"/>
    </font>
    <font>
      <sz val="14"/>
      <color theme="0"/>
      <name val="Calibri"/>
      <family val="2"/>
      <scheme val="minor"/>
    </font>
    <font>
      <b/>
      <sz val="14"/>
      <color theme="0"/>
      <name val="Calibri"/>
      <family val="2"/>
      <scheme val="minor"/>
    </font>
    <font>
      <sz val="14"/>
      <color theme="8" tint="-0.249977111117893"/>
      <name val="Calibri"/>
      <family val="2"/>
      <scheme val="minor"/>
    </font>
    <font>
      <b/>
      <sz val="11"/>
      <color indexed="48"/>
      <name val="Calibri"/>
      <family val="2"/>
      <scheme val="minor"/>
    </font>
    <font>
      <sz val="14"/>
      <color theme="0" tint="-4.9989318521683403E-2"/>
      <name val="Calibri"/>
      <family val="2"/>
      <scheme val="minor"/>
    </font>
    <font>
      <sz val="11"/>
      <color theme="0" tint="-0.14999847407452621"/>
      <name val="Calibri"/>
      <family val="2"/>
      <scheme val="minor"/>
    </font>
    <font>
      <sz val="10"/>
      <color theme="0" tint="-0.14999847407452621"/>
      <name val="Arial Narrow"/>
      <family val="2"/>
    </font>
    <font>
      <b/>
      <sz val="10"/>
      <color theme="9" tint="0.79998168889431442"/>
      <name val="Arial Narrow"/>
      <family val="2"/>
    </font>
    <font>
      <sz val="11"/>
      <color theme="9" tint="0.79998168889431442"/>
      <name val="Calibri"/>
      <family val="2"/>
      <scheme val="minor"/>
    </font>
    <font>
      <sz val="10"/>
      <color theme="9" tint="0.79998168889431442"/>
      <name val="Arial Narrow"/>
      <family val="2"/>
    </font>
    <font>
      <b/>
      <sz val="48"/>
      <name val="Calibri"/>
      <family val="2"/>
      <scheme val="minor"/>
    </font>
    <font>
      <sz val="11"/>
      <color theme="6" tint="0.59999389629810485"/>
      <name val="Calibri"/>
      <family val="2"/>
      <scheme val="minor"/>
    </font>
    <font>
      <sz val="10"/>
      <color theme="6" tint="0.59999389629810485"/>
      <name val="Arial Narrow"/>
      <family val="2"/>
    </font>
    <font>
      <b/>
      <sz val="12"/>
      <name val="Arial Narrow"/>
      <family val="2"/>
    </font>
    <font>
      <sz val="11"/>
      <color theme="8" tint="0.79998168889431442"/>
      <name val="Calibri"/>
      <family val="2"/>
      <scheme val="minor"/>
    </font>
    <font>
      <sz val="10"/>
      <color theme="8" tint="0.79998168889431442"/>
      <name val="Arial Narrow"/>
      <family val="2"/>
    </font>
    <font>
      <sz val="14"/>
      <color theme="9" tint="0.79998168889431442"/>
      <name val="Calibri"/>
      <family val="2"/>
      <scheme val="minor"/>
    </font>
    <font>
      <sz val="20"/>
      <color theme="1"/>
      <name val="Arial"/>
      <family val="2"/>
    </font>
    <font>
      <sz val="20"/>
      <color theme="1"/>
      <name val="Calibri"/>
      <family val="2"/>
      <scheme val="minor"/>
    </font>
    <font>
      <u/>
      <sz val="20"/>
      <color theme="10"/>
      <name val="Arial"/>
      <family val="2"/>
    </font>
    <font>
      <u/>
      <sz val="20"/>
      <color theme="10"/>
      <name val="Calibri"/>
      <family val="2"/>
      <scheme val="minor"/>
    </font>
  </fonts>
  <fills count="18">
    <fill>
      <patternFill patternType="none"/>
    </fill>
    <fill>
      <patternFill patternType="gray125"/>
    </fill>
    <fill>
      <patternFill patternType="solid">
        <fgColor indexed="12"/>
        <bgColor indexed="64"/>
      </patternFill>
    </fill>
    <fill>
      <patternFill patternType="solid">
        <fgColor indexed="1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9" tint="-0.499984740745262"/>
        <bgColor indexed="64"/>
      </patternFill>
    </fill>
    <fill>
      <patternFill patternType="solid">
        <fgColor theme="6" tint="-0.499984740745262"/>
        <bgColor indexed="64"/>
      </patternFill>
    </fill>
  </fills>
  <borders count="63">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right style="hair">
        <color indexed="44"/>
      </right>
      <top/>
      <bottom/>
      <diagonal/>
    </border>
    <border>
      <left/>
      <right style="hair">
        <color indexed="44"/>
      </right>
      <top style="hair">
        <color indexed="44"/>
      </top>
      <bottom/>
      <diagonal/>
    </border>
    <border>
      <left style="hair">
        <color indexed="44"/>
      </left>
      <right/>
      <top/>
      <bottom/>
      <diagonal/>
    </border>
    <border>
      <left style="hair">
        <color indexed="44"/>
      </left>
      <right/>
      <top/>
      <bottom style="hair">
        <color indexed="44"/>
      </bottom>
      <diagonal/>
    </border>
    <border>
      <left/>
      <right style="hair">
        <color indexed="44"/>
      </right>
      <top/>
      <bottom style="hair">
        <color indexed="44"/>
      </bottom>
      <diagonal/>
    </border>
    <border>
      <left/>
      <right/>
      <top style="hair">
        <color indexed="44"/>
      </top>
      <bottom/>
      <diagonal/>
    </border>
    <border>
      <left/>
      <right/>
      <top style="thin">
        <color indexed="44"/>
      </top>
      <bottom/>
      <diagonal/>
    </border>
    <border>
      <left style="hair">
        <color indexed="44"/>
      </left>
      <right style="hair">
        <color indexed="44"/>
      </right>
      <top style="hair">
        <color indexed="44"/>
      </top>
      <bottom style="hair">
        <color indexed="44"/>
      </bottom>
      <diagonal/>
    </border>
    <border>
      <left style="thin">
        <color indexed="10"/>
      </left>
      <right style="thin">
        <color indexed="10"/>
      </right>
      <top style="thin">
        <color indexed="10"/>
      </top>
      <bottom style="thin">
        <color indexed="10"/>
      </bottom>
      <diagonal/>
    </border>
    <border>
      <left style="thin">
        <color indexed="64"/>
      </left>
      <right style="thin">
        <color indexed="64"/>
      </right>
      <top style="thin">
        <color indexed="64"/>
      </top>
      <bottom style="thin">
        <color indexed="64"/>
      </bottom>
      <diagonal/>
    </border>
    <border>
      <left style="thin">
        <color indexed="44"/>
      </left>
      <right style="thin">
        <color indexed="44"/>
      </right>
      <top style="thin">
        <color indexed="44"/>
      </top>
      <bottom style="thin">
        <color indexed="44"/>
      </bottom>
      <diagonal/>
    </border>
    <border>
      <left style="thin">
        <color indexed="44"/>
      </left>
      <right style="thin">
        <color indexed="44"/>
      </right>
      <top/>
      <bottom style="thin">
        <color indexed="44"/>
      </bottom>
      <diagonal/>
    </border>
    <border>
      <left style="thin">
        <color indexed="10"/>
      </left>
      <right style="thin">
        <color indexed="10"/>
      </right>
      <top/>
      <bottom style="thin">
        <color indexed="10"/>
      </bottom>
      <diagonal/>
    </border>
    <border>
      <left/>
      <right/>
      <top/>
      <bottom style="thin">
        <color indexed="6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diagonal/>
    </border>
    <border>
      <left/>
      <right style="hair">
        <color theme="1" tint="0.499984740745262"/>
      </right>
      <top style="hair">
        <color theme="1" tint="0.499984740745262"/>
      </top>
      <bottom/>
      <diagonal/>
    </border>
    <border>
      <left style="hair">
        <color theme="1" tint="0.499984740745262"/>
      </left>
      <right/>
      <top/>
      <bottom/>
      <diagonal/>
    </border>
    <border>
      <left/>
      <right style="hair">
        <color theme="1" tint="0.499984740745262"/>
      </right>
      <top/>
      <bottom/>
      <diagonal/>
    </border>
    <border>
      <left style="hair">
        <color theme="1" tint="0.499984740745262"/>
      </left>
      <right/>
      <top/>
      <bottom style="hair">
        <color theme="1" tint="0.499984740745262"/>
      </bottom>
      <diagonal/>
    </border>
    <border>
      <left/>
      <right style="hair">
        <color theme="1" tint="0.499984740745262"/>
      </right>
      <top/>
      <bottom style="hair">
        <color theme="1" tint="0.499984740745262"/>
      </bottom>
      <diagonal/>
    </border>
    <border>
      <left style="hair">
        <color theme="9" tint="-0.24994659260841701"/>
      </left>
      <right style="hair">
        <color theme="9" tint="-0.24994659260841701"/>
      </right>
      <top style="hair">
        <color theme="9" tint="-0.24994659260841701"/>
      </top>
      <bottom style="hair">
        <color theme="9" tint="-0.24994659260841701"/>
      </bottom>
      <diagonal/>
    </border>
    <border>
      <left style="hair">
        <color theme="9" tint="-0.24994659260841701"/>
      </left>
      <right/>
      <top style="hair">
        <color theme="9" tint="-0.24994659260841701"/>
      </top>
      <bottom/>
      <diagonal/>
    </border>
    <border>
      <left/>
      <right style="hair">
        <color theme="9" tint="-0.24994659260841701"/>
      </right>
      <top style="hair">
        <color theme="9" tint="-0.24994659260841701"/>
      </top>
      <bottom/>
      <diagonal/>
    </border>
    <border>
      <left style="hair">
        <color theme="9" tint="-0.24994659260841701"/>
      </left>
      <right/>
      <top/>
      <bottom/>
      <diagonal/>
    </border>
    <border>
      <left/>
      <right style="hair">
        <color theme="9" tint="-0.24994659260841701"/>
      </right>
      <top/>
      <bottom/>
      <diagonal/>
    </border>
    <border>
      <left style="hair">
        <color theme="9" tint="-0.24994659260841701"/>
      </left>
      <right style="hair">
        <color indexed="44"/>
      </right>
      <top/>
      <bottom/>
      <diagonal/>
    </border>
    <border>
      <left style="hair">
        <color theme="9" tint="-0.24994659260841701"/>
      </left>
      <right/>
      <top/>
      <bottom style="hair">
        <color theme="9" tint="-0.24994659260841701"/>
      </bottom>
      <diagonal/>
    </border>
    <border>
      <left/>
      <right style="hair">
        <color theme="9" tint="-0.24994659260841701"/>
      </right>
      <top/>
      <bottom style="hair">
        <color theme="9" tint="-0.24994659260841701"/>
      </bottom>
      <diagonal/>
    </border>
    <border>
      <left/>
      <right/>
      <top style="hair">
        <color theme="9" tint="-0.24994659260841701"/>
      </top>
      <bottom/>
      <diagonal/>
    </border>
    <border>
      <left/>
      <right/>
      <top/>
      <bottom style="hair">
        <color theme="9" tint="-0.24994659260841701"/>
      </bottom>
      <diagonal/>
    </border>
    <border>
      <left style="thin">
        <color theme="6" tint="-0.24994659260841701"/>
      </left>
      <right/>
      <top style="thin">
        <color theme="6" tint="-0.24994659260841701"/>
      </top>
      <bottom/>
      <diagonal/>
    </border>
    <border>
      <left/>
      <right style="thin">
        <color theme="6" tint="-0.24994659260841701"/>
      </right>
      <top style="thin">
        <color theme="6" tint="-0.24994659260841701"/>
      </top>
      <bottom/>
      <diagonal/>
    </border>
    <border>
      <left style="thin">
        <color theme="6" tint="-0.24994659260841701"/>
      </left>
      <right/>
      <top/>
      <bottom/>
      <diagonal/>
    </border>
    <border>
      <left/>
      <right style="thin">
        <color theme="6" tint="-0.24994659260841701"/>
      </right>
      <top/>
      <bottom/>
      <diagonal/>
    </border>
    <border>
      <left style="thin">
        <color theme="6" tint="-0.24994659260841701"/>
      </left>
      <right/>
      <top/>
      <bottom style="thin">
        <color theme="6" tint="-0.24994659260841701"/>
      </bottom>
      <diagonal/>
    </border>
    <border>
      <left/>
      <right style="thin">
        <color theme="6" tint="-0.24994659260841701"/>
      </right>
      <top/>
      <bottom style="thin">
        <color theme="6" tint="-0.24994659260841701"/>
      </bottom>
      <diagonal/>
    </border>
    <border>
      <left style="thin">
        <color theme="6" tint="-0.24994659260841701"/>
      </left>
      <right style="thin">
        <color theme="6" tint="-0.24994659260841701"/>
      </right>
      <top/>
      <bottom style="thin">
        <color theme="6" tint="-0.24994659260841701"/>
      </bottom>
      <diagonal/>
    </border>
    <border>
      <left style="thin">
        <color theme="6" tint="-0.24994659260841701"/>
      </left>
      <right/>
      <top style="thin">
        <color theme="6" tint="-0.24994659260841701"/>
      </top>
      <bottom style="thin">
        <color theme="6" tint="-0.24994659260841701"/>
      </bottom>
      <diagonal/>
    </border>
    <border>
      <left/>
      <right style="thin">
        <color theme="6" tint="-0.24994659260841701"/>
      </right>
      <top style="thin">
        <color theme="6" tint="-0.24994659260841701"/>
      </top>
      <bottom style="thin">
        <color theme="6" tint="-0.24994659260841701"/>
      </bottom>
      <diagonal/>
    </border>
    <border>
      <left/>
      <right/>
      <top style="thin">
        <color theme="6" tint="-0.24994659260841701"/>
      </top>
      <bottom/>
      <diagonal/>
    </border>
    <border>
      <left/>
      <right style="hair">
        <color indexed="44"/>
      </right>
      <top style="thin">
        <color theme="6" tint="-0.24994659260841701"/>
      </top>
      <bottom/>
      <diagonal/>
    </border>
    <border>
      <left/>
      <right style="thin">
        <color theme="6" tint="-0.24994659260841701"/>
      </right>
      <top style="thin">
        <color indexed="44"/>
      </top>
      <bottom/>
      <diagonal/>
    </border>
    <border>
      <left style="hair">
        <color indexed="44"/>
      </left>
      <right/>
      <top/>
      <bottom style="thin">
        <color theme="6" tint="-0.24994659260841701"/>
      </bottom>
      <diagonal/>
    </border>
    <border>
      <left/>
      <right/>
      <top/>
      <bottom style="thin">
        <color theme="6" tint="-0.24994659260841701"/>
      </bottom>
      <diagonal/>
    </border>
    <border>
      <left/>
      <right style="hair">
        <color indexed="44"/>
      </right>
      <top/>
      <bottom style="thin">
        <color theme="6" tint="-0.24994659260841701"/>
      </bottom>
      <diagonal/>
    </border>
    <border>
      <left/>
      <right/>
      <top style="thin">
        <color theme="6" tint="-0.24994659260841701"/>
      </top>
      <bottom style="thin">
        <color theme="6" tint="-0.24994659260841701"/>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style="thin">
        <color theme="8" tint="-0.24994659260841701"/>
      </right>
      <top/>
      <bottom style="thin">
        <color theme="8" tint="-0.24994659260841701"/>
      </bottom>
      <diagonal/>
    </border>
    <border>
      <left style="thin">
        <color theme="8" tint="-0.24994659260841701"/>
      </left>
      <right/>
      <top style="thin">
        <color theme="8" tint="-0.24994659260841701"/>
      </top>
      <bottom/>
      <diagonal/>
    </border>
    <border>
      <left/>
      <right style="thin">
        <color theme="8" tint="-0.24994659260841701"/>
      </right>
      <top style="thin">
        <color theme="8" tint="-0.24994659260841701"/>
      </top>
      <bottom/>
      <diagonal/>
    </border>
    <border>
      <left/>
      <right/>
      <top style="thin">
        <color theme="8" tint="-0.24994659260841701"/>
      </top>
      <bottom/>
      <diagonal/>
    </border>
    <border>
      <left/>
      <right style="hair">
        <color indexed="44"/>
      </right>
      <top style="thin">
        <color theme="8" tint="-0.24994659260841701"/>
      </top>
      <bottom/>
      <diagonal/>
    </border>
    <border>
      <left/>
      <right style="thin">
        <color theme="8" tint="-0.24994659260841701"/>
      </right>
      <top style="thin">
        <color indexed="44"/>
      </top>
      <bottom/>
      <diagonal/>
    </border>
    <border>
      <left style="hair">
        <color indexed="44"/>
      </left>
      <right/>
      <top/>
      <bottom style="thin">
        <color theme="8" tint="-0.24994659260841701"/>
      </bottom>
      <diagonal/>
    </border>
    <border>
      <left/>
      <right/>
      <top/>
      <bottom style="thin">
        <color theme="8" tint="-0.24994659260841701"/>
      </bottom>
      <diagonal/>
    </border>
    <border>
      <left/>
      <right style="hair">
        <color indexed="44"/>
      </right>
      <top/>
      <bottom style="thin">
        <color theme="8" tint="-0.24994659260841701"/>
      </bottom>
      <diagonal/>
    </border>
  </borders>
  <cellStyleXfs count="2">
    <xf numFmtId="0" fontId="0" fillId="0" borderId="0"/>
    <xf numFmtId="0" fontId="1" fillId="0" borderId="0" applyNumberFormat="0" applyFill="0" applyBorder="0" applyAlignment="0" applyProtection="0">
      <alignment vertical="top"/>
      <protection locked="0"/>
    </xf>
  </cellStyleXfs>
  <cellXfs count="277">
    <xf numFmtId="0" fontId="0" fillId="0" borderId="0" xfId="0"/>
    <xf numFmtId="0" fontId="3" fillId="0" borderId="0" xfId="0" applyFont="1"/>
    <xf numFmtId="0" fontId="3" fillId="0" borderId="0" xfId="0" applyFont="1" applyProtection="1">
      <protection hidden="1"/>
    </xf>
    <xf numFmtId="0" fontId="5" fillId="0" borderId="0" xfId="0" applyFont="1" applyAlignment="1" applyProtection="1">
      <alignment vertical="center"/>
      <protection hidden="1"/>
    </xf>
    <xf numFmtId="0" fontId="4" fillId="0" borderId="0" xfId="0" applyFont="1" applyAlignment="1" applyProtection="1">
      <alignment horizontal="right" vertical="center"/>
      <protection hidden="1"/>
    </xf>
    <xf numFmtId="0" fontId="4" fillId="0" borderId="0" xfId="0" applyFont="1" applyAlignment="1" applyProtection="1">
      <alignment vertical="center"/>
      <protection hidden="1"/>
    </xf>
    <xf numFmtId="0" fontId="7" fillId="0" borderId="0" xfId="0" applyFont="1" applyProtection="1">
      <protection hidden="1"/>
    </xf>
    <xf numFmtId="0" fontId="3" fillId="0" borderId="0" xfId="0" applyFont="1" applyProtection="1">
      <protection locked="0"/>
    </xf>
    <xf numFmtId="0" fontId="6" fillId="0" borderId="0" xfId="0" applyFont="1" applyProtection="1">
      <protection locked="0"/>
    </xf>
    <xf numFmtId="0" fontId="9" fillId="0" borderId="0" xfId="0" applyFont="1"/>
    <xf numFmtId="0" fontId="9" fillId="0" borderId="0" xfId="0" applyFont="1" applyProtection="1">
      <protection locked="0"/>
    </xf>
    <xf numFmtId="0" fontId="9" fillId="0" borderId="0" xfId="0" applyFont="1" applyAlignment="1" applyProtection="1">
      <alignment horizontal="left" indent="1"/>
      <protection locked="0"/>
    </xf>
    <xf numFmtId="0" fontId="9" fillId="0" borderId="0" xfId="0" applyFont="1" applyAlignment="1">
      <alignment vertical="center"/>
    </xf>
    <xf numFmtId="0" fontId="9" fillId="0" borderId="0" xfId="0" applyFont="1" applyAlignment="1" applyProtection="1">
      <alignment vertical="center"/>
      <protection locked="0"/>
    </xf>
    <xf numFmtId="0" fontId="9" fillId="0" borderId="0" xfId="0" applyFont="1" applyAlignment="1" applyProtection="1">
      <alignment horizontal="left" vertical="center"/>
      <protection locked="0"/>
    </xf>
    <xf numFmtId="0" fontId="8" fillId="3" borderId="12" xfId="0" applyFont="1" applyFill="1" applyBorder="1" applyAlignment="1" applyProtection="1">
      <alignment horizontal="center" vertical="center"/>
      <protection locked="0"/>
    </xf>
    <xf numFmtId="0" fontId="8" fillId="3" borderId="12" xfId="0" applyFont="1" applyFill="1" applyBorder="1" applyAlignment="1" applyProtection="1">
      <alignment horizontal="left" vertical="center"/>
      <protection locked="0"/>
    </xf>
    <xf numFmtId="0" fontId="8" fillId="2" borderId="12" xfId="0" applyFont="1" applyFill="1" applyBorder="1" applyAlignment="1" applyProtection="1">
      <alignment horizontal="center" vertical="center"/>
      <protection locked="0"/>
    </xf>
    <xf numFmtId="0" fontId="8" fillId="2" borderId="12" xfId="0" applyFont="1" applyFill="1" applyBorder="1" applyAlignment="1" applyProtection="1">
      <alignment horizontal="left" vertical="center"/>
      <protection locked="0"/>
    </xf>
    <xf numFmtId="0" fontId="9" fillId="0" borderId="14" xfId="0" applyFont="1" applyFill="1" applyBorder="1" applyAlignment="1" applyProtection="1">
      <alignment vertical="center"/>
      <protection locked="0"/>
    </xf>
    <xf numFmtId="166" fontId="9" fillId="0" borderId="14" xfId="0" applyNumberFormat="1" applyFont="1" applyFill="1" applyBorder="1" applyAlignment="1" applyProtection="1">
      <alignment vertical="center"/>
      <protection locked="0"/>
    </xf>
    <xf numFmtId="165" fontId="9" fillId="0" borderId="14" xfId="0" applyNumberFormat="1" applyFont="1" applyFill="1" applyBorder="1" applyAlignment="1" applyProtection="1">
      <alignment vertical="center"/>
      <protection locked="0"/>
    </xf>
    <xf numFmtId="0" fontId="9" fillId="0" borderId="14" xfId="0" applyFont="1" applyFill="1" applyBorder="1" applyAlignment="1" applyProtection="1">
      <alignment horizontal="left" vertical="center"/>
      <protection locked="0"/>
    </xf>
    <xf numFmtId="0" fontId="9" fillId="0" borderId="15" xfId="0" applyFont="1" applyFill="1" applyBorder="1" applyAlignment="1" applyProtection="1">
      <alignment vertical="center"/>
      <protection locked="0"/>
    </xf>
    <xf numFmtId="166" fontId="9" fillId="0" borderId="15" xfId="0" applyNumberFormat="1" applyFont="1" applyFill="1" applyBorder="1" applyAlignment="1">
      <alignment vertical="center"/>
    </xf>
    <xf numFmtId="0" fontId="9" fillId="0" borderId="15" xfId="0" applyFont="1" applyFill="1" applyBorder="1" applyAlignment="1">
      <alignment horizontal="left" vertical="center"/>
    </xf>
    <xf numFmtId="0" fontId="9" fillId="0" borderId="2" xfId="0" applyFont="1" applyFill="1" applyBorder="1" applyAlignment="1" applyProtection="1">
      <alignment vertical="center"/>
      <protection locked="0"/>
    </xf>
    <xf numFmtId="166" fontId="9" fillId="0" borderId="2" xfId="0" applyNumberFormat="1" applyFont="1" applyFill="1" applyBorder="1" applyAlignment="1" applyProtection="1">
      <alignment vertical="center"/>
      <protection locked="0"/>
    </xf>
    <xf numFmtId="0" fontId="9" fillId="0" borderId="2" xfId="0" applyFont="1" applyFill="1" applyBorder="1" applyAlignment="1" applyProtection="1">
      <alignment horizontal="left" vertical="center"/>
      <protection locked="0"/>
    </xf>
    <xf numFmtId="0" fontId="9" fillId="0" borderId="13" xfId="0" applyFont="1" applyFill="1" applyBorder="1" applyAlignment="1" applyProtection="1">
      <alignment vertical="center"/>
      <protection locked="0"/>
    </xf>
    <xf numFmtId="166" fontId="9" fillId="0" borderId="13" xfId="0" applyNumberFormat="1" applyFont="1" applyFill="1" applyBorder="1" applyAlignment="1" applyProtection="1">
      <alignment vertical="center"/>
      <protection locked="0"/>
    </xf>
    <xf numFmtId="165" fontId="9" fillId="0" borderId="13" xfId="0" applyNumberFormat="1" applyFont="1" applyFill="1" applyBorder="1" applyAlignment="1" applyProtection="1">
      <alignment vertical="center"/>
      <protection locked="0"/>
    </xf>
    <xf numFmtId="0" fontId="9" fillId="0" borderId="13" xfId="0" applyFont="1" applyFill="1" applyBorder="1" applyAlignment="1" applyProtection="1">
      <alignment horizontal="left" vertical="center"/>
      <protection locked="0"/>
    </xf>
    <xf numFmtId="0" fontId="9" fillId="0" borderId="11" xfId="0" applyFont="1" applyFill="1" applyBorder="1" applyAlignment="1" applyProtection="1">
      <alignment vertical="center"/>
      <protection locked="0"/>
    </xf>
    <xf numFmtId="166" fontId="9" fillId="0" borderId="11" xfId="0" applyNumberFormat="1" applyFont="1" applyFill="1" applyBorder="1" applyAlignment="1">
      <alignment vertical="center"/>
    </xf>
    <xf numFmtId="0" fontId="9" fillId="0" borderId="11" xfId="0" applyFont="1" applyFill="1" applyBorder="1" applyAlignment="1">
      <alignment horizontal="left" vertical="center"/>
    </xf>
    <xf numFmtId="0" fontId="9" fillId="0" borderId="1" xfId="0" applyFont="1" applyFill="1" applyBorder="1" applyAlignment="1" applyProtection="1">
      <alignment vertical="center"/>
      <protection locked="0"/>
    </xf>
    <xf numFmtId="166" fontId="9" fillId="0" borderId="1" xfId="0" applyNumberFormat="1" applyFont="1" applyFill="1" applyBorder="1" applyAlignment="1" applyProtection="1">
      <alignment vertical="center"/>
      <protection locked="0"/>
    </xf>
    <xf numFmtId="0" fontId="9" fillId="0" borderId="1" xfId="0" applyFont="1" applyFill="1" applyBorder="1" applyAlignment="1" applyProtection="1">
      <alignment horizontal="left" vertical="center"/>
      <protection locked="0"/>
    </xf>
    <xf numFmtId="166" fontId="9" fillId="0" borderId="1" xfId="0" applyNumberFormat="1" applyFont="1" applyFill="1" applyBorder="1" applyAlignment="1">
      <alignment vertical="center"/>
    </xf>
    <xf numFmtId="0" fontId="9" fillId="0" borderId="1" xfId="0" applyFont="1" applyFill="1" applyBorder="1" applyAlignment="1">
      <alignment vertical="center"/>
    </xf>
    <xf numFmtId="166" fontId="9" fillId="0" borderId="11" xfId="0" applyNumberFormat="1" applyFont="1" applyFill="1" applyBorder="1" applyAlignment="1" applyProtection="1">
      <alignment vertical="center" wrapText="1"/>
      <protection locked="0"/>
    </xf>
    <xf numFmtId="0" fontId="9" fillId="0" borderId="11" xfId="0" applyFont="1" applyFill="1" applyBorder="1" applyAlignment="1" applyProtection="1">
      <alignment horizontal="left" vertical="center" wrapText="1"/>
      <protection locked="0"/>
    </xf>
    <xf numFmtId="166" fontId="9" fillId="0" borderId="0" xfId="0" applyNumberFormat="1" applyFont="1" applyAlignment="1">
      <alignment vertical="center"/>
    </xf>
    <xf numFmtId="16" fontId="9" fillId="0" borderId="13" xfId="0" applyNumberFormat="1" applyFont="1" applyFill="1" applyBorder="1" applyAlignment="1" applyProtection="1">
      <alignment vertical="center"/>
      <protection locked="0"/>
    </xf>
    <xf numFmtId="0" fontId="12" fillId="0" borderId="0" xfId="0" applyFont="1" applyAlignment="1">
      <alignment vertical="center"/>
    </xf>
    <xf numFmtId="0" fontId="12" fillId="0" borderId="16" xfId="0" applyFont="1" applyBorder="1" applyAlignment="1">
      <alignment vertical="center"/>
    </xf>
    <xf numFmtId="0" fontId="10" fillId="4" borderId="12" xfId="0" applyFont="1" applyFill="1" applyBorder="1" applyAlignment="1" applyProtection="1">
      <alignment horizontal="left" vertical="center"/>
      <protection locked="0"/>
    </xf>
    <xf numFmtId="0" fontId="13" fillId="0" borderId="16" xfId="0" applyFont="1" applyBorder="1" applyAlignment="1">
      <alignment vertical="center"/>
    </xf>
    <xf numFmtId="0" fontId="14" fillId="0" borderId="0" xfId="0" applyFont="1" applyProtection="1">
      <protection locked="0"/>
    </xf>
    <xf numFmtId="0" fontId="15" fillId="0" borderId="0" xfId="0" applyFont="1" applyProtection="1">
      <protection locked="0"/>
    </xf>
    <xf numFmtId="0" fontId="11" fillId="0" borderId="0" xfId="0" applyFont="1" applyProtection="1">
      <protection locked="0"/>
    </xf>
    <xf numFmtId="0" fontId="11" fillId="0" borderId="0" xfId="0" applyFont="1" applyFill="1" applyAlignment="1" applyProtection="1">
      <alignment horizontal="center"/>
      <protection locked="0"/>
    </xf>
    <xf numFmtId="0" fontId="11" fillId="0" borderId="0" xfId="0" applyFont="1" applyAlignment="1" applyProtection="1">
      <alignment vertical="center"/>
      <protection locked="0"/>
    </xf>
    <xf numFmtId="0" fontId="14" fillId="0" borderId="0" xfId="0" applyFont="1" applyAlignment="1" applyProtection="1">
      <alignment vertical="center"/>
      <protection locked="0"/>
    </xf>
    <xf numFmtId="0" fontId="15" fillId="0" borderId="0" xfId="0" applyFont="1" applyAlignment="1" applyProtection="1">
      <alignment vertical="center"/>
      <protection locked="0"/>
    </xf>
    <xf numFmtId="0" fontId="11" fillId="0" borderId="0" xfId="0" applyFont="1" applyAlignment="1" applyProtection="1">
      <alignment horizontal="center"/>
      <protection locked="0"/>
    </xf>
    <xf numFmtId="0" fontId="14" fillId="0" borderId="0" xfId="0" applyFont="1" applyBorder="1" applyProtection="1">
      <protection locked="0"/>
    </xf>
    <xf numFmtId="0" fontId="15" fillId="0" borderId="0" xfId="0" applyFont="1" applyBorder="1" applyProtection="1">
      <protection locked="0"/>
    </xf>
    <xf numFmtId="0" fontId="11" fillId="0" borderId="0" xfId="0" applyFont="1" applyBorder="1" applyProtection="1">
      <protection locked="0"/>
    </xf>
    <xf numFmtId="0" fontId="11" fillId="0" borderId="0" xfId="0" applyFont="1" applyBorder="1" applyAlignment="1" applyProtection="1">
      <alignment horizontal="center"/>
      <protection locked="0"/>
    </xf>
    <xf numFmtId="0" fontId="16" fillId="0" borderId="0" xfId="0" applyFont="1" applyProtection="1">
      <protection locked="0"/>
    </xf>
    <xf numFmtId="0" fontId="17" fillId="0" borderId="0" xfId="0" applyFont="1" applyProtection="1">
      <protection locked="0"/>
    </xf>
    <xf numFmtId="0" fontId="18" fillId="0" borderId="0" xfId="0" applyFont="1" applyProtection="1">
      <protection locked="0"/>
    </xf>
    <xf numFmtId="0" fontId="18" fillId="0" borderId="0" xfId="0" applyFont="1" applyFill="1" applyAlignment="1" applyProtection="1">
      <alignment horizontal="center"/>
      <protection locked="0"/>
    </xf>
    <xf numFmtId="0" fontId="10" fillId="5" borderId="12" xfId="0" applyFont="1" applyFill="1" applyBorder="1" applyAlignment="1" applyProtection="1">
      <alignment horizontal="center" vertical="center"/>
      <protection locked="0"/>
    </xf>
    <xf numFmtId="0" fontId="10" fillId="5" borderId="12" xfId="0" applyFont="1" applyFill="1" applyBorder="1" applyAlignment="1" applyProtection="1">
      <alignment horizontal="left" vertical="center"/>
      <protection locked="0"/>
    </xf>
    <xf numFmtId="0" fontId="9" fillId="0" borderId="0" xfId="0" applyFont="1" applyAlignment="1" applyProtection="1">
      <alignment vertical="center"/>
      <protection hidden="1"/>
    </xf>
    <xf numFmtId="165" fontId="22" fillId="0" borderId="5" xfId="0" applyNumberFormat="1" applyFont="1" applyBorder="1" applyAlignment="1" applyProtection="1">
      <alignment horizontal="right" vertical="center"/>
      <protection hidden="1"/>
    </xf>
    <xf numFmtId="0" fontId="22" fillId="0" borderId="3" xfId="0" applyNumberFormat="1" applyFont="1" applyBorder="1" applyAlignment="1" applyProtection="1">
      <alignment horizontal="left" vertical="center"/>
      <protection hidden="1"/>
    </xf>
    <xf numFmtId="0" fontId="23" fillId="0" borderId="0" xfId="0" applyFont="1" applyAlignment="1" applyProtection="1">
      <alignment vertical="center"/>
      <protection locked="0"/>
    </xf>
    <xf numFmtId="165" fontId="22" fillId="0" borderId="6" xfId="0" applyNumberFormat="1" applyFont="1" applyBorder="1" applyAlignment="1" applyProtection="1">
      <alignment horizontal="right" vertical="center"/>
      <protection hidden="1"/>
    </xf>
    <xf numFmtId="0" fontId="22" fillId="0" borderId="7" xfId="0" applyNumberFormat="1" applyFont="1" applyBorder="1" applyAlignment="1" applyProtection="1">
      <alignment horizontal="left" vertical="center"/>
      <protection hidden="1"/>
    </xf>
    <xf numFmtId="0" fontId="24" fillId="0" borderId="10" xfId="0" applyFont="1" applyFill="1" applyBorder="1" applyAlignment="1" applyProtection="1">
      <alignment horizontal="center" vertical="center"/>
      <protection hidden="1"/>
    </xf>
    <xf numFmtId="0" fontId="26" fillId="0" borderId="0" xfId="0" applyFont="1" applyAlignment="1" applyProtection="1">
      <alignment horizontal="right" vertical="center"/>
      <protection locked="0"/>
    </xf>
    <xf numFmtId="0" fontId="26" fillId="0" borderId="0" xfId="0" applyFont="1" applyAlignment="1" applyProtection="1">
      <alignment vertical="center"/>
      <protection locked="0"/>
    </xf>
    <xf numFmtId="0" fontId="22" fillId="0" borderId="0" xfId="0" applyFont="1" applyAlignment="1" applyProtection="1">
      <alignment vertical="center"/>
      <protection locked="0"/>
    </xf>
    <xf numFmtId="0" fontId="27" fillId="0" borderId="0" xfId="0" applyFont="1" applyAlignment="1" applyProtection="1">
      <alignment vertical="center"/>
      <protection locked="0"/>
    </xf>
    <xf numFmtId="0" fontId="22" fillId="0" borderId="0" xfId="0" applyFont="1" applyAlignment="1" applyProtection="1">
      <alignment vertical="center"/>
      <protection hidden="1"/>
    </xf>
    <xf numFmtId="0" fontId="22" fillId="0" borderId="0" xfId="0" applyFont="1" applyProtection="1">
      <protection locked="0"/>
    </xf>
    <xf numFmtId="0" fontId="22" fillId="0" borderId="4" xfId="0" applyFont="1" applyBorder="1" applyAlignment="1" applyProtection="1">
      <alignment horizontal="left" vertical="center"/>
      <protection locked="0"/>
    </xf>
    <xf numFmtId="0" fontId="22" fillId="0" borderId="0" xfId="0" applyFont="1" applyBorder="1" applyProtection="1">
      <protection locked="0"/>
    </xf>
    <xf numFmtId="0" fontId="21" fillId="0" borderId="0" xfId="0" applyFont="1" applyProtection="1">
      <protection locked="0"/>
    </xf>
    <xf numFmtId="0" fontId="22" fillId="6" borderId="0" xfId="0" applyFont="1" applyFill="1" applyBorder="1" applyAlignment="1" applyProtection="1">
      <alignment vertical="center"/>
      <protection locked="0"/>
    </xf>
    <xf numFmtId="0" fontId="22" fillId="6" borderId="5" xfId="0" applyFont="1" applyFill="1" applyBorder="1" applyAlignment="1" applyProtection="1">
      <alignment horizontal="right" vertical="center"/>
      <protection hidden="1"/>
    </xf>
    <xf numFmtId="0" fontId="22" fillId="6" borderId="0" xfId="0" applyFont="1" applyFill="1" applyBorder="1" applyAlignment="1" applyProtection="1">
      <alignment horizontal="right" vertical="center"/>
      <protection hidden="1"/>
    </xf>
    <xf numFmtId="164" fontId="30" fillId="6" borderId="0" xfId="0" applyNumberFormat="1" applyFont="1" applyFill="1" applyBorder="1" applyAlignment="1" applyProtection="1">
      <alignment horizontal="right" vertical="center"/>
      <protection hidden="1"/>
    </xf>
    <xf numFmtId="0" fontId="31" fillId="6" borderId="0" xfId="0" applyFont="1" applyFill="1" applyBorder="1" applyAlignment="1" applyProtection="1">
      <alignment vertical="center"/>
      <protection locked="0"/>
    </xf>
    <xf numFmtId="0" fontId="30" fillId="6" borderId="8" xfId="0" applyFont="1" applyFill="1" applyBorder="1" applyAlignment="1" applyProtection="1">
      <alignment horizontal="right" vertical="center"/>
      <protection hidden="1"/>
    </xf>
    <xf numFmtId="0" fontId="31" fillId="6" borderId="8" xfId="0" applyFont="1" applyFill="1" applyBorder="1" applyAlignment="1" applyProtection="1">
      <alignment vertical="center"/>
      <protection locked="0"/>
    </xf>
    <xf numFmtId="0" fontId="31" fillId="6" borderId="4" xfId="0" applyFont="1" applyFill="1" applyBorder="1" applyAlignment="1" applyProtection="1">
      <alignment vertical="center"/>
      <protection locked="0"/>
    </xf>
    <xf numFmtId="0" fontId="31" fillId="6" borderId="0" xfId="0" applyFont="1" applyFill="1" applyBorder="1" applyAlignment="1" applyProtection="1">
      <alignment horizontal="right" vertical="center"/>
      <protection hidden="1"/>
    </xf>
    <xf numFmtId="0" fontId="31" fillId="6" borderId="0" xfId="0" applyFont="1" applyFill="1" applyBorder="1" applyAlignment="1" applyProtection="1">
      <alignment horizontal="right" vertical="center"/>
      <protection locked="0"/>
    </xf>
    <xf numFmtId="0" fontId="31" fillId="6" borderId="3" xfId="0" applyFont="1" applyFill="1" applyBorder="1" applyAlignment="1" applyProtection="1">
      <alignment horizontal="right" vertical="center"/>
      <protection hidden="1"/>
    </xf>
    <xf numFmtId="0" fontId="31" fillId="6" borderId="9" xfId="0" applyFont="1" applyFill="1" applyBorder="1" applyAlignment="1" applyProtection="1">
      <alignment horizontal="right" vertical="center"/>
      <protection hidden="1"/>
    </xf>
    <xf numFmtId="0" fontId="10" fillId="0" borderId="0" xfId="0" applyFont="1" applyBorder="1" applyAlignment="1" applyProtection="1">
      <alignment vertical="center"/>
      <protection locked="0"/>
    </xf>
    <xf numFmtId="0" fontId="10" fillId="0" borderId="0" xfId="0" applyFont="1" applyProtection="1">
      <protection locked="0"/>
    </xf>
    <xf numFmtId="0" fontId="29" fillId="0" borderId="0" xfId="0" applyFont="1" applyBorder="1" applyAlignment="1" applyProtection="1">
      <alignment vertical="center"/>
      <protection locked="0"/>
    </xf>
    <xf numFmtId="0" fontId="29" fillId="0" borderId="0" xfId="0" applyFont="1" applyBorder="1" applyProtection="1">
      <protection locked="0"/>
    </xf>
    <xf numFmtId="0" fontId="29" fillId="0" borderId="0" xfId="0" applyFont="1" applyProtection="1">
      <protection locked="0"/>
    </xf>
    <xf numFmtId="0" fontId="24" fillId="0" borderId="0" xfId="0" applyFont="1" applyBorder="1" applyAlignment="1" applyProtection="1">
      <alignment vertical="center"/>
      <protection locked="0"/>
    </xf>
    <xf numFmtId="0" fontId="24" fillId="0" borderId="0" xfId="0" applyFont="1" applyBorder="1" applyProtection="1">
      <protection locked="0"/>
    </xf>
    <xf numFmtId="0" fontId="24" fillId="0" borderId="0" xfId="0" applyFont="1" applyProtection="1">
      <protection locked="0"/>
    </xf>
    <xf numFmtId="0" fontId="32" fillId="7" borderId="0" xfId="0" applyFont="1" applyFill="1" applyBorder="1" applyAlignment="1" applyProtection="1">
      <alignment horizontal="center" vertical="center"/>
      <protection locked="0"/>
    </xf>
    <xf numFmtId="164" fontId="32" fillId="7" borderId="0" xfId="0" applyNumberFormat="1" applyFont="1" applyFill="1" applyBorder="1" applyAlignment="1" applyProtection="1">
      <alignment horizontal="center" vertical="center"/>
      <protection locked="0"/>
    </xf>
    <xf numFmtId="0" fontId="34" fillId="7" borderId="0" xfId="0" applyFont="1" applyFill="1" applyBorder="1" applyAlignment="1" applyProtection="1">
      <alignment horizontal="center" vertical="center"/>
      <protection locked="0"/>
    </xf>
    <xf numFmtId="0" fontId="10" fillId="0" borderId="0" xfId="0" applyFont="1" applyBorder="1" applyAlignment="1" applyProtection="1">
      <alignment horizontal="right" vertical="center"/>
      <protection locked="0"/>
    </xf>
    <xf numFmtId="0" fontId="35" fillId="0" borderId="0" xfId="0" applyFont="1" applyProtection="1">
      <protection locked="0"/>
    </xf>
    <xf numFmtId="0" fontId="33" fillId="8" borderId="0" xfId="0" applyFont="1" applyFill="1" applyBorder="1" applyAlignment="1" applyProtection="1">
      <alignment horizontal="center" vertical="center"/>
      <protection locked="0"/>
    </xf>
    <xf numFmtId="0" fontId="9" fillId="0" borderId="0" xfId="0" applyFont="1" applyFill="1" applyProtection="1">
      <protection locked="0"/>
    </xf>
    <xf numFmtId="14" fontId="9" fillId="0" borderId="0" xfId="0" applyNumberFormat="1" applyFont="1" applyFill="1" applyProtection="1">
      <protection locked="0"/>
    </xf>
    <xf numFmtId="166" fontId="9" fillId="0" borderId="0" xfId="0" applyNumberFormat="1" applyFont="1" applyFill="1" applyProtection="1">
      <protection locked="0"/>
    </xf>
    <xf numFmtId="0" fontId="9" fillId="0" borderId="0" xfId="0" quotePrefix="1" applyFont="1" applyFill="1" applyProtection="1">
      <protection locked="0"/>
    </xf>
    <xf numFmtId="0" fontId="20" fillId="8" borderId="0" xfId="1" applyFont="1" applyFill="1" applyAlignment="1" applyProtection="1">
      <alignment vertical="center" textRotation="255" wrapText="1"/>
      <protection locked="0"/>
    </xf>
    <xf numFmtId="0" fontId="11" fillId="8" borderId="0" xfId="0" applyFont="1" applyFill="1" applyProtection="1">
      <protection locked="0"/>
    </xf>
    <xf numFmtId="0" fontId="28" fillId="6" borderId="0" xfId="0" applyFont="1" applyFill="1" applyBorder="1" applyAlignment="1" applyProtection="1">
      <alignment vertical="center"/>
      <protection locked="0"/>
    </xf>
    <xf numFmtId="0" fontId="9" fillId="6" borderId="0" xfId="0" applyFont="1" applyFill="1" applyBorder="1" applyAlignment="1" applyProtection="1">
      <alignment horizontal="right" vertical="center"/>
      <protection hidden="1"/>
    </xf>
    <xf numFmtId="0" fontId="24" fillId="0" borderId="17" xfId="0" applyFont="1" applyFill="1" applyBorder="1" applyAlignment="1" applyProtection="1">
      <alignment horizontal="center" vertical="center"/>
      <protection hidden="1"/>
    </xf>
    <xf numFmtId="165" fontId="22" fillId="0" borderId="20" xfId="0" applyNumberFormat="1" applyFont="1" applyBorder="1" applyAlignment="1" applyProtection="1">
      <alignment horizontal="right" vertical="center"/>
      <protection hidden="1"/>
    </xf>
    <xf numFmtId="0" fontId="22" fillId="0" borderId="21" xfId="0" applyNumberFormat="1" applyFont="1" applyBorder="1" applyAlignment="1" applyProtection="1">
      <alignment horizontal="left" vertical="center"/>
      <protection hidden="1"/>
    </xf>
    <xf numFmtId="165" fontId="22" fillId="0" borderId="22" xfId="0" applyNumberFormat="1" applyFont="1" applyBorder="1" applyAlignment="1" applyProtection="1">
      <alignment horizontal="right" vertical="center"/>
      <protection hidden="1"/>
    </xf>
    <xf numFmtId="0" fontId="22" fillId="0" borderId="23" xfId="0" applyNumberFormat="1" applyFont="1" applyBorder="1" applyAlignment="1" applyProtection="1">
      <alignment horizontal="left" vertical="center"/>
      <protection hidden="1"/>
    </xf>
    <xf numFmtId="0" fontId="22" fillId="0" borderId="19" xfId="0" applyFont="1" applyBorder="1" applyAlignment="1" applyProtection="1">
      <alignment horizontal="left" vertical="center"/>
      <protection locked="0"/>
    </xf>
    <xf numFmtId="0" fontId="20" fillId="10" borderId="0" xfId="1" applyFont="1" applyFill="1" applyAlignment="1" applyProtection="1">
      <alignment vertical="center" textRotation="255" wrapText="1"/>
      <protection locked="0"/>
    </xf>
    <xf numFmtId="0" fontId="11" fillId="10" borderId="0" xfId="0" applyFont="1" applyFill="1" applyProtection="1">
      <protection locked="0"/>
    </xf>
    <xf numFmtId="0" fontId="24" fillId="11" borderId="0" xfId="0" applyFont="1" applyFill="1" applyBorder="1" applyAlignment="1" applyProtection="1">
      <alignment horizontal="center" vertical="center"/>
      <protection locked="0"/>
    </xf>
    <xf numFmtId="164" fontId="24" fillId="11" borderId="0" xfId="0" applyNumberFormat="1" applyFont="1" applyFill="1" applyBorder="1" applyAlignment="1" applyProtection="1">
      <alignment horizontal="center" vertical="center"/>
      <protection locked="0"/>
    </xf>
    <xf numFmtId="0" fontId="36" fillId="11" borderId="0" xfId="0" applyFont="1" applyFill="1" applyBorder="1" applyAlignment="1" applyProtection="1">
      <alignment horizontal="center" vertical="center"/>
      <protection locked="0"/>
    </xf>
    <xf numFmtId="0" fontId="33" fillId="9" borderId="0" xfId="0" applyFont="1" applyFill="1" applyBorder="1" applyAlignment="1" applyProtection="1">
      <alignment horizontal="center" vertical="center"/>
      <protection locked="0"/>
    </xf>
    <xf numFmtId="0" fontId="37" fillId="12" borderId="8" xfId="0" applyFont="1" applyFill="1" applyBorder="1" applyAlignment="1" applyProtection="1">
      <alignment horizontal="right" vertical="center"/>
      <protection hidden="1"/>
    </xf>
    <xf numFmtId="0" fontId="38" fillId="12" borderId="8" xfId="0" applyFont="1" applyFill="1" applyBorder="1" applyAlignment="1" applyProtection="1">
      <alignment vertical="center"/>
      <protection locked="0"/>
    </xf>
    <xf numFmtId="0" fontId="38" fillId="12" borderId="4" xfId="0" applyFont="1" applyFill="1" applyBorder="1" applyAlignment="1" applyProtection="1">
      <alignment vertical="center"/>
      <protection locked="0"/>
    </xf>
    <xf numFmtId="0" fontId="38" fillId="12" borderId="0" xfId="0" applyFont="1" applyFill="1" applyBorder="1" applyAlignment="1" applyProtection="1">
      <alignment horizontal="right" vertical="center"/>
      <protection hidden="1"/>
    </xf>
    <xf numFmtId="0" fontId="38" fillId="12" borderId="0" xfId="0" applyFont="1" applyFill="1" applyBorder="1" applyAlignment="1" applyProtection="1">
      <alignment horizontal="right" vertical="center"/>
      <protection locked="0"/>
    </xf>
    <xf numFmtId="0" fontId="38" fillId="12" borderId="3" xfId="0" applyFont="1" applyFill="1" applyBorder="1" applyAlignment="1" applyProtection="1">
      <alignment horizontal="right" vertical="center"/>
      <protection hidden="1"/>
    </xf>
    <xf numFmtId="0" fontId="38" fillId="12" borderId="9" xfId="0" applyFont="1" applyFill="1" applyBorder="1" applyAlignment="1" applyProtection="1">
      <alignment horizontal="right" vertical="center"/>
      <protection hidden="1"/>
    </xf>
    <xf numFmtId="0" fontId="28" fillId="12" borderId="0" xfId="0" applyFont="1" applyFill="1" applyBorder="1" applyAlignment="1" applyProtection="1">
      <alignment vertical="center"/>
      <protection locked="0"/>
    </xf>
    <xf numFmtId="0" fontId="9" fillId="12" borderId="0" xfId="0" applyFont="1" applyFill="1" applyBorder="1" applyAlignment="1" applyProtection="1">
      <alignment horizontal="right" vertical="center"/>
      <protection hidden="1"/>
    </xf>
    <xf numFmtId="0" fontId="22" fillId="12" borderId="0" xfId="0" applyFont="1" applyFill="1" applyBorder="1" applyAlignment="1" applyProtection="1">
      <alignment vertical="center"/>
      <protection locked="0"/>
    </xf>
    <xf numFmtId="164" fontId="9" fillId="12" borderId="0" xfId="0" applyNumberFormat="1" applyFont="1" applyFill="1" applyBorder="1" applyAlignment="1" applyProtection="1">
      <alignment horizontal="right" vertical="center"/>
      <protection hidden="1"/>
    </xf>
    <xf numFmtId="0" fontId="22" fillId="12" borderId="5" xfId="0" applyFont="1" applyFill="1" applyBorder="1" applyAlignment="1" applyProtection="1">
      <alignment horizontal="right" vertical="center"/>
      <protection hidden="1"/>
    </xf>
    <xf numFmtId="0" fontId="22" fillId="12" borderId="0" xfId="0" applyFont="1" applyFill="1" applyBorder="1" applyAlignment="1" applyProtection="1">
      <alignment horizontal="right" vertical="center"/>
      <protection hidden="1"/>
    </xf>
    <xf numFmtId="0" fontId="24" fillId="0" borderId="24" xfId="0" applyFont="1" applyFill="1" applyBorder="1" applyAlignment="1" applyProtection="1">
      <alignment horizontal="center" vertical="center"/>
      <protection hidden="1"/>
    </xf>
    <xf numFmtId="0" fontId="22" fillId="0" borderId="26" xfId="0" applyFont="1" applyBorder="1" applyAlignment="1" applyProtection="1">
      <alignment horizontal="left" vertical="center"/>
      <protection locked="0"/>
    </xf>
    <xf numFmtId="0" fontId="41" fillId="13" borderId="0" xfId="0" applyFont="1" applyFill="1" applyBorder="1" applyAlignment="1" applyProtection="1">
      <alignment horizontal="right" vertical="center"/>
      <protection hidden="1"/>
    </xf>
    <xf numFmtId="0" fontId="41" fillId="13" borderId="0" xfId="0" applyFont="1" applyFill="1" applyBorder="1" applyAlignment="1" applyProtection="1">
      <alignment horizontal="right" vertical="center"/>
      <protection locked="0"/>
    </xf>
    <xf numFmtId="0" fontId="41" fillId="13" borderId="9" xfId="0" applyFont="1" applyFill="1" applyBorder="1" applyAlignment="1" applyProtection="1">
      <alignment horizontal="right" vertical="center"/>
      <protection hidden="1"/>
    </xf>
    <xf numFmtId="0" fontId="39" fillId="13" borderId="32" xfId="0" applyFont="1" applyFill="1" applyBorder="1" applyAlignment="1" applyProtection="1">
      <alignment vertical="center"/>
      <protection locked="0"/>
    </xf>
    <xf numFmtId="0" fontId="40" fillId="13" borderId="32" xfId="0" applyFont="1" applyFill="1" applyBorder="1" applyAlignment="1" applyProtection="1">
      <alignment horizontal="right" vertical="center"/>
      <protection hidden="1"/>
    </xf>
    <xf numFmtId="0" fontId="41" fillId="13" borderId="32" xfId="0" applyFont="1" applyFill="1" applyBorder="1" applyAlignment="1" applyProtection="1">
      <alignment vertical="center"/>
      <protection locked="0"/>
    </xf>
    <xf numFmtId="164" fontId="40" fillId="13" borderId="32" xfId="0" applyNumberFormat="1" applyFont="1" applyFill="1" applyBorder="1" applyAlignment="1" applyProtection="1">
      <alignment horizontal="right" vertical="center"/>
      <protection hidden="1"/>
    </xf>
    <xf numFmtId="0" fontId="41" fillId="13" borderId="26" xfId="0" applyFont="1" applyFill="1" applyBorder="1" applyAlignment="1" applyProtection="1">
      <alignment vertical="center"/>
      <protection locked="0"/>
    </xf>
    <xf numFmtId="0" fontId="41" fillId="13" borderId="27" xfId="0" applyFont="1" applyFill="1" applyBorder="1" applyAlignment="1" applyProtection="1">
      <alignment horizontal="right" vertical="center"/>
      <protection hidden="1"/>
    </xf>
    <xf numFmtId="0" fontId="41" fillId="13" borderId="28" xfId="0" applyFont="1" applyFill="1" applyBorder="1" applyAlignment="1" applyProtection="1">
      <alignment horizontal="right" vertical="center"/>
      <protection hidden="1"/>
    </xf>
    <xf numFmtId="0" fontId="41" fillId="13" borderId="30" xfId="0" applyFont="1" applyFill="1" applyBorder="1" applyAlignment="1" applyProtection="1">
      <alignment horizontal="right" vertical="center"/>
      <protection hidden="1"/>
    </xf>
    <xf numFmtId="0" fontId="41" fillId="13" borderId="33" xfId="0" applyFont="1" applyFill="1" applyBorder="1" applyAlignment="1" applyProtection="1">
      <alignment horizontal="right" vertical="center"/>
      <protection hidden="1"/>
    </xf>
    <xf numFmtId="0" fontId="41" fillId="13" borderId="31" xfId="0" applyFont="1" applyFill="1" applyBorder="1" applyAlignment="1" applyProtection="1">
      <alignment horizontal="right" vertical="center"/>
      <protection hidden="1"/>
    </xf>
    <xf numFmtId="0" fontId="20" fillId="14" borderId="0" xfId="1" applyFont="1" applyFill="1" applyAlignment="1" applyProtection="1">
      <alignment vertical="center" textRotation="255" wrapText="1"/>
      <protection locked="0"/>
    </xf>
    <xf numFmtId="0" fontId="11" fillId="14" borderId="0" xfId="0" applyFont="1" applyFill="1" applyProtection="1">
      <protection locked="0"/>
    </xf>
    <xf numFmtId="0" fontId="20" fillId="15" borderId="0" xfId="1" applyFont="1" applyFill="1" applyAlignment="1" applyProtection="1">
      <alignment vertical="center" textRotation="255" wrapText="1"/>
      <protection locked="0"/>
    </xf>
    <xf numFmtId="0" fontId="11" fillId="15" borderId="0" xfId="0" applyFont="1" applyFill="1" applyProtection="1">
      <protection locked="0"/>
    </xf>
    <xf numFmtId="0" fontId="22" fillId="15" borderId="0" xfId="0" applyFont="1" applyFill="1" applyBorder="1" applyAlignment="1" applyProtection="1">
      <alignment horizontal="right" vertical="center"/>
      <protection hidden="1"/>
    </xf>
    <xf numFmtId="0" fontId="44" fillId="15" borderId="0" xfId="0" applyFont="1" applyFill="1" applyBorder="1" applyAlignment="1" applyProtection="1">
      <alignment horizontal="right" vertical="center"/>
      <protection hidden="1"/>
    </xf>
    <xf numFmtId="0" fontId="44" fillId="15" borderId="9" xfId="0" applyFont="1" applyFill="1" applyBorder="1" applyAlignment="1" applyProtection="1">
      <alignment horizontal="right" vertical="center"/>
      <protection hidden="1"/>
    </xf>
    <xf numFmtId="0" fontId="22" fillId="0" borderId="36" xfId="0" applyFont="1" applyBorder="1" applyAlignment="1" applyProtection="1">
      <alignment horizontal="left" vertical="center"/>
      <protection locked="0"/>
    </xf>
    <xf numFmtId="0" fontId="22" fillId="0" borderId="36" xfId="0" applyNumberFormat="1" applyFont="1" applyBorder="1" applyAlignment="1" applyProtection="1">
      <alignment horizontal="left" vertical="center"/>
      <protection hidden="1"/>
    </xf>
    <xf numFmtId="165" fontId="22" fillId="0" borderId="37" xfId="0" applyNumberFormat="1" applyFont="1" applyBorder="1" applyAlignment="1" applyProtection="1">
      <alignment horizontal="right" vertical="center"/>
      <protection hidden="1"/>
    </xf>
    <xf numFmtId="0" fontId="22" fillId="0" borderId="38" xfId="0" applyNumberFormat="1" applyFont="1" applyBorder="1" applyAlignment="1" applyProtection="1">
      <alignment horizontal="left" vertical="center"/>
      <protection hidden="1"/>
    </xf>
    <xf numFmtId="165" fontId="22" fillId="0" borderId="39" xfId="0" applyNumberFormat="1" applyFont="1" applyBorder="1" applyAlignment="1" applyProtection="1">
      <alignment horizontal="right" vertical="center"/>
      <protection hidden="1"/>
    </xf>
    <xf numFmtId="0" fontId="24" fillId="0" borderId="40" xfId="0" applyFont="1" applyFill="1" applyBorder="1" applyAlignment="1" applyProtection="1">
      <alignment horizontal="center" vertical="center"/>
      <protection hidden="1"/>
    </xf>
    <xf numFmtId="0" fontId="22" fillId="15" borderId="5" xfId="0" applyFont="1" applyFill="1" applyBorder="1" applyAlignment="1" applyProtection="1">
      <alignment horizontal="right" vertical="center"/>
      <protection hidden="1"/>
    </xf>
    <xf numFmtId="0" fontId="38" fillId="15" borderId="0" xfId="0" applyFont="1" applyFill="1" applyBorder="1" applyAlignment="1" applyProtection="1">
      <alignment horizontal="right" vertical="center"/>
      <protection hidden="1"/>
    </xf>
    <xf numFmtId="0" fontId="44" fillId="15" borderId="3" xfId="0" applyFont="1" applyFill="1" applyBorder="1" applyAlignment="1" applyProtection="1">
      <alignment horizontal="right" vertical="center"/>
      <protection hidden="1"/>
    </xf>
    <xf numFmtId="0" fontId="28" fillId="15" borderId="43" xfId="0" applyFont="1" applyFill="1" applyBorder="1" applyAlignment="1" applyProtection="1">
      <alignment vertical="center"/>
      <protection locked="0"/>
    </xf>
    <xf numFmtId="0" fontId="22" fillId="15" borderId="43" xfId="0" applyFont="1" applyFill="1" applyBorder="1" applyAlignment="1" applyProtection="1">
      <alignment vertical="center"/>
      <protection locked="0"/>
    </xf>
    <xf numFmtId="0" fontId="9" fillId="15" borderId="43" xfId="0" applyFont="1" applyFill="1" applyBorder="1" applyAlignment="1" applyProtection="1">
      <alignment horizontal="right" vertical="center"/>
      <protection hidden="1"/>
    </xf>
    <xf numFmtId="164" fontId="9" fillId="15" borderId="43" xfId="0" applyNumberFormat="1" applyFont="1" applyFill="1" applyBorder="1" applyAlignment="1" applyProtection="1">
      <alignment horizontal="right" vertical="center"/>
      <protection hidden="1"/>
    </xf>
    <xf numFmtId="0" fontId="38" fillId="15" borderId="43" xfId="0" applyFont="1" applyFill="1" applyBorder="1" applyAlignment="1" applyProtection="1">
      <alignment vertical="center"/>
      <protection locked="0"/>
    </xf>
    <xf numFmtId="0" fontId="43" fillId="15" borderId="43" xfId="0" applyFont="1" applyFill="1" applyBorder="1" applyAlignment="1" applyProtection="1">
      <alignment horizontal="right" vertical="center"/>
      <protection hidden="1"/>
    </xf>
    <xf numFmtId="0" fontId="44" fillId="15" borderId="44" xfId="0" applyFont="1" applyFill="1" applyBorder="1" applyAlignment="1" applyProtection="1">
      <alignment vertical="center"/>
      <protection locked="0"/>
    </xf>
    <xf numFmtId="0" fontId="43" fillId="15" borderId="35" xfId="0" applyFont="1" applyFill="1" applyBorder="1" applyAlignment="1" applyProtection="1">
      <alignment horizontal="right" vertical="center"/>
      <protection hidden="1"/>
    </xf>
    <xf numFmtId="0" fontId="22" fillId="15" borderId="36" xfId="0" applyFont="1" applyFill="1" applyBorder="1" applyAlignment="1" applyProtection="1">
      <alignment horizontal="right" vertical="center"/>
      <protection hidden="1"/>
    </xf>
    <xf numFmtId="0" fontId="44" fillId="15" borderId="37" xfId="0" applyFont="1" applyFill="1" applyBorder="1" applyAlignment="1" applyProtection="1">
      <alignment horizontal="right" vertical="center"/>
      <protection locked="0"/>
    </xf>
    <xf numFmtId="0" fontId="44" fillId="15" borderId="45" xfId="0" applyFont="1" applyFill="1" applyBorder="1" applyAlignment="1" applyProtection="1">
      <alignment horizontal="right" vertical="center"/>
      <protection hidden="1"/>
    </xf>
    <xf numFmtId="0" fontId="44" fillId="15" borderId="37" xfId="0" applyFont="1" applyFill="1" applyBorder="1" applyAlignment="1" applyProtection="1">
      <alignment horizontal="right" vertical="center"/>
      <protection hidden="1"/>
    </xf>
    <xf numFmtId="0" fontId="22" fillId="15" borderId="38" xfId="0" applyFont="1" applyFill="1" applyBorder="1" applyAlignment="1" applyProtection="1">
      <alignment horizontal="right" vertical="center"/>
      <protection hidden="1"/>
    </xf>
    <xf numFmtId="0" fontId="22" fillId="15" borderId="46" xfId="0" applyFont="1" applyFill="1" applyBorder="1" applyAlignment="1" applyProtection="1">
      <alignment horizontal="right" vertical="center"/>
      <protection hidden="1"/>
    </xf>
    <xf numFmtId="0" fontId="22" fillId="15" borderId="47" xfId="0" applyFont="1" applyFill="1" applyBorder="1" applyAlignment="1" applyProtection="1">
      <alignment horizontal="right" vertical="center"/>
      <protection hidden="1"/>
    </xf>
    <xf numFmtId="0" fontId="38" fillId="15" borderId="47" xfId="0" applyFont="1" applyFill="1" applyBorder="1" applyAlignment="1" applyProtection="1">
      <alignment horizontal="right" vertical="center"/>
      <protection hidden="1"/>
    </xf>
    <xf numFmtId="0" fontId="44" fillId="15" borderId="47" xfId="0" applyFont="1" applyFill="1" applyBorder="1" applyAlignment="1" applyProtection="1">
      <alignment horizontal="right" vertical="center"/>
      <protection hidden="1"/>
    </xf>
    <xf numFmtId="0" fontId="44" fillId="15" borderId="48" xfId="0" applyFont="1" applyFill="1" applyBorder="1" applyAlignment="1" applyProtection="1">
      <alignment horizontal="right" vertical="center"/>
      <protection hidden="1"/>
    </xf>
    <xf numFmtId="0" fontId="44" fillId="15" borderId="39" xfId="0" applyFont="1" applyFill="1" applyBorder="1" applyAlignment="1" applyProtection="1">
      <alignment horizontal="right" vertical="center"/>
      <protection hidden="1"/>
    </xf>
    <xf numFmtId="0" fontId="45" fillId="15" borderId="34" xfId="0" applyFont="1" applyFill="1" applyBorder="1" applyAlignment="1" applyProtection="1">
      <alignment vertical="center"/>
      <protection locked="0"/>
    </xf>
    <xf numFmtId="0" fontId="45" fillId="13" borderId="25" xfId="0" applyFont="1" applyFill="1" applyBorder="1" applyAlignment="1" applyProtection="1">
      <alignment vertical="center"/>
      <protection locked="0"/>
    </xf>
    <xf numFmtId="0" fontId="45" fillId="12" borderId="0" xfId="0" applyFont="1" applyFill="1" applyBorder="1" applyAlignment="1" applyProtection="1">
      <alignment vertical="center"/>
      <protection locked="0"/>
    </xf>
    <xf numFmtId="0" fontId="45" fillId="6" borderId="0" xfId="0" applyFont="1" applyFill="1" applyBorder="1" applyAlignment="1" applyProtection="1">
      <alignment vertical="center"/>
      <protection locked="0"/>
    </xf>
    <xf numFmtId="0" fontId="22" fillId="0" borderId="55" xfId="0" applyFont="1" applyBorder="1" applyAlignment="1" applyProtection="1">
      <alignment horizontal="left" vertical="center"/>
      <protection locked="0"/>
    </xf>
    <xf numFmtId="0" fontId="24" fillId="0" borderId="50" xfId="0" applyFont="1" applyFill="1" applyBorder="1" applyAlignment="1" applyProtection="1">
      <alignment horizontal="center" vertical="center"/>
      <protection hidden="1"/>
    </xf>
    <xf numFmtId="0" fontId="22" fillId="4" borderId="5" xfId="0" applyFont="1" applyFill="1" applyBorder="1" applyAlignment="1" applyProtection="1">
      <alignment horizontal="right" vertical="center"/>
      <protection hidden="1"/>
    </xf>
    <xf numFmtId="0" fontId="22" fillId="4" borderId="0" xfId="0" applyFont="1" applyFill="1" applyBorder="1" applyAlignment="1" applyProtection="1">
      <alignment horizontal="right" vertical="center"/>
      <protection hidden="1"/>
    </xf>
    <xf numFmtId="0" fontId="38" fillId="4" borderId="0" xfId="0" applyFont="1" applyFill="1" applyBorder="1" applyAlignment="1" applyProtection="1">
      <alignment horizontal="right" vertical="center"/>
      <protection hidden="1"/>
    </xf>
    <xf numFmtId="0" fontId="47" fillId="4" borderId="0" xfId="0" applyFont="1" applyFill="1" applyBorder="1" applyAlignment="1" applyProtection="1">
      <alignment horizontal="right" vertical="center"/>
      <protection hidden="1"/>
    </xf>
    <xf numFmtId="0" fontId="47" fillId="4" borderId="3" xfId="0" applyFont="1" applyFill="1" applyBorder="1" applyAlignment="1" applyProtection="1">
      <alignment horizontal="right" vertical="center"/>
      <protection hidden="1"/>
    </xf>
    <xf numFmtId="0" fontId="47" fillId="4" borderId="9" xfId="0" applyFont="1" applyFill="1" applyBorder="1" applyAlignment="1" applyProtection="1">
      <alignment horizontal="right" vertical="center"/>
      <protection hidden="1"/>
    </xf>
    <xf numFmtId="0" fontId="45" fillId="4" borderId="55" xfId="0" applyFont="1" applyFill="1" applyBorder="1" applyAlignment="1" applyProtection="1">
      <alignment vertical="center"/>
      <protection locked="0"/>
    </xf>
    <xf numFmtId="0" fontId="28" fillId="4" borderId="57" xfId="0" applyFont="1" applyFill="1" applyBorder="1" applyAlignment="1" applyProtection="1">
      <alignment vertical="center"/>
      <protection locked="0"/>
    </xf>
    <xf numFmtId="0" fontId="22" fillId="4" borderId="57" xfId="0" applyFont="1" applyFill="1" applyBorder="1" applyAlignment="1" applyProtection="1">
      <alignment vertical="center"/>
      <protection locked="0"/>
    </xf>
    <xf numFmtId="0" fontId="9" fillId="4" borderId="57" xfId="0" applyFont="1" applyFill="1" applyBorder="1" applyAlignment="1" applyProtection="1">
      <alignment horizontal="right" vertical="center"/>
      <protection hidden="1"/>
    </xf>
    <xf numFmtId="164" fontId="9" fillId="4" borderId="57" xfId="0" applyNumberFormat="1" applyFont="1" applyFill="1" applyBorder="1" applyAlignment="1" applyProtection="1">
      <alignment horizontal="right" vertical="center"/>
      <protection hidden="1"/>
    </xf>
    <xf numFmtId="0" fontId="38" fillId="4" borderId="57" xfId="0" applyFont="1" applyFill="1" applyBorder="1" applyAlignment="1" applyProtection="1">
      <alignment vertical="center"/>
      <protection locked="0"/>
    </xf>
    <xf numFmtId="0" fontId="46" fillId="4" borderId="57" xfId="0" applyFont="1" applyFill="1" applyBorder="1" applyAlignment="1" applyProtection="1">
      <alignment horizontal="right" vertical="center"/>
      <protection hidden="1"/>
    </xf>
    <xf numFmtId="0" fontId="47" fillId="4" borderId="58" xfId="0" applyFont="1" applyFill="1" applyBorder="1" applyAlignment="1" applyProtection="1">
      <alignment vertical="center"/>
      <protection locked="0"/>
    </xf>
    <xf numFmtId="0" fontId="46" fillId="4" borderId="56" xfId="0" applyFont="1" applyFill="1" applyBorder="1" applyAlignment="1" applyProtection="1">
      <alignment horizontal="right" vertical="center"/>
      <protection hidden="1"/>
    </xf>
    <xf numFmtId="0" fontId="22" fillId="4" borderId="51" xfId="0" applyFont="1" applyFill="1" applyBorder="1" applyAlignment="1" applyProtection="1">
      <alignment horizontal="right" vertical="center"/>
      <protection hidden="1"/>
    </xf>
    <xf numFmtId="0" fontId="47" fillId="4" borderId="52" xfId="0" applyFont="1" applyFill="1" applyBorder="1" applyAlignment="1" applyProtection="1">
      <alignment horizontal="right" vertical="center"/>
      <protection locked="0"/>
    </xf>
    <xf numFmtId="0" fontId="47" fillId="4" borderId="59" xfId="0" applyFont="1" applyFill="1" applyBorder="1" applyAlignment="1" applyProtection="1">
      <alignment horizontal="right" vertical="center"/>
      <protection hidden="1"/>
    </xf>
    <xf numFmtId="0" fontId="47" fillId="4" borderId="52" xfId="0" applyFont="1" applyFill="1" applyBorder="1" applyAlignment="1" applyProtection="1">
      <alignment horizontal="right" vertical="center"/>
      <protection hidden="1"/>
    </xf>
    <xf numFmtId="0" fontId="22" fillId="4" borderId="53" xfId="0" applyFont="1" applyFill="1" applyBorder="1" applyAlignment="1" applyProtection="1">
      <alignment horizontal="right" vertical="center"/>
      <protection hidden="1"/>
    </xf>
    <xf numFmtId="0" fontId="22" fillId="4" borderId="60" xfId="0" applyFont="1" applyFill="1" applyBorder="1" applyAlignment="1" applyProtection="1">
      <alignment horizontal="right" vertical="center"/>
      <protection hidden="1"/>
    </xf>
    <xf numFmtId="0" fontId="22" fillId="4" borderId="61" xfId="0" applyFont="1" applyFill="1" applyBorder="1" applyAlignment="1" applyProtection="1">
      <alignment horizontal="right" vertical="center"/>
      <protection hidden="1"/>
    </xf>
    <xf numFmtId="0" fontId="38" fillId="4" borderId="61" xfId="0" applyFont="1" applyFill="1" applyBorder="1" applyAlignment="1" applyProtection="1">
      <alignment horizontal="right" vertical="center"/>
      <protection hidden="1"/>
    </xf>
    <xf numFmtId="0" fontId="47" fillId="4" borderId="61" xfId="0" applyFont="1" applyFill="1" applyBorder="1" applyAlignment="1" applyProtection="1">
      <alignment horizontal="right" vertical="center"/>
      <protection hidden="1"/>
    </xf>
    <xf numFmtId="0" fontId="47" fillId="4" borderId="62" xfId="0" applyFont="1" applyFill="1" applyBorder="1" applyAlignment="1" applyProtection="1">
      <alignment horizontal="right" vertical="center"/>
      <protection hidden="1"/>
    </xf>
    <xf numFmtId="0" fontId="47" fillId="4" borderId="54" xfId="0" applyFont="1" applyFill="1" applyBorder="1" applyAlignment="1" applyProtection="1">
      <alignment horizontal="right" vertical="center"/>
      <protection hidden="1"/>
    </xf>
    <xf numFmtId="0" fontId="24" fillId="13" borderId="0" xfId="0" applyFont="1" applyFill="1" applyBorder="1" applyAlignment="1" applyProtection="1">
      <alignment horizontal="center" vertical="center"/>
      <protection locked="0"/>
    </xf>
    <xf numFmtId="164" fontId="24" fillId="13" borderId="0" xfId="0" applyNumberFormat="1" applyFont="1" applyFill="1" applyBorder="1" applyAlignment="1" applyProtection="1">
      <alignment horizontal="center" vertical="center"/>
      <protection locked="0"/>
    </xf>
    <xf numFmtId="0" fontId="48" fillId="13" borderId="0" xfId="0" applyFont="1" applyFill="1" applyBorder="1" applyAlignment="1" applyProtection="1">
      <alignment horizontal="center" vertical="center"/>
      <protection locked="0"/>
    </xf>
    <xf numFmtId="0" fontId="33" fillId="16" borderId="0" xfId="0" applyFont="1" applyFill="1" applyBorder="1" applyAlignment="1" applyProtection="1">
      <alignment horizontal="center" vertical="center"/>
      <protection locked="0"/>
    </xf>
    <xf numFmtId="0" fontId="33" fillId="17" borderId="0" xfId="0" applyFont="1" applyFill="1" applyBorder="1" applyAlignment="1" applyProtection="1">
      <alignment horizontal="center" vertical="center"/>
      <protection locked="0"/>
    </xf>
    <xf numFmtId="0" fontId="49" fillId="0" borderId="0" xfId="0" applyFont="1"/>
    <xf numFmtId="0" fontId="50" fillId="0" borderId="0" xfId="0" applyFont="1"/>
    <xf numFmtId="0" fontId="51" fillId="0" borderId="0" xfId="1" applyFont="1" applyAlignment="1" applyProtection="1"/>
    <xf numFmtId="0" fontId="52" fillId="0" borderId="0" xfId="1" applyFont="1" applyAlignment="1" applyProtection="1"/>
    <xf numFmtId="0" fontId="9" fillId="0" borderId="12" xfId="0" applyFont="1" applyBorder="1" applyAlignment="1" applyProtection="1">
      <alignment horizontal="center" vertical="center"/>
      <protection locked="0"/>
    </xf>
    <xf numFmtId="14" fontId="25" fillId="8" borderId="0" xfId="0" applyNumberFormat="1" applyFont="1" applyFill="1" applyBorder="1" applyAlignment="1" applyProtection="1">
      <alignment horizontal="center" vertical="center"/>
      <protection locked="0"/>
    </xf>
    <xf numFmtId="0" fontId="25" fillId="8" borderId="0" xfId="0" applyFont="1" applyFill="1" applyBorder="1" applyAlignment="1" applyProtection="1">
      <alignment horizontal="center" vertical="center"/>
      <protection locked="0"/>
    </xf>
    <xf numFmtId="0" fontId="19" fillId="6" borderId="0" xfId="0" applyFont="1" applyFill="1" applyBorder="1" applyAlignment="1" applyProtection="1">
      <alignment horizontal="center" vertical="center"/>
      <protection locked="0"/>
    </xf>
    <xf numFmtId="14" fontId="25" fillId="10" borderId="0" xfId="0" applyNumberFormat="1" applyFont="1" applyFill="1" applyBorder="1" applyAlignment="1" applyProtection="1">
      <alignment horizontal="center" vertical="center"/>
      <protection locked="0"/>
    </xf>
    <xf numFmtId="0" fontId="25" fillId="10" borderId="0" xfId="0" applyFont="1" applyFill="1" applyBorder="1" applyAlignment="1" applyProtection="1">
      <alignment horizontal="center" vertical="center"/>
      <protection locked="0"/>
    </xf>
    <xf numFmtId="0" fontId="19" fillId="12" borderId="18" xfId="0" applyFont="1" applyFill="1" applyBorder="1" applyAlignment="1" applyProtection="1">
      <alignment horizontal="center" vertical="center"/>
      <protection locked="0"/>
    </xf>
    <xf numFmtId="0" fontId="19" fillId="12" borderId="19" xfId="0" applyFont="1" applyFill="1" applyBorder="1" applyAlignment="1" applyProtection="1">
      <alignment horizontal="center" vertical="center"/>
      <protection locked="0"/>
    </xf>
    <xf numFmtId="0" fontId="22" fillId="0" borderId="27" xfId="0" applyNumberFormat="1" applyFont="1" applyBorder="1" applyAlignment="1" applyProtection="1">
      <alignment horizontal="center" vertical="center"/>
      <protection hidden="1"/>
    </xf>
    <xf numFmtId="0" fontId="22" fillId="0" borderId="28" xfId="0" applyNumberFormat="1" applyFont="1" applyBorder="1" applyAlignment="1" applyProtection="1">
      <alignment horizontal="center" vertical="center"/>
      <protection hidden="1"/>
    </xf>
    <xf numFmtId="0" fontId="22" fillId="0" borderId="29" xfId="0" applyNumberFormat="1" applyFont="1" applyBorder="1" applyAlignment="1" applyProtection="1">
      <alignment horizontal="center" vertical="center"/>
      <protection hidden="1"/>
    </xf>
    <xf numFmtId="0" fontId="22" fillId="0" borderId="30" xfId="0" applyNumberFormat="1" applyFont="1" applyBorder="1" applyAlignment="1" applyProtection="1">
      <alignment horizontal="center" vertical="center"/>
      <protection hidden="1"/>
    </xf>
    <xf numFmtId="0" fontId="22" fillId="0" borderId="31" xfId="0" applyNumberFormat="1" applyFont="1" applyBorder="1" applyAlignment="1" applyProtection="1">
      <alignment horizontal="center" vertical="center"/>
      <protection hidden="1"/>
    </xf>
    <xf numFmtId="14" fontId="42" fillId="14" borderId="0" xfId="0" applyNumberFormat="1" applyFont="1" applyFill="1" applyBorder="1" applyAlignment="1" applyProtection="1">
      <alignment horizontal="center" vertical="center"/>
      <protection locked="0"/>
    </xf>
    <xf numFmtId="0" fontId="42" fillId="14" borderId="0" xfId="0" applyFont="1" applyFill="1" applyBorder="1" applyAlignment="1" applyProtection="1">
      <alignment horizontal="center" vertical="center"/>
      <protection locked="0"/>
    </xf>
    <xf numFmtId="0" fontId="19" fillId="13" borderId="25" xfId="0" applyFont="1" applyFill="1" applyBorder="1" applyAlignment="1" applyProtection="1">
      <alignment horizontal="center" vertical="center"/>
      <protection locked="0"/>
    </xf>
    <xf numFmtId="0" fontId="19" fillId="13" borderId="26" xfId="0" applyFont="1" applyFill="1" applyBorder="1" applyAlignment="1" applyProtection="1">
      <alignment horizontal="center" vertical="center"/>
      <protection locked="0"/>
    </xf>
    <xf numFmtId="0" fontId="19" fillId="13" borderId="0" xfId="0" applyFont="1" applyFill="1" applyBorder="1" applyAlignment="1" applyProtection="1">
      <alignment horizontal="center" vertical="center"/>
      <protection locked="0"/>
    </xf>
    <xf numFmtId="0" fontId="22" fillId="0" borderId="27" xfId="0" applyNumberFormat="1" applyFont="1" applyBorder="1" applyAlignment="1" applyProtection="1">
      <alignment horizontal="left" vertical="center"/>
      <protection hidden="1"/>
    </xf>
    <xf numFmtId="0" fontId="22" fillId="0" borderId="28" xfId="0" applyNumberFormat="1" applyFont="1" applyBorder="1" applyAlignment="1" applyProtection="1">
      <alignment horizontal="left" vertical="center"/>
      <protection hidden="1"/>
    </xf>
    <xf numFmtId="0" fontId="22" fillId="0" borderId="29" xfId="0" applyNumberFormat="1" applyFont="1" applyBorder="1" applyAlignment="1" applyProtection="1">
      <alignment horizontal="left" vertical="center"/>
      <protection hidden="1"/>
    </xf>
    <xf numFmtId="0" fontId="22" fillId="0" borderId="30" xfId="0" applyNumberFormat="1" applyFont="1" applyBorder="1" applyAlignment="1" applyProtection="1">
      <alignment horizontal="left" vertical="center"/>
      <protection hidden="1"/>
    </xf>
    <xf numFmtId="0" fontId="22" fillId="0" borderId="31" xfId="0" applyNumberFormat="1" applyFont="1" applyBorder="1" applyAlignment="1" applyProtection="1">
      <alignment horizontal="left" vertical="center"/>
      <protection hidden="1"/>
    </xf>
    <xf numFmtId="14" fontId="42" fillId="15" borderId="0" xfId="0" applyNumberFormat="1" applyFont="1" applyFill="1" applyBorder="1" applyAlignment="1" applyProtection="1">
      <alignment horizontal="center" vertical="center"/>
      <protection locked="0"/>
    </xf>
    <xf numFmtId="0" fontId="42" fillId="15" borderId="0" xfId="0" applyFont="1" applyFill="1" applyBorder="1" applyAlignment="1" applyProtection="1">
      <alignment horizontal="center" vertical="center"/>
      <protection locked="0"/>
    </xf>
    <xf numFmtId="0" fontId="19" fillId="15" borderId="41" xfId="0" applyFont="1" applyFill="1" applyBorder="1" applyAlignment="1" applyProtection="1">
      <alignment horizontal="center" vertical="center"/>
      <protection locked="0"/>
    </xf>
    <xf numFmtId="0" fontId="19" fillId="15" borderId="42" xfId="0" applyFont="1" applyFill="1" applyBorder="1" applyAlignment="1" applyProtection="1">
      <alignment horizontal="center" vertical="center"/>
      <protection locked="0"/>
    </xf>
    <xf numFmtId="0" fontId="22" fillId="0" borderId="51" xfId="0" applyNumberFormat="1" applyFont="1" applyBorder="1" applyAlignment="1" applyProtection="1">
      <alignment horizontal="left" vertical="center"/>
      <protection hidden="1"/>
    </xf>
    <xf numFmtId="0" fontId="22" fillId="0" borderId="52" xfId="0" applyNumberFormat="1" applyFont="1" applyBorder="1" applyAlignment="1" applyProtection="1">
      <alignment horizontal="left" vertical="center"/>
      <protection hidden="1"/>
    </xf>
    <xf numFmtId="0" fontId="22" fillId="0" borderId="53" xfId="0" applyNumberFormat="1" applyFont="1" applyBorder="1" applyAlignment="1" applyProtection="1">
      <alignment horizontal="left" vertical="center"/>
      <protection hidden="1"/>
    </xf>
    <xf numFmtId="0" fontId="22" fillId="0" borderId="54" xfId="0" applyNumberFormat="1" applyFont="1" applyBorder="1" applyAlignment="1" applyProtection="1">
      <alignment horizontal="left" vertical="center"/>
      <protection hidden="1"/>
    </xf>
    <xf numFmtId="14" fontId="42" fillId="4" borderId="0" xfId="0" applyNumberFormat="1" applyFont="1" applyFill="1" applyBorder="1" applyAlignment="1" applyProtection="1">
      <alignment horizontal="center" vertical="center"/>
      <protection locked="0"/>
    </xf>
    <xf numFmtId="0" fontId="42" fillId="4" borderId="0" xfId="0" applyFont="1" applyFill="1" applyBorder="1" applyAlignment="1" applyProtection="1">
      <alignment horizontal="center" vertical="center"/>
      <protection locked="0"/>
    </xf>
    <xf numFmtId="0" fontId="19" fillId="4" borderId="55" xfId="0" applyFont="1" applyFill="1" applyBorder="1" applyAlignment="1" applyProtection="1">
      <alignment horizontal="center" vertical="center"/>
      <protection locked="0"/>
    </xf>
    <xf numFmtId="0" fontId="19" fillId="4" borderId="56" xfId="0" applyFont="1" applyFill="1" applyBorder="1" applyAlignment="1" applyProtection="1">
      <alignment horizontal="center" vertical="center"/>
      <protection locked="0"/>
    </xf>
    <xf numFmtId="0" fontId="19" fillId="4" borderId="49" xfId="0" applyFont="1" applyFill="1" applyBorder="1" applyAlignment="1" applyProtection="1">
      <alignment horizontal="center" vertical="center"/>
      <protection locked="0"/>
    </xf>
    <xf numFmtId="0" fontId="19" fillId="4" borderId="42" xfId="0" applyFont="1" applyFill="1" applyBorder="1" applyAlignment="1" applyProtection="1">
      <alignment horizontal="center" vertical="center"/>
      <protection locked="0"/>
    </xf>
    <xf numFmtId="0" fontId="19" fillId="4" borderId="41" xfId="0" applyFont="1" applyFill="1" applyBorder="1" applyAlignment="1" applyProtection="1">
      <alignment horizontal="center" vertical="center"/>
      <protection locked="0"/>
    </xf>
    <xf numFmtId="0" fontId="49" fillId="0" borderId="0" xfId="0" applyFont="1" applyAlignment="1">
      <alignment horizontal="left"/>
    </xf>
    <xf numFmtId="0" fontId="52" fillId="0" borderId="0" xfId="1" applyFont="1" applyAlignment="1" applyProtection="1">
      <alignment horizontal="left"/>
    </xf>
    <xf numFmtId="0" fontId="33" fillId="8" borderId="0" xfId="0" applyFont="1" applyFill="1" applyBorder="1" applyAlignment="1" applyProtection="1">
      <alignment horizontal="center" vertical="center" textRotation="255"/>
      <protection locked="0"/>
    </xf>
    <xf numFmtId="0" fontId="33" fillId="9" borderId="0" xfId="0" applyFont="1" applyFill="1" applyBorder="1" applyAlignment="1" applyProtection="1">
      <alignment horizontal="center" vertical="center" textRotation="255"/>
      <protection locked="0"/>
    </xf>
    <xf numFmtId="0" fontId="33" fillId="16" borderId="0" xfId="0" applyFont="1" applyFill="1" applyBorder="1" applyAlignment="1" applyProtection="1">
      <alignment horizontal="center" vertical="center" textRotation="255"/>
      <protection locked="0"/>
    </xf>
    <xf numFmtId="0" fontId="33" fillId="17" borderId="0" xfId="0" applyFont="1" applyFill="1" applyBorder="1" applyAlignment="1" applyProtection="1">
      <alignment horizontal="center" vertical="center" textRotation="255"/>
      <protection locked="0"/>
    </xf>
  </cellXfs>
  <cellStyles count="2">
    <cellStyle name="Hyperlink" xfId="1" builtinId="8"/>
    <cellStyle name="Normal" xfId="0" builtinId="0"/>
  </cellStyles>
  <dxfs count="170">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patternType="solid">
          <fgColor indexed="41"/>
          <bgColor indexed="1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9"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indexed="9"/>
      </font>
      <fill>
        <patternFill>
          <bgColor indexed="10"/>
        </patternFill>
      </fill>
    </dxf>
    <dxf>
      <font>
        <b/>
        <i val="0"/>
        <condense val="0"/>
        <extend val="0"/>
        <color indexed="9"/>
      </font>
      <fill>
        <patternFill>
          <bgColor indexed="12"/>
        </patternFill>
      </fill>
    </dxf>
    <dxf>
      <font>
        <b/>
        <i val="0"/>
        <condense val="0"/>
        <extend val="0"/>
        <color auto="1"/>
      </font>
      <fill>
        <patternFill patternType="solid">
          <fgColor indexed="41"/>
          <bgColor theme="8" tint="0.79998168889431442"/>
        </patternFill>
      </fill>
    </dxf>
    <dxf>
      <font>
        <b/>
        <i val="0"/>
        <condense val="0"/>
        <extend val="0"/>
        <color auto="1"/>
      </font>
      <fill>
        <patternFill patternType="solid">
          <fgColor indexed="41"/>
          <bgColor theme="8" tint="0.79998168889431442"/>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Scroll" dx="16" fmlaLink="$O$32" horiz="1" max="23" page="10" val="6"/>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drawing3.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drawing4.x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drawing5.xml.rels><?xml version="1.0" encoding="UTF-8" standalone="yes"?>
<Relationships xmlns="http://schemas.openxmlformats.org/package/2006/relationships"><Relationship Id="rId2" Type="http://schemas.openxmlformats.org/officeDocument/2006/relationships/image" Target="../media/image18.emf"/><Relationship Id="rId1" Type="http://schemas.openxmlformats.org/officeDocument/2006/relationships/image" Target="../media/image17.emf"/></Relationships>
</file>

<file path=xl/drawings/_rels/drawing6.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hyperlink" Target="https://exceltemplate.net/?utm_source=template&amp;utm_medium=tbanner&amp;utm_campaign=copyright"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hyperlink" Target="https://exceltemplate.net/?utm_source=template&amp;utm_medium=tbanner&amp;utm_campaign=copyright" TargetMode="External"/></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1.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16.emf"/><Relationship Id="rId1" Type="http://schemas.openxmlformats.org/officeDocument/2006/relationships/image" Target="../media/image15.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20.emf"/><Relationship Id="rId1"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137160</xdr:colOff>
          <xdr:row>1</xdr:row>
          <xdr:rowOff>167640</xdr:rowOff>
        </xdr:from>
        <xdr:to>
          <xdr:col>0</xdr:col>
          <xdr:colOff>685800</xdr:colOff>
          <xdr:row>2</xdr:row>
          <xdr:rowOff>114300</xdr:rowOff>
        </xdr:to>
        <xdr:sp macro="" textlink="">
          <xdr:nvSpPr>
            <xdr:cNvPr id="2056" name="Scroll Bar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1047750</xdr:colOff>
          <xdr:row>30</xdr:row>
          <xdr:rowOff>81395</xdr:rowOff>
        </xdr:from>
        <xdr:to>
          <xdr:col>13</xdr:col>
          <xdr:colOff>1018454</xdr:colOff>
          <xdr:row>34</xdr:row>
          <xdr:rowOff>142355</xdr:rowOff>
        </xdr:to>
        <xdr:pic>
          <xdr:nvPicPr>
            <xdr:cNvPr id="2060" name="Picture 12">
              <a:extLst>
                <a:ext uri="{FF2B5EF4-FFF2-40B4-BE49-F238E27FC236}">
                  <a16:creationId xmlns:a16="http://schemas.microsoft.com/office/drawing/2014/main" id="{00000000-0008-0000-0100-00000C080000}"/>
                </a:ext>
              </a:extLst>
            </xdr:cNvPr>
            <xdr:cNvPicPr>
              <a:picLocks noChangeAspect="1" noChangeArrowheads="1"/>
              <a:extLst>
                <a:ext uri="{84589F7E-364E-4C9E-8A38-B11213B215E9}">
                  <a14:cameraTool cellRange="'Supporting Calendar'!$A$1:$H$7" spid="_x0000_s2126"/>
                </a:ext>
              </a:extLst>
            </xdr:cNvPicPr>
          </xdr:nvPicPr>
          <xdr:blipFill>
            <a:blip xmlns:r="http://schemas.openxmlformats.org/officeDocument/2006/relationships" r:embed="rId1"/>
            <a:srcRect/>
            <a:stretch>
              <a:fillRect/>
            </a:stretch>
          </xdr:blipFill>
          <xdr:spPr bwMode="auto">
            <a:xfrm>
              <a:off x="8274050" y="6272645"/>
              <a:ext cx="1386754" cy="8229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1082673</xdr:colOff>
          <xdr:row>30</xdr:row>
          <xdr:rowOff>81395</xdr:rowOff>
        </xdr:from>
        <xdr:to>
          <xdr:col>15</xdr:col>
          <xdr:colOff>1044006</xdr:colOff>
          <xdr:row>34</xdr:row>
          <xdr:rowOff>142355</xdr:rowOff>
        </xdr:to>
        <xdr:pic>
          <xdr:nvPicPr>
            <xdr:cNvPr id="2061" name="Picture 13">
              <a:extLst>
                <a:ext uri="{FF2B5EF4-FFF2-40B4-BE49-F238E27FC236}">
                  <a16:creationId xmlns:a16="http://schemas.microsoft.com/office/drawing/2014/main" id="{00000000-0008-0000-0100-00000D080000}"/>
                </a:ext>
              </a:extLst>
            </xdr:cNvPr>
            <xdr:cNvPicPr>
              <a:picLocks noChangeAspect="1" noChangeArrowheads="1"/>
              <a:extLst>
                <a:ext uri="{84589F7E-364E-4C9E-8A38-B11213B215E9}">
                  <a14:cameraTool cellRange="'Supporting Calendar'!$A$18:$H$24" spid="_x0000_s2127"/>
                </a:ext>
              </a:extLst>
            </xdr:cNvPicPr>
          </xdr:nvPicPr>
          <xdr:blipFill>
            <a:blip xmlns:r="http://schemas.openxmlformats.org/officeDocument/2006/relationships" r:embed="rId2"/>
            <a:srcRect/>
            <a:stretch>
              <a:fillRect/>
            </a:stretch>
          </xdr:blipFill>
          <xdr:spPr bwMode="auto">
            <a:xfrm>
              <a:off x="9725023" y="6272645"/>
              <a:ext cx="1377383" cy="8229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6350</xdr:colOff>
          <xdr:row>30</xdr:row>
          <xdr:rowOff>62075</xdr:rowOff>
        </xdr:from>
        <xdr:to>
          <xdr:col>13</xdr:col>
          <xdr:colOff>1054100</xdr:colOff>
          <xdr:row>34</xdr:row>
          <xdr:rowOff>107653</xdr:rowOff>
        </xdr:to>
        <xdr:pic>
          <xdr:nvPicPr>
            <xdr:cNvPr id="9" name="Picture 8">
              <a:extLst>
                <a:ext uri="{FF2B5EF4-FFF2-40B4-BE49-F238E27FC236}">
                  <a16:creationId xmlns:a16="http://schemas.microsoft.com/office/drawing/2014/main" id="{00000000-0008-0000-0200-000009000000}"/>
                </a:ext>
              </a:extLst>
            </xdr:cNvPr>
            <xdr:cNvPicPr>
              <a:picLocks noChangeAspect="1" noChangeArrowheads="1"/>
              <a:extLst>
                <a:ext uri="{84589F7E-364E-4C9E-8A38-B11213B215E9}">
                  <a14:cameraTool cellRange="'Supporting Calendar'!$A$26:$H$32" spid="_x0000_s5154"/>
                </a:ext>
              </a:extLst>
            </xdr:cNvPicPr>
          </xdr:nvPicPr>
          <xdr:blipFill>
            <a:blip xmlns:r="http://schemas.openxmlformats.org/officeDocument/2006/relationships" r:embed="rId1"/>
            <a:srcRect/>
            <a:stretch>
              <a:fillRect/>
            </a:stretch>
          </xdr:blipFill>
          <xdr:spPr bwMode="auto">
            <a:xfrm>
              <a:off x="8001000" y="6253325"/>
              <a:ext cx="1371600" cy="80757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14984</xdr:colOff>
          <xdr:row>30</xdr:row>
          <xdr:rowOff>50800</xdr:rowOff>
        </xdr:from>
        <xdr:to>
          <xdr:col>15</xdr:col>
          <xdr:colOff>1062734</xdr:colOff>
          <xdr:row>34</xdr:row>
          <xdr:rowOff>98901</xdr:rowOff>
        </xdr:to>
        <xdr:pic>
          <xdr:nvPicPr>
            <xdr:cNvPr id="10" name="Picture 9">
              <a:extLst>
                <a:ext uri="{FF2B5EF4-FFF2-40B4-BE49-F238E27FC236}">
                  <a16:creationId xmlns:a16="http://schemas.microsoft.com/office/drawing/2014/main" id="{00000000-0008-0000-0200-00000A000000}"/>
                </a:ext>
              </a:extLst>
            </xdr:cNvPr>
            <xdr:cNvPicPr>
              <a:picLocks noChangeAspect="1" noChangeArrowheads="1"/>
              <a:extLst>
                <a:ext uri="{84589F7E-364E-4C9E-8A38-B11213B215E9}">
                  <a14:cameraTool cellRange="'Supporting Calendar'!$A$43:$H$49" spid="_x0000_s5155"/>
                </a:ext>
              </a:extLst>
            </xdr:cNvPicPr>
          </xdr:nvPicPr>
          <xdr:blipFill>
            <a:blip xmlns:r="http://schemas.openxmlformats.org/officeDocument/2006/relationships" r:embed="rId2"/>
            <a:srcRect/>
            <a:stretch>
              <a:fillRect/>
            </a:stretch>
          </xdr:blipFill>
          <xdr:spPr bwMode="auto">
            <a:xfrm>
              <a:off x="9425684" y="6242050"/>
              <a:ext cx="1371600" cy="81010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19050</xdr:colOff>
          <xdr:row>30</xdr:row>
          <xdr:rowOff>69852</xdr:rowOff>
        </xdr:from>
        <xdr:to>
          <xdr:col>13</xdr:col>
          <xdr:colOff>1066800</xdr:colOff>
          <xdr:row>34</xdr:row>
          <xdr:rowOff>115430</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a:extLst>
                <a:ext uri="{84589F7E-364E-4C9E-8A38-B11213B215E9}">
                  <a14:cameraTool cellRange="'Supporting Calendar'!$A$51:$H$57" spid="_x0000_s6157"/>
                </a:ext>
              </a:extLst>
            </xdr:cNvPicPr>
          </xdr:nvPicPr>
          <xdr:blipFill>
            <a:blip xmlns:r="http://schemas.openxmlformats.org/officeDocument/2006/relationships" r:embed="rId1"/>
            <a:srcRect/>
            <a:stretch>
              <a:fillRect/>
            </a:stretch>
          </xdr:blipFill>
          <xdr:spPr bwMode="auto">
            <a:xfrm>
              <a:off x="7251700" y="6261102"/>
              <a:ext cx="1371600" cy="80757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6350</xdr:colOff>
          <xdr:row>30</xdr:row>
          <xdr:rowOff>63504</xdr:rowOff>
        </xdr:from>
        <xdr:to>
          <xdr:col>15</xdr:col>
          <xdr:colOff>1054100</xdr:colOff>
          <xdr:row>34</xdr:row>
          <xdr:rowOff>111604</xdr:rowOff>
        </xdr:to>
        <xdr:pic>
          <xdr:nvPicPr>
            <xdr:cNvPr id="7" name="Picture 6">
              <a:extLst>
                <a:ext uri="{FF2B5EF4-FFF2-40B4-BE49-F238E27FC236}">
                  <a16:creationId xmlns:a16="http://schemas.microsoft.com/office/drawing/2014/main" id="{00000000-0008-0000-0300-000007000000}"/>
                </a:ext>
              </a:extLst>
            </xdr:cNvPr>
            <xdr:cNvPicPr>
              <a:picLocks noChangeAspect="1" noChangeArrowheads="1"/>
              <a:extLst>
                <a:ext uri="{84589F7E-364E-4C9E-8A38-B11213B215E9}">
                  <a14:cameraTool cellRange="'Supporting Calendar'!$A$68:$H$74" spid="_x0000_s6158"/>
                </a:ext>
              </a:extLst>
            </xdr:cNvPicPr>
          </xdr:nvPicPr>
          <xdr:blipFill>
            <a:blip xmlns:r="http://schemas.openxmlformats.org/officeDocument/2006/relationships" r:embed="rId2"/>
            <a:srcRect/>
            <a:stretch>
              <a:fillRect/>
            </a:stretch>
          </xdr:blipFill>
          <xdr:spPr bwMode="auto">
            <a:xfrm>
              <a:off x="8655050" y="6254754"/>
              <a:ext cx="1371600" cy="810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6350</xdr:colOff>
          <xdr:row>30</xdr:row>
          <xdr:rowOff>76202</xdr:rowOff>
        </xdr:from>
        <xdr:to>
          <xdr:col>13</xdr:col>
          <xdr:colOff>285750</xdr:colOff>
          <xdr:row>34</xdr:row>
          <xdr:rowOff>121780</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a:extLst>
                <a:ext uri="{84589F7E-364E-4C9E-8A38-B11213B215E9}">
                  <a14:cameraTool cellRange="'Supporting Calendar'!$A$76:$H$82" spid="_x0000_s8201"/>
                </a:ext>
              </a:extLst>
            </xdr:cNvPicPr>
          </xdr:nvPicPr>
          <xdr:blipFill>
            <a:blip xmlns:r="http://schemas.openxmlformats.org/officeDocument/2006/relationships" r:embed="rId1"/>
            <a:srcRect/>
            <a:stretch>
              <a:fillRect/>
            </a:stretch>
          </xdr:blipFill>
          <xdr:spPr bwMode="auto">
            <a:xfrm>
              <a:off x="7239000" y="6267452"/>
              <a:ext cx="1371600" cy="80757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30</xdr:row>
          <xdr:rowOff>76202</xdr:rowOff>
        </xdr:from>
        <xdr:to>
          <xdr:col>15</xdr:col>
          <xdr:colOff>298450</xdr:colOff>
          <xdr:row>34</xdr:row>
          <xdr:rowOff>124302</xdr:rowOff>
        </xdr:to>
        <xdr:pic>
          <xdr:nvPicPr>
            <xdr:cNvPr id="5" name="Picture 4">
              <a:extLst>
                <a:ext uri="{FF2B5EF4-FFF2-40B4-BE49-F238E27FC236}">
                  <a16:creationId xmlns:a16="http://schemas.microsoft.com/office/drawing/2014/main" id="{00000000-0008-0000-0400-000005000000}"/>
                </a:ext>
              </a:extLst>
            </xdr:cNvPr>
            <xdr:cNvPicPr>
              <a:picLocks noChangeAspect="1" noChangeArrowheads="1"/>
              <a:extLst>
                <a:ext uri="{84589F7E-364E-4C9E-8A38-B11213B215E9}">
                  <a14:cameraTool cellRange="'Supporting Calendar'!$A$93:$H$99" spid="_x0000_s8202"/>
                </a:ext>
              </a:extLst>
            </xdr:cNvPicPr>
          </xdr:nvPicPr>
          <xdr:blipFill>
            <a:blip xmlns:r="http://schemas.openxmlformats.org/officeDocument/2006/relationships" r:embed="rId2"/>
            <a:srcRect/>
            <a:stretch>
              <a:fillRect/>
            </a:stretch>
          </xdr:blipFill>
          <xdr:spPr bwMode="auto">
            <a:xfrm>
              <a:off x="8667750" y="6267452"/>
              <a:ext cx="1371600" cy="810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12700</xdr:colOff>
          <xdr:row>30</xdr:row>
          <xdr:rowOff>69852</xdr:rowOff>
        </xdr:from>
        <xdr:to>
          <xdr:col>13</xdr:col>
          <xdr:colOff>292100</xdr:colOff>
          <xdr:row>34</xdr:row>
          <xdr:rowOff>115430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a:extLst>
                <a:ext uri="{84589F7E-364E-4C9E-8A38-B11213B215E9}">
                  <a14:cameraTool cellRange="'Supporting Calendar'!$A$101:$H$107" spid="_x0000_s9223"/>
                </a:ext>
              </a:extLst>
            </xdr:cNvPicPr>
          </xdr:nvPicPr>
          <xdr:blipFill>
            <a:blip xmlns:r="http://schemas.openxmlformats.org/officeDocument/2006/relationships" r:embed="rId1"/>
            <a:srcRect/>
            <a:stretch>
              <a:fillRect/>
            </a:stretch>
          </xdr:blipFill>
          <xdr:spPr bwMode="auto">
            <a:xfrm>
              <a:off x="7245350" y="6261102"/>
              <a:ext cx="1371600" cy="80757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6350</xdr:colOff>
          <xdr:row>30</xdr:row>
          <xdr:rowOff>69852</xdr:rowOff>
        </xdr:from>
        <xdr:to>
          <xdr:col>15</xdr:col>
          <xdr:colOff>285750</xdr:colOff>
          <xdr:row>34</xdr:row>
          <xdr:rowOff>117952</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a:extLst>
                <a:ext uri="{84589F7E-364E-4C9E-8A38-B11213B215E9}">
                  <a14:cameraTool cellRange="'Supporting Calendar'!$A$118:$H$124" spid="_x0000_s9224"/>
                </a:ext>
              </a:extLst>
            </xdr:cNvPicPr>
          </xdr:nvPicPr>
          <xdr:blipFill>
            <a:blip xmlns:r="http://schemas.openxmlformats.org/officeDocument/2006/relationships" r:embed="rId2"/>
            <a:srcRect/>
            <a:stretch>
              <a:fillRect/>
            </a:stretch>
          </xdr:blipFill>
          <xdr:spPr bwMode="auto">
            <a:xfrm>
              <a:off x="8655050" y="6261102"/>
              <a:ext cx="1371600" cy="810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28785</xdr:rowOff>
    </xdr:from>
    <xdr:to>
      <xdr:col>11</xdr:col>
      <xdr:colOff>755650</xdr:colOff>
      <xdr:row>38</xdr:row>
      <xdr:rowOff>454008</xdr:rowOff>
    </xdr:to>
    <xdr:pic>
      <xdr:nvPicPr>
        <xdr:cNvPr id="2" name="Picture 1">
          <a:hlinkClick xmlns:r="http://schemas.openxmlformats.org/officeDocument/2006/relationships" r:id="rId1"/>
          <a:extLst>
            <a:ext uri="{FF2B5EF4-FFF2-40B4-BE49-F238E27FC236}">
              <a16:creationId xmlns:a16="http://schemas.microsoft.com/office/drawing/2014/main" id="{0E6ED6AB-9AEA-BA46-95AE-2F7625D2A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5"/>
          <a:ext cx="9836150" cy="708637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28785</xdr:rowOff>
    </xdr:from>
    <xdr:to>
      <xdr:col>11</xdr:col>
      <xdr:colOff>755650</xdr:colOff>
      <xdr:row>38</xdr:row>
      <xdr:rowOff>454008</xdr:rowOff>
    </xdr:to>
    <xdr:pic>
      <xdr:nvPicPr>
        <xdr:cNvPr id="2" name="Picture 1">
          <a:hlinkClick xmlns:r="http://schemas.openxmlformats.org/officeDocument/2006/relationships" r:id="rId1"/>
          <a:extLst>
            <a:ext uri="{FF2B5EF4-FFF2-40B4-BE49-F238E27FC236}">
              <a16:creationId xmlns:a16="http://schemas.microsoft.com/office/drawing/2014/main" id="{6606CD4F-A6BE-9D44-9098-489EA1EBBEF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5"/>
          <a:ext cx="9836150" cy="70863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exceltemplate.net/support/?utm_source=template&amp;utm_medium=tbanner&amp;utm_campaign=copyright" TargetMode="External"/><Relationship Id="rId1" Type="http://schemas.openxmlformats.org/officeDocument/2006/relationships/hyperlink" Target="https://exceltemplate.net/support/"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exceltemplate.net/support/?utm_source=template&amp;utm_medium=tbanner&amp;utm_campaign=copyright" TargetMode="External"/><Relationship Id="rId1" Type="http://schemas.openxmlformats.org/officeDocument/2006/relationships/hyperlink" Target="https://exceltemplate.net/support/"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9"/>
  <sheetViews>
    <sheetView showGridLines="0" tabSelected="1" zoomScale="90" workbookViewId="0">
      <selection activeCell="C9" sqref="C9"/>
    </sheetView>
  </sheetViews>
  <sheetFormatPr defaultColWidth="0" defaultRowHeight="14.4" zeroHeight="1" x14ac:dyDescent="0.3"/>
  <cols>
    <col min="1" max="1" width="2.109375" style="9" customWidth="1"/>
    <col min="2" max="2" width="5.33203125" style="10" customWidth="1"/>
    <col min="3" max="3" width="11.44140625" style="10" bestFit="1" customWidth="1"/>
    <col min="4" max="4" width="6.44140625" style="10" bestFit="1" customWidth="1"/>
    <col min="5" max="5" width="38" style="11" bestFit="1" customWidth="1"/>
    <col min="6" max="6" width="2.44140625" style="9" customWidth="1"/>
    <col min="7" max="7" width="3.6640625" style="9" bestFit="1" customWidth="1"/>
    <col min="8" max="8" width="12" style="9" customWidth="1"/>
    <col min="9" max="9" width="38" style="9" bestFit="1" customWidth="1"/>
    <col min="10" max="10" width="2" style="9" customWidth="1"/>
    <col min="11" max="11" width="3.6640625" style="9" bestFit="1" customWidth="1"/>
    <col min="12" max="12" width="11.109375" style="9" bestFit="1" customWidth="1"/>
    <col min="13" max="13" width="38" style="9" bestFit="1" customWidth="1"/>
    <col min="14" max="14" width="3.44140625" style="9" customWidth="1"/>
    <col min="15" max="256" width="9.109375" style="9" hidden="1" customWidth="1"/>
    <col min="257" max="16384" width="9.109375" style="9" hidden="1"/>
  </cols>
  <sheetData>
    <row r="1" spans="2:13" s="12" customFormat="1" ht="15" customHeight="1" x14ac:dyDescent="0.25">
      <c r="B1" s="13"/>
      <c r="C1" s="13"/>
      <c r="D1" s="13"/>
      <c r="E1" s="14"/>
    </row>
    <row r="2" spans="2:13" s="45" customFormat="1" ht="18" customHeight="1" x14ac:dyDescent="0.25">
      <c r="B2" s="48" t="s">
        <v>45</v>
      </c>
      <c r="C2" s="46"/>
      <c r="D2" s="46"/>
      <c r="E2" s="46"/>
      <c r="F2" s="46"/>
      <c r="G2" s="46"/>
      <c r="H2" s="46"/>
      <c r="I2" s="46"/>
      <c r="J2" s="46"/>
      <c r="K2" s="46"/>
      <c r="L2" s="46"/>
      <c r="M2" s="46"/>
    </row>
    <row r="3" spans="2:13" s="12" customFormat="1" ht="15" customHeight="1" x14ac:dyDescent="0.25">
      <c r="B3" s="13"/>
      <c r="C3" s="13"/>
      <c r="D3" s="13"/>
      <c r="E3" s="14"/>
    </row>
    <row r="4" spans="2:13" s="12" customFormat="1" ht="15" customHeight="1" x14ac:dyDescent="0.25">
      <c r="B4" s="233" t="s">
        <v>16</v>
      </c>
      <c r="C4" s="233"/>
      <c r="D4" s="233"/>
      <c r="E4" s="47" t="s">
        <v>3</v>
      </c>
    </row>
    <row r="5" spans="2:13" s="12" customFormat="1" ht="15" customHeight="1" x14ac:dyDescent="0.25">
      <c r="B5" s="13"/>
      <c r="C5" s="13"/>
      <c r="D5" s="13"/>
      <c r="E5" s="14"/>
    </row>
    <row r="6" spans="2:13" s="12" customFormat="1" ht="15" customHeight="1" x14ac:dyDescent="0.25">
      <c r="B6" s="233" t="s">
        <v>2</v>
      </c>
      <c r="C6" s="233"/>
      <c r="D6" s="233"/>
      <c r="E6" s="47">
        <v>2019</v>
      </c>
      <c r="K6" s="12" t="s">
        <v>46</v>
      </c>
    </row>
    <row r="7" spans="2:13" s="12" customFormat="1" ht="15" customHeight="1" x14ac:dyDescent="0.25">
      <c r="B7" s="13"/>
      <c r="C7" s="13"/>
      <c r="D7" s="13"/>
      <c r="E7" s="14"/>
    </row>
    <row r="8" spans="2:13" s="12" customFormat="1" ht="15" customHeight="1" x14ac:dyDescent="0.25">
      <c r="B8" s="65" t="s">
        <v>13</v>
      </c>
      <c r="C8" s="65" t="s">
        <v>14</v>
      </c>
      <c r="D8" s="65" t="s">
        <v>17</v>
      </c>
      <c r="E8" s="66" t="s">
        <v>26</v>
      </c>
      <c r="G8" s="15" t="s">
        <v>13</v>
      </c>
      <c r="H8" s="15" t="s">
        <v>14</v>
      </c>
      <c r="I8" s="16" t="s">
        <v>27</v>
      </c>
      <c r="K8" s="17" t="s">
        <v>13</v>
      </c>
      <c r="L8" s="17" t="s">
        <v>14</v>
      </c>
      <c r="M8" s="18" t="s">
        <v>28</v>
      </c>
    </row>
    <row r="9" spans="2:13" s="12" customFormat="1" ht="15" customHeight="1" x14ac:dyDescent="0.25">
      <c r="B9" s="19">
        <v>1</v>
      </c>
      <c r="C9" s="20">
        <v>43595</v>
      </c>
      <c r="D9" s="21">
        <v>0.625</v>
      </c>
      <c r="E9" s="22" t="s">
        <v>54</v>
      </c>
      <c r="G9" s="23">
        <v>1</v>
      </c>
      <c r="H9" s="24">
        <v>43497</v>
      </c>
      <c r="I9" s="25" t="s">
        <v>40</v>
      </c>
      <c r="K9" s="26">
        <v>1</v>
      </c>
      <c r="L9" s="27">
        <v>43467</v>
      </c>
      <c r="M9" s="28" t="s">
        <v>29</v>
      </c>
    </row>
    <row r="10" spans="2:13" s="12" customFormat="1" ht="15" customHeight="1" x14ac:dyDescent="0.25">
      <c r="B10" s="29">
        <v>2</v>
      </c>
      <c r="C10" s="30">
        <v>43602</v>
      </c>
      <c r="D10" s="31">
        <v>0.375</v>
      </c>
      <c r="E10" s="32" t="s">
        <v>53</v>
      </c>
      <c r="G10" s="33">
        <v>2</v>
      </c>
      <c r="H10" s="34">
        <f>DATE(E6,1,1)+IF(2&lt;WEEKDAY(DATE(E6,1,1)),7-WEEKDAY(DATE(E6,1,1))+2,2-WEEKDAY(DATE(E6,1,1)))+((3-1)*7)</f>
        <v>43486</v>
      </c>
      <c r="I10" s="35" t="s">
        <v>41</v>
      </c>
      <c r="K10" s="36">
        <v>2</v>
      </c>
      <c r="L10" s="37">
        <v>43623</v>
      </c>
      <c r="M10" s="38" t="s">
        <v>30</v>
      </c>
    </row>
    <row r="11" spans="2:13" s="12" customFormat="1" ht="15" customHeight="1" x14ac:dyDescent="0.25">
      <c r="B11" s="29">
        <v>3</v>
      </c>
      <c r="C11" s="30">
        <v>43609</v>
      </c>
      <c r="D11" s="31">
        <v>0.375</v>
      </c>
      <c r="E11" s="32" t="s">
        <v>38</v>
      </c>
      <c r="G11" s="33">
        <v>3</v>
      </c>
      <c r="H11" s="34">
        <f>DATE(E6,2,1)+IF(2&lt;WEEKDAY(DATE(E6,2,1)),7-WEEKDAY(DATE(E6,2,1))+2,2-WEEKDAY(DATE(E6,2,1)))+((3-1)*7)</f>
        <v>43514</v>
      </c>
      <c r="I11" s="35" t="s">
        <v>42</v>
      </c>
      <c r="K11" s="36">
        <v>3</v>
      </c>
      <c r="L11" s="37">
        <v>43684</v>
      </c>
      <c r="M11" s="38" t="s">
        <v>47</v>
      </c>
    </row>
    <row r="12" spans="2:13" s="12" customFormat="1" ht="15" customHeight="1" x14ac:dyDescent="0.25">
      <c r="B12" s="29">
        <v>4</v>
      </c>
      <c r="C12" s="30">
        <v>43616</v>
      </c>
      <c r="D12" s="31">
        <v>0.625</v>
      </c>
      <c r="E12" s="32" t="s">
        <v>52</v>
      </c>
      <c r="G12" s="33">
        <v>4</v>
      </c>
      <c r="H12" s="34">
        <f>DATE(E6,6,1)+IF(2&lt;WEEKDAY(DATE(E6,6,1)),7-WEEKDAY(DATE(E6,6,1))+2,2-WEEKDAY(DATE(E6,6,1)))+((1-1)*7)-7</f>
        <v>43612</v>
      </c>
      <c r="I12" s="35" t="s">
        <v>32</v>
      </c>
      <c r="K12" s="36">
        <v>4</v>
      </c>
      <c r="L12" s="37">
        <v>43533</v>
      </c>
      <c r="M12" s="38" t="s">
        <v>31</v>
      </c>
    </row>
    <row r="13" spans="2:13" s="12" customFormat="1" ht="15" customHeight="1" x14ac:dyDescent="0.25">
      <c r="B13" s="29">
        <v>5</v>
      </c>
      <c r="C13" s="30">
        <v>43716</v>
      </c>
      <c r="D13" s="31">
        <v>0.70833333333333337</v>
      </c>
      <c r="E13" s="32" t="s">
        <v>51</v>
      </c>
      <c r="G13" s="33">
        <v>5</v>
      </c>
      <c r="H13" s="34">
        <f>DATE(E6,7,4)</f>
        <v>43650</v>
      </c>
      <c r="I13" s="35" t="s">
        <v>33</v>
      </c>
      <c r="K13" s="36">
        <v>5</v>
      </c>
      <c r="L13" s="37"/>
      <c r="M13" s="38"/>
    </row>
    <row r="14" spans="2:13" s="12" customFormat="1" ht="15" customHeight="1" x14ac:dyDescent="0.25">
      <c r="B14" s="29">
        <v>6</v>
      </c>
      <c r="C14" s="30">
        <v>43684</v>
      </c>
      <c r="D14" s="31">
        <v>0.375</v>
      </c>
      <c r="E14" s="32" t="s">
        <v>49</v>
      </c>
      <c r="G14" s="33">
        <v>6</v>
      </c>
      <c r="H14" s="34">
        <f>DATE(E6,9,1)+IF(2&lt;WEEKDAY(DATE(E6,9,1)),7-WEEKDAY(DATE(E6,9,1))+2,2-WEEKDAY(DATE(E6,9,1)))+((1-1)*7)</f>
        <v>43710</v>
      </c>
      <c r="I14" s="35" t="s">
        <v>34</v>
      </c>
      <c r="K14" s="36">
        <v>6</v>
      </c>
      <c r="L14" s="37"/>
      <c r="M14" s="38"/>
    </row>
    <row r="15" spans="2:13" s="12" customFormat="1" ht="15" customHeight="1" x14ac:dyDescent="0.25">
      <c r="B15" s="29">
        <v>7</v>
      </c>
      <c r="C15" s="30">
        <v>43717</v>
      </c>
      <c r="D15" s="31">
        <v>0.75</v>
      </c>
      <c r="E15" s="32" t="s">
        <v>39</v>
      </c>
      <c r="G15" s="33">
        <v>7</v>
      </c>
      <c r="H15" s="34">
        <f>DATE(E6,11,11)</f>
        <v>43780</v>
      </c>
      <c r="I15" s="35" t="s">
        <v>35</v>
      </c>
      <c r="K15" s="36">
        <v>7</v>
      </c>
      <c r="L15" s="39"/>
      <c r="M15" s="40"/>
    </row>
    <row r="16" spans="2:13" s="12" customFormat="1" ht="15" customHeight="1" x14ac:dyDescent="0.25">
      <c r="B16" s="29">
        <v>8</v>
      </c>
      <c r="C16" s="30">
        <v>43695</v>
      </c>
      <c r="D16" s="31">
        <v>0.70833333333333337</v>
      </c>
      <c r="E16" s="32" t="s">
        <v>50</v>
      </c>
      <c r="G16" s="33">
        <v>8</v>
      </c>
      <c r="H16" s="34">
        <f>DATE(E6,10,1)+IF(2&lt;WEEKDAY(DATE(E6,10,1)),7-WEEKDAY(DATE(E6,10,1))+2,2-WEEKDAY(DATE(E6,10,1)))+((2-1)*7)</f>
        <v>43752</v>
      </c>
      <c r="I16" s="35" t="s">
        <v>43</v>
      </c>
      <c r="K16" s="36">
        <v>8</v>
      </c>
      <c r="L16" s="39"/>
      <c r="M16" s="40"/>
    </row>
    <row r="17" spans="2:13" s="12" customFormat="1" ht="15" customHeight="1" x14ac:dyDescent="0.25">
      <c r="B17" s="29">
        <v>9</v>
      </c>
      <c r="C17" s="30">
        <v>43498</v>
      </c>
      <c r="D17" s="31">
        <v>0.70833333333333337</v>
      </c>
      <c r="E17" s="32" t="s">
        <v>44</v>
      </c>
      <c r="G17" s="33">
        <v>9</v>
      </c>
      <c r="H17" s="34">
        <f>DATE(E6,11,1)+IF(5&lt;WEEKDAY(DATE(E6,11,1)),7-WEEKDAY(DATE(E6,11,1))+5,5-WEEKDAY(DATE(E6,11,1)))+((4-1)*7)</f>
        <v>43797</v>
      </c>
      <c r="I17" s="35" t="s">
        <v>36</v>
      </c>
      <c r="K17" s="36">
        <v>9</v>
      </c>
      <c r="L17" s="39"/>
      <c r="M17" s="40"/>
    </row>
    <row r="18" spans="2:13" s="12" customFormat="1" ht="15" customHeight="1" x14ac:dyDescent="0.25">
      <c r="B18" s="29">
        <v>10</v>
      </c>
      <c r="C18" s="30">
        <v>43497</v>
      </c>
      <c r="D18" s="31">
        <v>0.75</v>
      </c>
      <c r="E18" s="32" t="s">
        <v>48</v>
      </c>
      <c r="G18" s="33">
        <v>10</v>
      </c>
      <c r="H18" s="34">
        <f>DATE(E6,12,25)</f>
        <v>43824</v>
      </c>
      <c r="I18" s="35" t="s">
        <v>37</v>
      </c>
      <c r="K18" s="36">
        <v>10</v>
      </c>
      <c r="L18" s="39"/>
      <c r="M18" s="40"/>
    </row>
    <row r="19" spans="2:13" s="12" customFormat="1" ht="15" customHeight="1" x14ac:dyDescent="0.25">
      <c r="B19" s="29">
        <v>11</v>
      </c>
      <c r="C19" s="30"/>
      <c r="D19" s="31"/>
      <c r="E19" s="32"/>
      <c r="G19" s="33">
        <v>11</v>
      </c>
      <c r="H19" s="41"/>
      <c r="I19" s="42"/>
      <c r="K19" s="36">
        <v>11</v>
      </c>
      <c r="L19" s="39"/>
      <c r="M19" s="40"/>
    </row>
    <row r="20" spans="2:13" s="12" customFormat="1" ht="15" customHeight="1" x14ac:dyDescent="0.25">
      <c r="B20" s="29">
        <v>12</v>
      </c>
      <c r="C20" s="30"/>
      <c r="D20" s="31"/>
      <c r="E20" s="32"/>
      <c r="G20" s="33">
        <v>12</v>
      </c>
      <c r="H20" s="41"/>
      <c r="I20" s="42"/>
      <c r="K20" s="36">
        <v>12</v>
      </c>
      <c r="L20" s="39"/>
      <c r="M20" s="40"/>
    </row>
    <row r="21" spans="2:13" s="12" customFormat="1" ht="15" customHeight="1" x14ac:dyDescent="0.25">
      <c r="B21" s="29">
        <v>13</v>
      </c>
      <c r="C21" s="30"/>
      <c r="D21" s="31"/>
      <c r="E21" s="32"/>
      <c r="G21" s="33">
        <v>13</v>
      </c>
      <c r="H21" s="34"/>
      <c r="I21" s="35"/>
      <c r="K21" s="36">
        <v>13</v>
      </c>
      <c r="L21" s="39"/>
      <c r="M21" s="40"/>
    </row>
    <row r="22" spans="2:13" s="12" customFormat="1" ht="15" customHeight="1" x14ac:dyDescent="0.25">
      <c r="B22" s="29">
        <v>14</v>
      </c>
      <c r="C22" s="30"/>
      <c r="D22" s="31"/>
      <c r="E22" s="32"/>
      <c r="G22" s="33">
        <v>14</v>
      </c>
      <c r="H22" s="34"/>
      <c r="I22" s="35"/>
      <c r="K22" s="36">
        <v>14</v>
      </c>
      <c r="L22" s="39"/>
      <c r="M22" s="40"/>
    </row>
    <row r="23" spans="2:13" s="12" customFormat="1" ht="15" customHeight="1" x14ac:dyDescent="0.25">
      <c r="B23" s="29">
        <v>15</v>
      </c>
      <c r="C23" s="30"/>
      <c r="D23" s="31"/>
      <c r="E23" s="32"/>
      <c r="G23" s="33">
        <v>15</v>
      </c>
      <c r="H23" s="34"/>
      <c r="I23" s="35"/>
      <c r="K23" s="36">
        <v>15</v>
      </c>
      <c r="L23" s="39"/>
      <c r="M23" s="40"/>
    </row>
    <row r="24" spans="2:13" s="12" customFormat="1" ht="15" customHeight="1" x14ac:dyDescent="0.25">
      <c r="B24" s="29">
        <v>16</v>
      </c>
      <c r="C24" s="30"/>
      <c r="D24" s="31"/>
      <c r="E24" s="32"/>
      <c r="G24" s="33">
        <v>16</v>
      </c>
      <c r="H24" s="34"/>
      <c r="I24" s="35"/>
      <c r="K24" s="36">
        <v>16</v>
      </c>
      <c r="L24" s="39"/>
      <c r="M24" s="40"/>
    </row>
    <row r="25" spans="2:13" s="12" customFormat="1" ht="15" customHeight="1" x14ac:dyDescent="0.25">
      <c r="B25" s="29">
        <v>17</v>
      </c>
      <c r="C25" s="30"/>
      <c r="D25" s="31"/>
      <c r="E25" s="32"/>
      <c r="G25" s="33">
        <v>17</v>
      </c>
      <c r="H25" s="34"/>
      <c r="I25" s="35"/>
      <c r="K25" s="36">
        <v>17</v>
      </c>
      <c r="L25" s="39"/>
      <c r="M25" s="40"/>
    </row>
    <row r="26" spans="2:13" s="12" customFormat="1" ht="15" customHeight="1" x14ac:dyDescent="0.25">
      <c r="B26" s="29">
        <v>18</v>
      </c>
      <c r="C26" s="30"/>
      <c r="D26" s="31"/>
      <c r="E26" s="32"/>
      <c r="G26" s="33">
        <v>18</v>
      </c>
      <c r="H26" s="34"/>
      <c r="I26" s="35"/>
      <c r="K26" s="36">
        <v>18</v>
      </c>
      <c r="L26" s="39"/>
      <c r="M26" s="40"/>
    </row>
    <row r="27" spans="2:13" s="12" customFormat="1" ht="15" customHeight="1" x14ac:dyDescent="0.25">
      <c r="B27" s="29">
        <v>19</v>
      </c>
      <c r="C27" s="30"/>
      <c r="D27" s="31"/>
      <c r="E27" s="32"/>
      <c r="G27" s="33">
        <v>19</v>
      </c>
      <c r="H27" s="34"/>
      <c r="I27" s="35"/>
      <c r="K27" s="36">
        <v>19</v>
      </c>
      <c r="L27" s="39"/>
      <c r="M27" s="40"/>
    </row>
    <row r="28" spans="2:13" s="12" customFormat="1" ht="15" customHeight="1" x14ac:dyDescent="0.25">
      <c r="B28" s="29">
        <v>20</v>
      </c>
      <c r="C28" s="30"/>
      <c r="D28" s="31"/>
      <c r="E28" s="32"/>
      <c r="G28" s="33">
        <v>20</v>
      </c>
      <c r="H28" s="34"/>
      <c r="I28" s="35"/>
      <c r="K28" s="36">
        <v>20</v>
      </c>
      <c r="L28" s="39"/>
      <c r="M28" s="40"/>
    </row>
    <row r="29" spans="2:13" s="12" customFormat="1" ht="15" customHeight="1" x14ac:dyDescent="0.25">
      <c r="B29" s="29">
        <v>21</v>
      </c>
      <c r="C29" s="30"/>
      <c r="D29" s="31"/>
      <c r="E29" s="32"/>
    </row>
    <row r="30" spans="2:13" s="12" customFormat="1" ht="15" customHeight="1" x14ac:dyDescent="0.25">
      <c r="B30" s="29">
        <v>22</v>
      </c>
      <c r="C30" s="30"/>
      <c r="D30" s="31"/>
      <c r="E30" s="32"/>
    </row>
    <row r="31" spans="2:13" s="12" customFormat="1" ht="15" customHeight="1" x14ac:dyDescent="0.25">
      <c r="B31" s="29">
        <v>23</v>
      </c>
      <c r="C31" s="30"/>
      <c r="D31" s="31"/>
      <c r="E31" s="32"/>
    </row>
    <row r="32" spans="2:13" s="12" customFormat="1" ht="15" customHeight="1" x14ac:dyDescent="0.25">
      <c r="B32" s="29">
        <v>24</v>
      </c>
      <c r="C32" s="30"/>
      <c r="D32" s="31"/>
      <c r="E32" s="32"/>
    </row>
    <row r="33" spans="2:9" s="12" customFormat="1" ht="15" customHeight="1" x14ac:dyDescent="0.25">
      <c r="B33" s="29">
        <v>25</v>
      </c>
      <c r="C33" s="30"/>
      <c r="D33" s="31"/>
      <c r="E33" s="32"/>
    </row>
    <row r="34" spans="2:9" s="12" customFormat="1" ht="15" customHeight="1" x14ac:dyDescent="0.25">
      <c r="B34" s="29">
        <v>26</v>
      </c>
      <c r="C34" s="30"/>
      <c r="D34" s="31"/>
      <c r="E34" s="32"/>
    </row>
    <row r="35" spans="2:9" s="12" customFormat="1" ht="15" customHeight="1" x14ac:dyDescent="0.25">
      <c r="B35" s="29">
        <v>27</v>
      </c>
      <c r="C35" s="30"/>
      <c r="D35" s="31"/>
      <c r="E35" s="32"/>
    </row>
    <row r="36" spans="2:9" s="12" customFormat="1" ht="15" customHeight="1" x14ac:dyDescent="0.25">
      <c r="B36" s="29">
        <v>28</v>
      </c>
      <c r="C36" s="30"/>
      <c r="D36" s="31"/>
      <c r="E36" s="32"/>
      <c r="I36" s="43"/>
    </row>
    <row r="37" spans="2:9" s="12" customFormat="1" ht="15" customHeight="1" x14ac:dyDescent="0.25">
      <c r="B37" s="29">
        <v>29</v>
      </c>
      <c r="C37" s="30"/>
      <c r="D37" s="31"/>
      <c r="E37" s="32"/>
      <c r="I37" s="43"/>
    </row>
    <row r="38" spans="2:9" s="12" customFormat="1" ht="15" customHeight="1" x14ac:dyDescent="0.25">
      <c r="B38" s="29">
        <v>30</v>
      </c>
      <c r="C38" s="30"/>
      <c r="D38" s="31"/>
      <c r="E38" s="32"/>
      <c r="I38" s="43"/>
    </row>
    <row r="39" spans="2:9" s="12" customFormat="1" ht="15" customHeight="1" x14ac:dyDescent="0.25">
      <c r="B39" s="29">
        <v>31</v>
      </c>
      <c r="C39" s="30"/>
      <c r="D39" s="31"/>
      <c r="E39" s="32"/>
      <c r="I39" s="43"/>
    </row>
    <row r="40" spans="2:9" s="12" customFormat="1" ht="15" customHeight="1" x14ac:dyDescent="0.25">
      <c r="B40" s="29">
        <v>32</v>
      </c>
      <c r="C40" s="30"/>
      <c r="D40" s="31"/>
      <c r="E40" s="32"/>
      <c r="I40" s="43"/>
    </row>
    <row r="41" spans="2:9" s="12" customFormat="1" ht="15" customHeight="1" x14ac:dyDescent="0.25">
      <c r="B41" s="29">
        <v>33</v>
      </c>
      <c r="C41" s="30"/>
      <c r="D41" s="31"/>
      <c r="E41" s="32"/>
      <c r="I41" s="43"/>
    </row>
    <row r="42" spans="2:9" s="12" customFormat="1" ht="15" customHeight="1" x14ac:dyDescent="0.25">
      <c r="B42" s="29">
        <v>34</v>
      </c>
      <c r="C42" s="30"/>
      <c r="D42" s="31"/>
      <c r="E42" s="32"/>
      <c r="I42" s="43"/>
    </row>
    <row r="43" spans="2:9" s="12" customFormat="1" ht="15" customHeight="1" x14ac:dyDescent="0.25">
      <c r="B43" s="29">
        <v>35</v>
      </c>
      <c r="C43" s="30"/>
      <c r="D43" s="31"/>
      <c r="E43" s="32"/>
      <c r="I43" s="43"/>
    </row>
    <row r="44" spans="2:9" s="12" customFormat="1" ht="15" customHeight="1" x14ac:dyDescent="0.25">
      <c r="B44" s="29">
        <v>36</v>
      </c>
      <c r="C44" s="30"/>
      <c r="D44" s="31"/>
      <c r="E44" s="32"/>
      <c r="I44" s="43"/>
    </row>
    <row r="45" spans="2:9" s="12" customFormat="1" ht="15" customHeight="1" x14ac:dyDescent="0.25">
      <c r="B45" s="29">
        <v>37</v>
      </c>
      <c r="C45" s="30"/>
      <c r="D45" s="31"/>
      <c r="E45" s="32"/>
      <c r="I45" s="43"/>
    </row>
    <row r="46" spans="2:9" s="12" customFormat="1" ht="15" customHeight="1" x14ac:dyDescent="0.25">
      <c r="B46" s="29">
        <v>38</v>
      </c>
      <c r="C46" s="30"/>
      <c r="D46" s="31"/>
      <c r="E46" s="32"/>
    </row>
    <row r="47" spans="2:9" s="12" customFormat="1" ht="15" customHeight="1" x14ac:dyDescent="0.25">
      <c r="B47" s="29">
        <v>39</v>
      </c>
      <c r="C47" s="30"/>
      <c r="D47" s="31"/>
      <c r="E47" s="32"/>
    </row>
    <row r="48" spans="2:9" s="12" customFormat="1" ht="15" customHeight="1" x14ac:dyDescent="0.25">
      <c r="B48" s="29">
        <v>40</v>
      </c>
      <c r="C48" s="30"/>
      <c r="D48" s="31"/>
      <c r="E48" s="32"/>
    </row>
    <row r="49" spans="2:5" s="12" customFormat="1" ht="15" customHeight="1" x14ac:dyDescent="0.25">
      <c r="B49" s="29">
        <v>41</v>
      </c>
      <c r="C49" s="30"/>
      <c r="D49" s="31"/>
      <c r="E49" s="32"/>
    </row>
    <row r="50" spans="2:5" s="12" customFormat="1" ht="15" customHeight="1" x14ac:dyDescent="0.25">
      <c r="B50" s="29">
        <v>42</v>
      </c>
      <c r="C50" s="30"/>
      <c r="D50" s="31"/>
      <c r="E50" s="32"/>
    </row>
    <row r="51" spans="2:5" s="12" customFormat="1" ht="15" customHeight="1" x14ac:dyDescent="0.25">
      <c r="B51" s="29">
        <v>43</v>
      </c>
      <c r="C51" s="30"/>
      <c r="D51" s="31"/>
      <c r="E51" s="32"/>
    </row>
    <row r="52" spans="2:5" s="12" customFormat="1" ht="15" customHeight="1" x14ac:dyDescent="0.25">
      <c r="B52" s="29">
        <v>44</v>
      </c>
      <c r="C52" s="30"/>
      <c r="D52" s="31"/>
      <c r="E52" s="32"/>
    </row>
    <row r="53" spans="2:5" s="12" customFormat="1" ht="15" customHeight="1" x14ac:dyDescent="0.25">
      <c r="B53" s="29">
        <v>45</v>
      </c>
      <c r="C53" s="30"/>
      <c r="D53" s="31"/>
      <c r="E53" s="32"/>
    </row>
    <row r="54" spans="2:5" s="12" customFormat="1" ht="15" customHeight="1" x14ac:dyDescent="0.25">
      <c r="B54" s="29">
        <v>46</v>
      </c>
      <c r="C54" s="30"/>
      <c r="D54" s="31"/>
      <c r="E54" s="32"/>
    </row>
    <row r="55" spans="2:5" s="12" customFormat="1" ht="15" customHeight="1" x14ac:dyDescent="0.25">
      <c r="B55" s="29">
        <v>47</v>
      </c>
      <c r="C55" s="30"/>
      <c r="D55" s="31"/>
      <c r="E55" s="32"/>
    </row>
    <row r="56" spans="2:5" s="12" customFormat="1" ht="15" customHeight="1" x14ac:dyDescent="0.25">
      <c r="B56" s="29">
        <v>48</v>
      </c>
      <c r="C56" s="30"/>
      <c r="D56" s="31"/>
      <c r="E56" s="32"/>
    </row>
    <row r="57" spans="2:5" s="12" customFormat="1" ht="15" customHeight="1" x14ac:dyDescent="0.25">
      <c r="B57" s="29">
        <v>49</v>
      </c>
      <c r="C57" s="30"/>
      <c r="D57" s="31"/>
      <c r="E57" s="32"/>
    </row>
    <row r="58" spans="2:5" s="12" customFormat="1" ht="15" customHeight="1" x14ac:dyDescent="0.25">
      <c r="B58" s="29">
        <v>50</v>
      </c>
      <c r="C58" s="30"/>
      <c r="D58" s="44"/>
      <c r="E58" s="32"/>
    </row>
    <row r="59" spans="2:5" s="12" customFormat="1" ht="15" customHeight="1" x14ac:dyDescent="0.25">
      <c r="B59" s="29">
        <v>51</v>
      </c>
      <c r="C59" s="30"/>
      <c r="D59" s="44"/>
      <c r="E59" s="32"/>
    </row>
    <row r="60" spans="2:5" s="12" customFormat="1" ht="15" customHeight="1" x14ac:dyDescent="0.25">
      <c r="B60" s="29">
        <v>52</v>
      </c>
      <c r="C60" s="30"/>
      <c r="D60" s="44"/>
      <c r="E60" s="32"/>
    </row>
    <row r="61" spans="2:5" s="12" customFormat="1" ht="15" customHeight="1" x14ac:dyDescent="0.25">
      <c r="B61" s="29">
        <v>53</v>
      </c>
      <c r="C61" s="30"/>
      <c r="D61" s="44"/>
      <c r="E61" s="32"/>
    </row>
    <row r="62" spans="2:5" s="12" customFormat="1" ht="15" customHeight="1" x14ac:dyDescent="0.25">
      <c r="B62" s="29">
        <v>54</v>
      </c>
      <c r="C62" s="30"/>
      <c r="D62" s="44"/>
      <c r="E62" s="32"/>
    </row>
    <row r="63" spans="2:5" s="12" customFormat="1" ht="15" customHeight="1" x14ac:dyDescent="0.25">
      <c r="B63" s="29">
        <v>55</v>
      </c>
      <c r="C63" s="30"/>
      <c r="D63" s="44"/>
      <c r="E63" s="32"/>
    </row>
    <row r="64" spans="2:5" s="12" customFormat="1" ht="15" customHeight="1" x14ac:dyDescent="0.25">
      <c r="B64" s="29">
        <v>56</v>
      </c>
      <c r="C64" s="30"/>
      <c r="D64" s="44"/>
      <c r="E64" s="32"/>
    </row>
    <row r="65" spans="2:5" s="12" customFormat="1" ht="15" customHeight="1" x14ac:dyDescent="0.25">
      <c r="B65" s="29">
        <v>57</v>
      </c>
      <c r="C65" s="30"/>
      <c r="D65" s="44"/>
      <c r="E65" s="32"/>
    </row>
    <row r="66" spans="2:5" s="12" customFormat="1" ht="15" customHeight="1" x14ac:dyDescent="0.25">
      <c r="B66" s="29">
        <v>58</v>
      </c>
      <c r="C66" s="30"/>
      <c r="D66" s="44"/>
      <c r="E66" s="32"/>
    </row>
    <row r="67" spans="2:5" s="12" customFormat="1" ht="15" customHeight="1" x14ac:dyDescent="0.25">
      <c r="B67" s="29">
        <v>59</v>
      </c>
      <c r="C67" s="30"/>
      <c r="D67" s="44"/>
      <c r="E67" s="32"/>
    </row>
    <row r="68" spans="2:5" s="12" customFormat="1" ht="15" customHeight="1" x14ac:dyDescent="0.25">
      <c r="B68" s="29">
        <v>60</v>
      </c>
      <c r="C68" s="30"/>
      <c r="D68" s="44"/>
      <c r="E68" s="32"/>
    </row>
    <row r="69" spans="2:5" s="12" customFormat="1" ht="15" customHeight="1" x14ac:dyDescent="0.25">
      <c r="B69" s="29">
        <v>61</v>
      </c>
      <c r="C69" s="30"/>
      <c r="D69" s="44"/>
      <c r="E69" s="32"/>
    </row>
    <row r="70" spans="2:5" s="12" customFormat="1" ht="15" customHeight="1" x14ac:dyDescent="0.25">
      <c r="B70" s="29">
        <v>62</v>
      </c>
      <c r="C70" s="30"/>
      <c r="D70" s="44"/>
      <c r="E70" s="32"/>
    </row>
    <row r="71" spans="2:5" s="12" customFormat="1" ht="15" customHeight="1" x14ac:dyDescent="0.25">
      <c r="B71" s="29">
        <v>63</v>
      </c>
      <c r="C71" s="30"/>
      <c r="D71" s="44"/>
      <c r="E71" s="32"/>
    </row>
    <row r="72" spans="2:5" s="12" customFormat="1" ht="15" customHeight="1" x14ac:dyDescent="0.25">
      <c r="B72" s="29">
        <v>64</v>
      </c>
      <c r="C72" s="30"/>
      <c r="D72" s="44"/>
      <c r="E72" s="32"/>
    </row>
    <row r="73" spans="2:5" s="12" customFormat="1" ht="15" customHeight="1" x14ac:dyDescent="0.25">
      <c r="B73" s="29">
        <v>65</v>
      </c>
      <c r="C73" s="30"/>
      <c r="D73" s="44"/>
      <c r="E73" s="32"/>
    </row>
    <row r="74" spans="2:5" s="12" customFormat="1" ht="15" customHeight="1" x14ac:dyDescent="0.25">
      <c r="B74" s="29">
        <v>66</v>
      </c>
      <c r="C74" s="30"/>
      <c r="D74" s="44"/>
      <c r="E74" s="32"/>
    </row>
    <row r="75" spans="2:5" s="12" customFormat="1" ht="15" customHeight="1" x14ac:dyDescent="0.25">
      <c r="B75" s="29">
        <v>67</v>
      </c>
      <c r="C75" s="30"/>
      <c r="D75" s="44"/>
      <c r="E75" s="32"/>
    </row>
    <row r="76" spans="2:5" s="12" customFormat="1" ht="15" customHeight="1" x14ac:dyDescent="0.25">
      <c r="B76" s="29">
        <v>68</v>
      </c>
      <c r="C76" s="30"/>
      <c r="D76" s="44"/>
      <c r="E76" s="32"/>
    </row>
    <row r="77" spans="2:5" s="12" customFormat="1" ht="15" customHeight="1" x14ac:dyDescent="0.25">
      <c r="B77" s="29">
        <v>69</v>
      </c>
      <c r="C77" s="30"/>
      <c r="D77" s="44"/>
      <c r="E77" s="32"/>
    </row>
    <row r="78" spans="2:5" s="12" customFormat="1" ht="15" customHeight="1" x14ac:dyDescent="0.25">
      <c r="B78" s="29">
        <v>70</v>
      </c>
      <c r="C78" s="30"/>
      <c r="D78" s="44"/>
      <c r="E78" s="32"/>
    </row>
    <row r="79" spans="2:5" s="12" customFormat="1" ht="15" customHeight="1" x14ac:dyDescent="0.25">
      <c r="B79" s="29">
        <v>71</v>
      </c>
      <c r="C79" s="30"/>
      <c r="D79" s="44"/>
      <c r="E79" s="32"/>
    </row>
    <row r="80" spans="2:5" s="12" customFormat="1" ht="15" customHeight="1" x14ac:dyDescent="0.25">
      <c r="B80" s="29">
        <v>72</v>
      </c>
      <c r="C80" s="30"/>
      <c r="D80" s="44"/>
      <c r="E80" s="32"/>
    </row>
    <row r="81" spans="2:5" s="12" customFormat="1" ht="15" customHeight="1" x14ac:dyDescent="0.25">
      <c r="B81" s="29">
        <v>73</v>
      </c>
      <c r="C81" s="30"/>
      <c r="D81" s="44"/>
      <c r="E81" s="32"/>
    </row>
    <row r="82" spans="2:5" s="12" customFormat="1" ht="15" customHeight="1" x14ac:dyDescent="0.25">
      <c r="B82" s="29">
        <v>74</v>
      </c>
      <c r="C82" s="30"/>
      <c r="D82" s="44"/>
      <c r="E82" s="32"/>
    </row>
    <row r="83" spans="2:5" s="12" customFormat="1" ht="15" customHeight="1" x14ac:dyDescent="0.25">
      <c r="B83" s="29">
        <v>75</v>
      </c>
      <c r="C83" s="30"/>
      <c r="D83" s="44"/>
      <c r="E83" s="32"/>
    </row>
    <row r="84" spans="2:5" s="12" customFormat="1" ht="15" customHeight="1" x14ac:dyDescent="0.25">
      <c r="B84" s="29">
        <v>76</v>
      </c>
      <c r="C84" s="30"/>
      <c r="D84" s="44"/>
      <c r="E84" s="32"/>
    </row>
    <row r="85" spans="2:5" s="12" customFormat="1" ht="15" customHeight="1" x14ac:dyDescent="0.25">
      <c r="B85" s="29">
        <v>77</v>
      </c>
      <c r="C85" s="30"/>
      <c r="D85" s="44"/>
      <c r="E85" s="32"/>
    </row>
    <row r="86" spans="2:5" s="12" customFormat="1" ht="15" customHeight="1" x14ac:dyDescent="0.25">
      <c r="B86" s="29">
        <v>78</v>
      </c>
      <c r="C86" s="30"/>
      <c r="D86" s="44"/>
      <c r="E86" s="32"/>
    </row>
    <row r="87" spans="2:5" s="12" customFormat="1" ht="15" customHeight="1" x14ac:dyDescent="0.25">
      <c r="B87" s="29">
        <v>79</v>
      </c>
      <c r="C87" s="30"/>
      <c r="D87" s="44"/>
      <c r="E87" s="32"/>
    </row>
    <row r="88" spans="2:5" s="12" customFormat="1" ht="15" customHeight="1" x14ac:dyDescent="0.25">
      <c r="B88" s="29">
        <v>80</v>
      </c>
      <c r="C88" s="30"/>
      <c r="D88" s="44"/>
      <c r="E88" s="32"/>
    </row>
    <row r="89" spans="2:5" s="12" customFormat="1" ht="15" customHeight="1" x14ac:dyDescent="0.25">
      <c r="B89" s="29">
        <v>81</v>
      </c>
      <c r="C89" s="30"/>
      <c r="D89" s="44"/>
      <c r="E89" s="32"/>
    </row>
    <row r="90" spans="2:5" s="12" customFormat="1" ht="15" customHeight="1" x14ac:dyDescent="0.25">
      <c r="B90" s="29">
        <v>82</v>
      </c>
      <c r="C90" s="30"/>
      <c r="D90" s="44"/>
      <c r="E90" s="32"/>
    </row>
    <row r="91" spans="2:5" s="12" customFormat="1" ht="15" customHeight="1" x14ac:dyDescent="0.25">
      <c r="B91" s="29">
        <v>83</v>
      </c>
      <c r="C91" s="30"/>
      <c r="D91" s="44"/>
      <c r="E91" s="32"/>
    </row>
    <row r="92" spans="2:5" s="12" customFormat="1" ht="15" customHeight="1" x14ac:dyDescent="0.25">
      <c r="B92" s="29">
        <v>84</v>
      </c>
      <c r="C92" s="30"/>
      <c r="D92" s="44"/>
      <c r="E92" s="32"/>
    </row>
    <row r="93" spans="2:5" s="12" customFormat="1" ht="15" customHeight="1" x14ac:dyDescent="0.25">
      <c r="B93" s="29">
        <v>85</v>
      </c>
      <c r="C93" s="30"/>
      <c r="D93" s="44"/>
      <c r="E93" s="32"/>
    </row>
    <row r="94" spans="2:5" s="12" customFormat="1" ht="15" customHeight="1" x14ac:dyDescent="0.25">
      <c r="B94" s="29">
        <v>86</v>
      </c>
      <c r="C94" s="30"/>
      <c r="D94" s="44"/>
      <c r="E94" s="32"/>
    </row>
    <row r="95" spans="2:5" s="12" customFormat="1" ht="15" customHeight="1" x14ac:dyDescent="0.25">
      <c r="B95" s="29">
        <v>87</v>
      </c>
      <c r="C95" s="30"/>
      <c r="D95" s="44"/>
      <c r="E95" s="32"/>
    </row>
    <row r="96" spans="2:5" s="12" customFormat="1" ht="15" customHeight="1" x14ac:dyDescent="0.25">
      <c r="B96" s="29">
        <v>88</v>
      </c>
      <c r="C96" s="30"/>
      <c r="D96" s="44"/>
      <c r="E96" s="32"/>
    </row>
    <row r="97" spans="2:5" s="12" customFormat="1" ht="15" customHeight="1" x14ac:dyDescent="0.25">
      <c r="B97" s="29">
        <v>89</v>
      </c>
      <c r="C97" s="30"/>
      <c r="D97" s="44"/>
      <c r="E97" s="32"/>
    </row>
    <row r="98" spans="2:5" s="12" customFormat="1" ht="15" customHeight="1" x14ac:dyDescent="0.25">
      <c r="B98" s="29">
        <v>90</v>
      </c>
      <c r="C98" s="30"/>
      <c r="D98" s="44"/>
      <c r="E98" s="32"/>
    </row>
    <row r="99" spans="2:5" s="12" customFormat="1" ht="15" customHeight="1" x14ac:dyDescent="0.25">
      <c r="B99" s="29">
        <v>91</v>
      </c>
      <c r="C99" s="30"/>
      <c r="D99" s="44"/>
      <c r="E99" s="32"/>
    </row>
    <row r="100" spans="2:5" s="12" customFormat="1" ht="15" customHeight="1" x14ac:dyDescent="0.25">
      <c r="B100" s="29">
        <v>92</v>
      </c>
      <c r="C100" s="30"/>
      <c r="D100" s="44"/>
      <c r="E100" s="32"/>
    </row>
    <row r="101" spans="2:5" s="12" customFormat="1" ht="15" customHeight="1" x14ac:dyDescent="0.25">
      <c r="B101" s="29">
        <v>93</v>
      </c>
      <c r="C101" s="30"/>
      <c r="D101" s="44"/>
      <c r="E101" s="32"/>
    </row>
    <row r="102" spans="2:5" s="12" customFormat="1" ht="15" customHeight="1" x14ac:dyDescent="0.25">
      <c r="B102" s="29">
        <v>94</v>
      </c>
      <c r="C102" s="30"/>
      <c r="D102" s="44"/>
      <c r="E102" s="32"/>
    </row>
    <row r="103" spans="2:5" s="12" customFormat="1" ht="15" customHeight="1" x14ac:dyDescent="0.25">
      <c r="B103" s="29">
        <v>95</v>
      </c>
      <c r="C103" s="30"/>
      <c r="D103" s="44"/>
      <c r="E103" s="32"/>
    </row>
    <row r="104" spans="2:5" s="12" customFormat="1" ht="15" customHeight="1" x14ac:dyDescent="0.25">
      <c r="B104" s="29">
        <v>96</v>
      </c>
      <c r="C104" s="30"/>
      <c r="D104" s="44"/>
      <c r="E104" s="32"/>
    </row>
    <row r="105" spans="2:5" s="12" customFormat="1" ht="15" customHeight="1" x14ac:dyDescent="0.25">
      <c r="B105" s="29">
        <v>97</v>
      </c>
      <c r="C105" s="30"/>
      <c r="D105" s="44"/>
      <c r="E105" s="32"/>
    </row>
    <row r="106" spans="2:5" s="12" customFormat="1" ht="15" customHeight="1" x14ac:dyDescent="0.25">
      <c r="B106" s="29">
        <v>98</v>
      </c>
      <c r="C106" s="30"/>
      <c r="D106" s="44"/>
      <c r="E106" s="32"/>
    </row>
    <row r="107" spans="2:5" s="12" customFormat="1" ht="15" customHeight="1" x14ac:dyDescent="0.25">
      <c r="B107" s="29">
        <v>99</v>
      </c>
      <c r="C107" s="30"/>
      <c r="D107" s="44"/>
      <c r="E107" s="32"/>
    </row>
    <row r="108" spans="2:5" s="12" customFormat="1" ht="15" customHeight="1" x14ac:dyDescent="0.25">
      <c r="B108" s="29">
        <v>100</v>
      </c>
      <c r="C108" s="30"/>
      <c r="D108" s="44"/>
      <c r="E108" s="32"/>
    </row>
    <row r="109" spans="2:5" s="12" customFormat="1" ht="15" customHeight="1" x14ac:dyDescent="0.25">
      <c r="B109" s="29">
        <v>101</v>
      </c>
      <c r="C109" s="30"/>
      <c r="D109" s="44"/>
      <c r="E109" s="32"/>
    </row>
    <row r="110" spans="2:5" s="12" customFormat="1" ht="15" customHeight="1" x14ac:dyDescent="0.25">
      <c r="B110" s="29">
        <v>102</v>
      </c>
      <c r="C110" s="30"/>
      <c r="D110" s="44"/>
      <c r="E110" s="32"/>
    </row>
    <row r="111" spans="2:5" s="12" customFormat="1" ht="15" customHeight="1" x14ac:dyDescent="0.25">
      <c r="B111" s="29">
        <v>103</v>
      </c>
      <c r="C111" s="30"/>
      <c r="D111" s="44"/>
      <c r="E111" s="32"/>
    </row>
    <row r="112" spans="2:5" s="12" customFormat="1" ht="15" customHeight="1" x14ac:dyDescent="0.25">
      <c r="B112" s="29">
        <v>104</v>
      </c>
      <c r="C112" s="30"/>
      <c r="D112" s="44"/>
      <c r="E112" s="32"/>
    </row>
    <row r="113" spans="2:5" s="12" customFormat="1" ht="15" customHeight="1" x14ac:dyDescent="0.25">
      <c r="B113" s="29">
        <v>105</v>
      </c>
      <c r="C113" s="30"/>
      <c r="D113" s="44"/>
      <c r="E113" s="32"/>
    </row>
    <row r="114" spans="2:5" s="12" customFormat="1" ht="15" customHeight="1" x14ac:dyDescent="0.25">
      <c r="B114" s="29">
        <v>106</v>
      </c>
      <c r="C114" s="30"/>
      <c r="D114" s="44"/>
      <c r="E114" s="32"/>
    </row>
    <row r="115" spans="2:5" s="12" customFormat="1" ht="15" customHeight="1" x14ac:dyDescent="0.25">
      <c r="B115" s="29">
        <v>107</v>
      </c>
      <c r="C115" s="30"/>
      <c r="D115" s="44"/>
      <c r="E115" s="32"/>
    </row>
    <row r="116" spans="2:5" s="12" customFormat="1" ht="15" customHeight="1" x14ac:dyDescent="0.25">
      <c r="B116" s="29">
        <v>108</v>
      </c>
      <c r="C116" s="30"/>
      <c r="D116" s="44"/>
      <c r="E116" s="32"/>
    </row>
    <row r="117" spans="2:5" s="12" customFormat="1" ht="15" customHeight="1" x14ac:dyDescent="0.25">
      <c r="B117" s="29">
        <v>109</v>
      </c>
      <c r="C117" s="30"/>
      <c r="D117" s="44"/>
      <c r="E117" s="32"/>
    </row>
    <row r="118" spans="2:5" s="12" customFormat="1" ht="15" customHeight="1" x14ac:dyDescent="0.25">
      <c r="B118" s="29">
        <v>110</v>
      </c>
      <c r="C118" s="30"/>
      <c r="D118" s="44"/>
      <c r="E118" s="32"/>
    </row>
    <row r="119" spans="2:5" s="12" customFormat="1" ht="15" customHeight="1" x14ac:dyDescent="0.25">
      <c r="B119" s="29">
        <v>111</v>
      </c>
      <c r="C119" s="30"/>
      <c r="D119" s="44"/>
      <c r="E119" s="32"/>
    </row>
    <row r="120" spans="2:5" s="12" customFormat="1" ht="15" customHeight="1" x14ac:dyDescent="0.25">
      <c r="B120" s="29">
        <v>112</v>
      </c>
      <c r="C120" s="30"/>
      <c r="D120" s="44"/>
      <c r="E120" s="32"/>
    </row>
    <row r="121" spans="2:5" s="12" customFormat="1" ht="15" customHeight="1" x14ac:dyDescent="0.25">
      <c r="B121" s="29">
        <v>113</v>
      </c>
      <c r="C121" s="30"/>
      <c r="D121" s="44"/>
      <c r="E121" s="32"/>
    </row>
    <row r="122" spans="2:5" s="12" customFormat="1" ht="15" customHeight="1" x14ac:dyDescent="0.25">
      <c r="B122" s="29">
        <v>114</v>
      </c>
      <c r="C122" s="30"/>
      <c r="D122" s="44"/>
      <c r="E122" s="32"/>
    </row>
    <row r="123" spans="2:5" s="12" customFormat="1" ht="15" customHeight="1" x14ac:dyDescent="0.25">
      <c r="B123" s="29">
        <v>115</v>
      </c>
      <c r="C123" s="30"/>
      <c r="D123" s="44"/>
      <c r="E123" s="32"/>
    </row>
    <row r="124" spans="2:5" s="12" customFormat="1" ht="15" customHeight="1" x14ac:dyDescent="0.25">
      <c r="B124" s="29">
        <v>116</v>
      </c>
      <c r="C124" s="30"/>
      <c r="D124" s="44"/>
      <c r="E124" s="32"/>
    </row>
    <row r="125" spans="2:5" s="12" customFormat="1" ht="15" customHeight="1" x14ac:dyDescent="0.25">
      <c r="B125" s="29">
        <v>117</v>
      </c>
      <c r="C125" s="30"/>
      <c r="D125" s="44"/>
      <c r="E125" s="32"/>
    </row>
    <row r="126" spans="2:5" s="12" customFormat="1" ht="15" customHeight="1" x14ac:dyDescent="0.25">
      <c r="B126" s="29">
        <v>118</v>
      </c>
      <c r="C126" s="30"/>
      <c r="D126" s="44"/>
      <c r="E126" s="32"/>
    </row>
    <row r="127" spans="2:5" s="12" customFormat="1" ht="15" customHeight="1" x14ac:dyDescent="0.25">
      <c r="B127" s="29">
        <v>119</v>
      </c>
      <c r="C127" s="30"/>
      <c r="D127" s="44"/>
      <c r="E127" s="32"/>
    </row>
    <row r="128" spans="2:5" s="12" customFormat="1" ht="15" customHeight="1" x14ac:dyDescent="0.25">
      <c r="B128" s="29">
        <v>120</v>
      </c>
      <c r="C128" s="30"/>
      <c r="D128" s="44"/>
      <c r="E128" s="32"/>
    </row>
    <row r="129" spans="2:5" s="12" customFormat="1" ht="15" customHeight="1" x14ac:dyDescent="0.25">
      <c r="B129" s="29">
        <v>121</v>
      </c>
      <c r="C129" s="30"/>
      <c r="D129" s="44"/>
      <c r="E129" s="32"/>
    </row>
    <row r="130" spans="2:5" s="12" customFormat="1" ht="15" customHeight="1" x14ac:dyDescent="0.25">
      <c r="B130" s="29">
        <v>122</v>
      </c>
      <c r="C130" s="30"/>
      <c r="D130" s="44"/>
      <c r="E130" s="32"/>
    </row>
    <row r="131" spans="2:5" s="12" customFormat="1" ht="15" customHeight="1" x14ac:dyDescent="0.25">
      <c r="B131" s="29">
        <v>123</v>
      </c>
      <c r="C131" s="30"/>
      <c r="D131" s="44"/>
      <c r="E131" s="32"/>
    </row>
    <row r="132" spans="2:5" s="12" customFormat="1" ht="15" customHeight="1" x14ac:dyDescent="0.25">
      <c r="B132" s="29">
        <v>124</v>
      </c>
      <c r="C132" s="30"/>
      <c r="D132" s="44"/>
      <c r="E132" s="32"/>
    </row>
    <row r="133" spans="2:5" s="12" customFormat="1" ht="15" customHeight="1" x14ac:dyDescent="0.25">
      <c r="B133" s="29">
        <v>125</v>
      </c>
      <c r="C133" s="30"/>
      <c r="D133" s="44"/>
      <c r="E133" s="32"/>
    </row>
    <row r="134" spans="2:5" s="12" customFormat="1" ht="15" customHeight="1" x14ac:dyDescent="0.25">
      <c r="B134" s="29">
        <v>126</v>
      </c>
      <c r="C134" s="30"/>
      <c r="D134" s="44"/>
      <c r="E134" s="32"/>
    </row>
    <row r="135" spans="2:5" s="12" customFormat="1" ht="15" customHeight="1" x14ac:dyDescent="0.25">
      <c r="B135" s="29">
        <v>127</v>
      </c>
      <c r="C135" s="30"/>
      <c r="D135" s="44"/>
      <c r="E135" s="32"/>
    </row>
    <row r="136" spans="2:5" s="12" customFormat="1" ht="15" customHeight="1" x14ac:dyDescent="0.25">
      <c r="B136" s="29">
        <v>128</v>
      </c>
      <c r="C136" s="30"/>
      <c r="D136" s="44"/>
      <c r="E136" s="32"/>
    </row>
    <row r="137" spans="2:5" s="12" customFormat="1" ht="15" customHeight="1" x14ac:dyDescent="0.25">
      <c r="B137" s="29">
        <v>129</v>
      </c>
      <c r="C137" s="30"/>
      <c r="D137" s="44"/>
      <c r="E137" s="32"/>
    </row>
    <row r="138" spans="2:5" s="12" customFormat="1" ht="15" customHeight="1" x14ac:dyDescent="0.25">
      <c r="B138" s="29">
        <v>130</v>
      </c>
      <c r="C138" s="30"/>
      <c r="D138" s="44"/>
      <c r="E138" s="32"/>
    </row>
    <row r="139" spans="2:5" s="12" customFormat="1" ht="15" customHeight="1" x14ac:dyDescent="0.25">
      <c r="B139" s="29">
        <v>131</v>
      </c>
      <c r="C139" s="30"/>
      <c r="D139" s="44"/>
      <c r="E139" s="32"/>
    </row>
    <row r="140" spans="2:5" s="12" customFormat="1" ht="15" customHeight="1" x14ac:dyDescent="0.25">
      <c r="B140" s="29">
        <v>132</v>
      </c>
      <c r="C140" s="30"/>
      <c r="D140" s="44"/>
      <c r="E140" s="32"/>
    </row>
    <row r="141" spans="2:5" s="12" customFormat="1" ht="15" customHeight="1" x14ac:dyDescent="0.25">
      <c r="B141" s="29">
        <v>133</v>
      </c>
      <c r="C141" s="30"/>
      <c r="D141" s="44"/>
      <c r="E141" s="32"/>
    </row>
    <row r="142" spans="2:5" s="12" customFormat="1" ht="15" customHeight="1" x14ac:dyDescent="0.25">
      <c r="B142" s="29">
        <v>134</v>
      </c>
      <c r="C142" s="30"/>
      <c r="D142" s="44"/>
      <c r="E142" s="32"/>
    </row>
    <row r="143" spans="2:5" s="12" customFormat="1" ht="15" customHeight="1" x14ac:dyDescent="0.25">
      <c r="B143" s="29">
        <v>135</v>
      </c>
      <c r="C143" s="30"/>
      <c r="D143" s="44"/>
      <c r="E143" s="32"/>
    </row>
    <row r="144" spans="2:5" s="12" customFormat="1" ht="15" customHeight="1" x14ac:dyDescent="0.25">
      <c r="B144" s="29">
        <v>136</v>
      </c>
      <c r="C144" s="30"/>
      <c r="D144" s="44"/>
      <c r="E144" s="32"/>
    </row>
    <row r="145" spans="2:5" s="12" customFormat="1" ht="15" customHeight="1" x14ac:dyDescent="0.25">
      <c r="B145" s="29">
        <v>137</v>
      </c>
      <c r="C145" s="30"/>
      <c r="D145" s="44"/>
      <c r="E145" s="32"/>
    </row>
    <row r="146" spans="2:5" s="12" customFormat="1" ht="15" customHeight="1" x14ac:dyDescent="0.25">
      <c r="B146" s="29">
        <v>138</v>
      </c>
      <c r="C146" s="30"/>
      <c r="D146" s="44"/>
      <c r="E146" s="32"/>
    </row>
    <row r="147" spans="2:5" s="12" customFormat="1" ht="15" customHeight="1" x14ac:dyDescent="0.25">
      <c r="B147" s="29">
        <v>139</v>
      </c>
      <c r="C147" s="30"/>
      <c r="D147" s="44"/>
      <c r="E147" s="32"/>
    </row>
    <row r="148" spans="2:5" s="12" customFormat="1" ht="15" customHeight="1" x14ac:dyDescent="0.25">
      <c r="B148" s="29">
        <v>140</v>
      </c>
      <c r="C148" s="30"/>
      <c r="D148" s="44"/>
      <c r="E148" s="32"/>
    </row>
    <row r="149" spans="2:5" s="12" customFormat="1" ht="15" customHeight="1" x14ac:dyDescent="0.25">
      <c r="B149" s="29">
        <v>141</v>
      </c>
      <c r="C149" s="30"/>
      <c r="D149" s="44"/>
      <c r="E149" s="32"/>
    </row>
    <row r="150" spans="2:5" s="12" customFormat="1" ht="15" customHeight="1" x14ac:dyDescent="0.25">
      <c r="B150" s="29">
        <v>142</v>
      </c>
      <c r="C150" s="30"/>
      <c r="D150" s="44"/>
      <c r="E150" s="32"/>
    </row>
    <row r="151" spans="2:5" s="12" customFormat="1" ht="15" customHeight="1" x14ac:dyDescent="0.25">
      <c r="B151" s="29">
        <v>143</v>
      </c>
      <c r="C151" s="30"/>
      <c r="D151" s="44"/>
      <c r="E151" s="32"/>
    </row>
    <row r="152" spans="2:5" s="12" customFormat="1" ht="15" customHeight="1" x14ac:dyDescent="0.25">
      <c r="B152" s="29">
        <v>144</v>
      </c>
      <c r="C152" s="30"/>
      <c r="D152" s="44"/>
      <c r="E152" s="32"/>
    </row>
    <row r="153" spans="2:5" s="12" customFormat="1" ht="15" customHeight="1" x14ac:dyDescent="0.25">
      <c r="B153" s="29">
        <v>145</v>
      </c>
      <c r="C153" s="30"/>
      <c r="D153" s="44"/>
      <c r="E153" s="32"/>
    </row>
    <row r="154" spans="2:5" s="12" customFormat="1" ht="15" customHeight="1" x14ac:dyDescent="0.25">
      <c r="B154" s="29">
        <v>146</v>
      </c>
      <c r="C154" s="30"/>
      <c r="D154" s="44"/>
      <c r="E154" s="32"/>
    </row>
    <row r="155" spans="2:5" s="12" customFormat="1" ht="15" customHeight="1" x14ac:dyDescent="0.25">
      <c r="B155" s="29">
        <v>147</v>
      </c>
      <c r="C155" s="30"/>
      <c r="D155" s="44"/>
      <c r="E155" s="32"/>
    </row>
    <row r="156" spans="2:5" s="12" customFormat="1" ht="15" customHeight="1" x14ac:dyDescent="0.25">
      <c r="B156" s="29">
        <v>148</v>
      </c>
      <c r="C156" s="30"/>
      <c r="D156" s="44"/>
      <c r="E156" s="32"/>
    </row>
    <row r="157" spans="2:5" s="12" customFormat="1" ht="15" customHeight="1" x14ac:dyDescent="0.25">
      <c r="B157" s="29">
        <v>149</v>
      </c>
      <c r="C157" s="30"/>
      <c r="D157" s="44"/>
      <c r="E157" s="32"/>
    </row>
    <row r="158" spans="2:5" s="12" customFormat="1" ht="15" customHeight="1" x14ac:dyDescent="0.25">
      <c r="B158" s="29">
        <v>150</v>
      </c>
      <c r="C158" s="30"/>
      <c r="D158" s="44"/>
      <c r="E158" s="32"/>
    </row>
    <row r="159" spans="2:5" s="12" customFormat="1" ht="15" customHeight="1" x14ac:dyDescent="0.25">
      <c r="B159" s="29">
        <v>151</v>
      </c>
      <c r="C159" s="30"/>
      <c r="D159" s="44"/>
      <c r="E159" s="32"/>
    </row>
    <row r="160" spans="2:5" s="12" customFormat="1" ht="15" customHeight="1" x14ac:dyDescent="0.25">
      <c r="B160" s="29">
        <v>152</v>
      </c>
      <c r="C160" s="30"/>
      <c r="D160" s="44"/>
      <c r="E160" s="32"/>
    </row>
    <row r="161" spans="2:5" s="12" customFormat="1" ht="15" customHeight="1" x14ac:dyDescent="0.25">
      <c r="B161" s="29">
        <v>153</v>
      </c>
      <c r="C161" s="30"/>
      <c r="D161" s="44"/>
      <c r="E161" s="32"/>
    </row>
    <row r="162" spans="2:5" s="12" customFormat="1" ht="15" customHeight="1" x14ac:dyDescent="0.25">
      <c r="B162" s="29">
        <v>154</v>
      </c>
      <c r="C162" s="30"/>
      <c r="D162" s="44"/>
      <c r="E162" s="32"/>
    </row>
    <row r="163" spans="2:5" s="12" customFormat="1" ht="15" customHeight="1" x14ac:dyDescent="0.25">
      <c r="B163" s="29">
        <v>155</v>
      </c>
      <c r="C163" s="30"/>
      <c r="D163" s="44"/>
      <c r="E163" s="32"/>
    </row>
    <row r="164" spans="2:5" s="12" customFormat="1" ht="15" customHeight="1" x14ac:dyDescent="0.25">
      <c r="B164" s="29">
        <v>156</v>
      </c>
      <c r="C164" s="30"/>
      <c r="D164" s="44"/>
      <c r="E164" s="32"/>
    </row>
    <row r="165" spans="2:5" s="12" customFormat="1" ht="15" customHeight="1" x14ac:dyDescent="0.25">
      <c r="B165" s="29">
        <v>157</v>
      </c>
      <c r="C165" s="30"/>
      <c r="D165" s="44"/>
      <c r="E165" s="32"/>
    </row>
    <row r="166" spans="2:5" s="12" customFormat="1" ht="15" customHeight="1" x14ac:dyDescent="0.25">
      <c r="B166" s="29">
        <v>158</v>
      </c>
      <c r="C166" s="30"/>
      <c r="D166" s="44"/>
      <c r="E166" s="32"/>
    </row>
    <row r="167" spans="2:5" s="12" customFormat="1" ht="15" customHeight="1" x14ac:dyDescent="0.25">
      <c r="B167" s="29">
        <v>159</v>
      </c>
      <c r="C167" s="30"/>
      <c r="D167" s="44"/>
      <c r="E167" s="32"/>
    </row>
    <row r="168" spans="2:5" s="12" customFormat="1" ht="15" customHeight="1" x14ac:dyDescent="0.25">
      <c r="B168" s="29">
        <v>160</v>
      </c>
      <c r="C168" s="30"/>
      <c r="D168" s="44"/>
      <c r="E168" s="32"/>
    </row>
    <row r="169" spans="2:5" s="12" customFormat="1" ht="15" customHeight="1" x14ac:dyDescent="0.25">
      <c r="B169" s="29">
        <v>161</v>
      </c>
      <c r="C169" s="30"/>
      <c r="D169" s="44"/>
      <c r="E169" s="32"/>
    </row>
    <row r="170" spans="2:5" s="12" customFormat="1" ht="15" customHeight="1" x14ac:dyDescent="0.25">
      <c r="B170" s="29">
        <v>162</v>
      </c>
      <c r="C170" s="30"/>
      <c r="D170" s="44"/>
      <c r="E170" s="32"/>
    </row>
    <row r="171" spans="2:5" s="12" customFormat="1" ht="15" customHeight="1" x14ac:dyDescent="0.25">
      <c r="B171" s="29">
        <v>163</v>
      </c>
      <c r="C171" s="30"/>
      <c r="D171" s="44"/>
      <c r="E171" s="32"/>
    </row>
    <row r="172" spans="2:5" s="12" customFormat="1" ht="15" customHeight="1" x14ac:dyDescent="0.25">
      <c r="B172" s="29">
        <v>164</v>
      </c>
      <c r="C172" s="30"/>
      <c r="D172" s="44"/>
      <c r="E172" s="32"/>
    </row>
    <row r="173" spans="2:5" s="12" customFormat="1" ht="15" customHeight="1" x14ac:dyDescent="0.25">
      <c r="B173" s="29">
        <v>165</v>
      </c>
      <c r="C173" s="30"/>
      <c r="D173" s="44"/>
      <c r="E173" s="32"/>
    </row>
    <row r="174" spans="2:5" s="12" customFormat="1" ht="15" customHeight="1" x14ac:dyDescent="0.25">
      <c r="B174" s="29">
        <v>166</v>
      </c>
      <c r="C174" s="30"/>
      <c r="D174" s="44"/>
      <c r="E174" s="32"/>
    </row>
    <row r="175" spans="2:5" s="12" customFormat="1" ht="15" customHeight="1" x14ac:dyDescent="0.25">
      <c r="B175" s="29">
        <v>167</v>
      </c>
      <c r="C175" s="30"/>
      <c r="D175" s="44"/>
      <c r="E175" s="32"/>
    </row>
    <row r="176" spans="2:5" s="12" customFormat="1" ht="15" customHeight="1" x14ac:dyDescent="0.25">
      <c r="B176" s="29">
        <v>168</v>
      </c>
      <c r="C176" s="30"/>
      <c r="D176" s="44"/>
      <c r="E176" s="32"/>
    </row>
    <row r="177" spans="2:5" s="12" customFormat="1" ht="15" customHeight="1" x14ac:dyDescent="0.25">
      <c r="B177" s="29">
        <v>169</v>
      </c>
      <c r="C177" s="30"/>
      <c r="D177" s="44"/>
      <c r="E177" s="32"/>
    </row>
    <row r="178" spans="2:5" s="12" customFormat="1" ht="15" customHeight="1" x14ac:dyDescent="0.25">
      <c r="B178" s="29">
        <v>170</v>
      </c>
      <c r="C178" s="30"/>
      <c r="D178" s="44"/>
      <c r="E178" s="32"/>
    </row>
    <row r="179" spans="2:5" s="12" customFormat="1" ht="15" customHeight="1" x14ac:dyDescent="0.25">
      <c r="B179" s="29">
        <v>171</v>
      </c>
      <c r="C179" s="30"/>
      <c r="D179" s="44"/>
      <c r="E179" s="32"/>
    </row>
    <row r="180" spans="2:5" s="12" customFormat="1" ht="15" customHeight="1" x14ac:dyDescent="0.25">
      <c r="B180" s="29">
        <v>172</v>
      </c>
      <c r="C180" s="30"/>
      <c r="D180" s="44"/>
      <c r="E180" s="32"/>
    </row>
    <row r="181" spans="2:5" s="12" customFormat="1" ht="15" customHeight="1" x14ac:dyDescent="0.25">
      <c r="B181" s="29">
        <v>173</v>
      </c>
      <c r="C181" s="30"/>
      <c r="D181" s="44"/>
      <c r="E181" s="32"/>
    </row>
    <row r="182" spans="2:5" s="12" customFormat="1" ht="15" customHeight="1" x14ac:dyDescent="0.25">
      <c r="B182" s="29">
        <v>174</v>
      </c>
      <c r="C182" s="30"/>
      <c r="D182" s="44"/>
      <c r="E182" s="32"/>
    </row>
    <row r="183" spans="2:5" s="12" customFormat="1" ht="15" customHeight="1" x14ac:dyDescent="0.25">
      <c r="B183" s="29">
        <v>175</v>
      </c>
      <c r="C183" s="30"/>
      <c r="D183" s="44"/>
      <c r="E183" s="32"/>
    </row>
    <row r="184" spans="2:5" s="12" customFormat="1" ht="15" customHeight="1" x14ac:dyDescent="0.25">
      <c r="B184" s="29">
        <v>176</v>
      </c>
      <c r="C184" s="30"/>
      <c r="D184" s="44"/>
      <c r="E184" s="32"/>
    </row>
    <row r="185" spans="2:5" s="12" customFormat="1" ht="15" customHeight="1" x14ac:dyDescent="0.25">
      <c r="B185" s="29">
        <v>177</v>
      </c>
      <c r="C185" s="30"/>
      <c r="D185" s="44"/>
      <c r="E185" s="32"/>
    </row>
    <row r="186" spans="2:5" s="12" customFormat="1" ht="15" customHeight="1" x14ac:dyDescent="0.25">
      <c r="B186" s="29">
        <v>178</v>
      </c>
      <c r="C186" s="30"/>
      <c r="D186" s="44"/>
      <c r="E186" s="32"/>
    </row>
    <row r="187" spans="2:5" s="12" customFormat="1" ht="15" customHeight="1" x14ac:dyDescent="0.25">
      <c r="B187" s="29">
        <v>179</v>
      </c>
      <c r="C187" s="30"/>
      <c r="D187" s="44"/>
      <c r="E187" s="32"/>
    </row>
    <row r="188" spans="2:5" s="12" customFormat="1" ht="15" customHeight="1" x14ac:dyDescent="0.25">
      <c r="B188" s="29">
        <v>180</v>
      </c>
      <c r="C188" s="30"/>
      <c r="D188" s="44"/>
      <c r="E188" s="32"/>
    </row>
    <row r="189" spans="2:5" s="12" customFormat="1" ht="15" customHeight="1" x14ac:dyDescent="0.25">
      <c r="B189" s="29">
        <v>181</v>
      </c>
      <c r="C189" s="30"/>
      <c r="D189" s="44"/>
      <c r="E189" s="32"/>
    </row>
    <row r="190" spans="2:5" s="12" customFormat="1" ht="15" customHeight="1" x14ac:dyDescent="0.25">
      <c r="B190" s="29">
        <v>182</v>
      </c>
      <c r="C190" s="30"/>
      <c r="D190" s="44"/>
      <c r="E190" s="32"/>
    </row>
    <row r="191" spans="2:5" s="12" customFormat="1" ht="15" customHeight="1" x14ac:dyDescent="0.25">
      <c r="B191" s="29">
        <v>183</v>
      </c>
      <c r="C191" s="30"/>
      <c r="D191" s="44"/>
      <c r="E191" s="32"/>
    </row>
    <row r="192" spans="2:5" s="12" customFormat="1" ht="15" customHeight="1" x14ac:dyDescent="0.25">
      <c r="B192" s="29">
        <v>184</v>
      </c>
      <c r="C192" s="30"/>
      <c r="D192" s="44"/>
      <c r="E192" s="32"/>
    </row>
    <row r="193" spans="2:5" s="12" customFormat="1" ht="15" customHeight="1" x14ac:dyDescent="0.25">
      <c r="B193" s="29">
        <v>185</v>
      </c>
      <c r="C193" s="30"/>
      <c r="D193" s="44"/>
      <c r="E193" s="32"/>
    </row>
    <row r="194" spans="2:5" s="12" customFormat="1" ht="15" customHeight="1" x14ac:dyDescent="0.25">
      <c r="B194" s="29">
        <v>186</v>
      </c>
      <c r="C194" s="30"/>
      <c r="D194" s="44"/>
      <c r="E194" s="32"/>
    </row>
    <row r="195" spans="2:5" s="12" customFormat="1" ht="15" customHeight="1" x14ac:dyDescent="0.25">
      <c r="B195" s="29">
        <v>187</v>
      </c>
      <c r="C195" s="30"/>
      <c r="D195" s="44"/>
      <c r="E195" s="32"/>
    </row>
    <row r="196" spans="2:5" s="12" customFormat="1" ht="15" customHeight="1" x14ac:dyDescent="0.25">
      <c r="B196" s="29">
        <v>188</v>
      </c>
      <c r="C196" s="30"/>
      <c r="D196" s="44"/>
      <c r="E196" s="32"/>
    </row>
    <row r="197" spans="2:5" s="12" customFormat="1" ht="15" customHeight="1" x14ac:dyDescent="0.25">
      <c r="B197" s="29">
        <v>189</v>
      </c>
      <c r="C197" s="30"/>
      <c r="D197" s="44"/>
      <c r="E197" s="32"/>
    </row>
    <row r="198" spans="2:5" s="12" customFormat="1" ht="15" customHeight="1" x14ac:dyDescent="0.25">
      <c r="B198" s="29">
        <v>190</v>
      </c>
      <c r="C198" s="30"/>
      <c r="D198" s="44"/>
      <c r="E198" s="32"/>
    </row>
    <row r="199" spans="2:5" s="12" customFormat="1" ht="15" customHeight="1" x14ac:dyDescent="0.25">
      <c r="B199" s="29">
        <v>191</v>
      </c>
      <c r="C199" s="30"/>
      <c r="D199" s="44"/>
      <c r="E199" s="32"/>
    </row>
    <row r="200" spans="2:5" s="12" customFormat="1" ht="15" customHeight="1" x14ac:dyDescent="0.25">
      <c r="B200" s="29">
        <v>192</v>
      </c>
      <c r="C200" s="30"/>
      <c r="D200" s="44"/>
      <c r="E200" s="32"/>
    </row>
    <row r="201" spans="2:5" s="12" customFormat="1" ht="15" customHeight="1" x14ac:dyDescent="0.25">
      <c r="B201" s="29">
        <v>193</v>
      </c>
      <c r="C201" s="30"/>
      <c r="D201" s="44"/>
      <c r="E201" s="32"/>
    </row>
    <row r="202" spans="2:5" s="12" customFormat="1" ht="15" customHeight="1" x14ac:dyDescent="0.25">
      <c r="B202" s="29">
        <v>194</v>
      </c>
      <c r="C202" s="30"/>
      <c r="D202" s="44"/>
      <c r="E202" s="32"/>
    </row>
    <row r="203" spans="2:5" s="12" customFormat="1" ht="15" customHeight="1" x14ac:dyDescent="0.25">
      <c r="B203" s="29">
        <v>195</v>
      </c>
      <c r="C203" s="30"/>
      <c r="D203" s="44"/>
      <c r="E203" s="32"/>
    </row>
    <row r="204" spans="2:5" s="12" customFormat="1" ht="15" customHeight="1" x14ac:dyDescent="0.25">
      <c r="B204" s="29">
        <v>196</v>
      </c>
      <c r="C204" s="30"/>
      <c r="D204" s="44"/>
      <c r="E204" s="32"/>
    </row>
    <row r="205" spans="2:5" s="12" customFormat="1" ht="15" customHeight="1" x14ac:dyDescent="0.25">
      <c r="B205" s="29">
        <v>197</v>
      </c>
      <c r="C205" s="30"/>
      <c r="D205" s="44"/>
      <c r="E205" s="32"/>
    </row>
    <row r="206" spans="2:5" s="12" customFormat="1" ht="15" customHeight="1" x14ac:dyDescent="0.25">
      <c r="B206" s="29">
        <v>198</v>
      </c>
      <c r="C206" s="30"/>
      <c r="D206" s="44"/>
      <c r="E206" s="32"/>
    </row>
    <row r="207" spans="2:5" s="12" customFormat="1" ht="15" customHeight="1" x14ac:dyDescent="0.25">
      <c r="B207" s="29">
        <v>199</v>
      </c>
      <c r="C207" s="30"/>
      <c r="D207" s="44"/>
      <c r="E207" s="32"/>
    </row>
    <row r="208" spans="2:5" s="12" customFormat="1" ht="15" customHeight="1" x14ac:dyDescent="0.25">
      <c r="B208" s="29">
        <v>200</v>
      </c>
      <c r="C208" s="30"/>
      <c r="D208" s="44"/>
      <c r="E208" s="32"/>
    </row>
    <row r="209" spans="2:5" s="12" customFormat="1" ht="15" customHeight="1" x14ac:dyDescent="0.25">
      <c r="B209" s="29">
        <v>201</v>
      </c>
      <c r="C209" s="30"/>
      <c r="D209" s="44"/>
      <c r="E209" s="32"/>
    </row>
    <row r="210" spans="2:5" s="12" customFormat="1" ht="15" customHeight="1" x14ac:dyDescent="0.25">
      <c r="B210" s="29">
        <v>202</v>
      </c>
      <c r="C210" s="30"/>
      <c r="D210" s="44"/>
      <c r="E210" s="32"/>
    </row>
    <row r="211" spans="2:5" s="12" customFormat="1" ht="15" customHeight="1" x14ac:dyDescent="0.25">
      <c r="B211" s="29">
        <v>203</v>
      </c>
      <c r="C211" s="30"/>
      <c r="D211" s="44"/>
      <c r="E211" s="32"/>
    </row>
    <row r="212" spans="2:5" s="12" customFormat="1" ht="15" customHeight="1" x14ac:dyDescent="0.25">
      <c r="B212" s="29">
        <v>204</v>
      </c>
      <c r="C212" s="30"/>
      <c r="D212" s="44"/>
      <c r="E212" s="32"/>
    </row>
    <row r="213" spans="2:5" s="12" customFormat="1" ht="15" customHeight="1" x14ac:dyDescent="0.25">
      <c r="B213" s="29">
        <v>205</v>
      </c>
      <c r="C213" s="30"/>
      <c r="D213" s="44"/>
      <c r="E213" s="32"/>
    </row>
    <row r="214" spans="2:5" s="12" customFormat="1" ht="15" customHeight="1" x14ac:dyDescent="0.25">
      <c r="B214" s="29">
        <v>206</v>
      </c>
      <c r="C214" s="30"/>
      <c r="D214" s="44"/>
      <c r="E214" s="32"/>
    </row>
    <row r="215" spans="2:5" s="12" customFormat="1" ht="15" customHeight="1" x14ac:dyDescent="0.25">
      <c r="B215" s="29">
        <v>207</v>
      </c>
      <c r="C215" s="30"/>
      <c r="D215" s="44"/>
      <c r="E215" s="32"/>
    </row>
    <row r="216" spans="2:5" s="12" customFormat="1" ht="15" customHeight="1" x14ac:dyDescent="0.25">
      <c r="B216" s="29">
        <v>208</v>
      </c>
      <c r="C216" s="30"/>
      <c r="D216" s="44"/>
      <c r="E216" s="32"/>
    </row>
    <row r="217" spans="2:5" s="12" customFormat="1" ht="15" customHeight="1" x14ac:dyDescent="0.25">
      <c r="B217" s="29">
        <v>209</v>
      </c>
      <c r="C217" s="30"/>
      <c r="D217" s="44"/>
      <c r="E217" s="32"/>
    </row>
    <row r="218" spans="2:5" s="12" customFormat="1" ht="15" customHeight="1" x14ac:dyDescent="0.25">
      <c r="B218" s="29">
        <v>210</v>
      </c>
      <c r="C218" s="30"/>
      <c r="D218" s="44"/>
      <c r="E218" s="32"/>
    </row>
    <row r="219" spans="2:5" s="12" customFormat="1" ht="15" customHeight="1" x14ac:dyDescent="0.25">
      <c r="B219" s="29">
        <v>211</v>
      </c>
      <c r="C219" s="30"/>
      <c r="D219" s="44"/>
      <c r="E219" s="32"/>
    </row>
    <row r="220" spans="2:5" s="12" customFormat="1" ht="15" customHeight="1" x14ac:dyDescent="0.25">
      <c r="B220" s="29">
        <v>212</v>
      </c>
      <c r="C220" s="30"/>
      <c r="D220" s="44"/>
      <c r="E220" s="32"/>
    </row>
    <row r="221" spans="2:5" s="12" customFormat="1" ht="15" customHeight="1" x14ac:dyDescent="0.25">
      <c r="B221" s="29">
        <v>213</v>
      </c>
      <c r="C221" s="30"/>
      <c r="D221" s="44"/>
      <c r="E221" s="32"/>
    </row>
    <row r="222" spans="2:5" s="12" customFormat="1" ht="15" customHeight="1" x14ac:dyDescent="0.25">
      <c r="B222" s="29">
        <v>214</v>
      </c>
      <c r="C222" s="30"/>
      <c r="D222" s="44"/>
      <c r="E222" s="32"/>
    </row>
    <row r="223" spans="2:5" s="12" customFormat="1" ht="15" customHeight="1" x14ac:dyDescent="0.25">
      <c r="B223" s="29">
        <v>215</v>
      </c>
      <c r="C223" s="30"/>
      <c r="D223" s="44"/>
      <c r="E223" s="32"/>
    </row>
    <row r="224" spans="2:5" s="12" customFormat="1" ht="15" customHeight="1" x14ac:dyDescent="0.25">
      <c r="B224" s="29">
        <v>216</v>
      </c>
      <c r="C224" s="30"/>
      <c r="D224" s="44"/>
      <c r="E224" s="32"/>
    </row>
    <row r="225" spans="2:5" s="12" customFormat="1" ht="15" customHeight="1" x14ac:dyDescent="0.25">
      <c r="B225" s="29">
        <v>217</v>
      </c>
      <c r="C225" s="30"/>
      <c r="D225" s="44"/>
      <c r="E225" s="32"/>
    </row>
    <row r="226" spans="2:5" s="12" customFormat="1" ht="15" customHeight="1" x14ac:dyDescent="0.25">
      <c r="B226" s="29">
        <v>218</v>
      </c>
      <c r="C226" s="30"/>
      <c r="D226" s="44"/>
      <c r="E226" s="32"/>
    </row>
    <row r="227" spans="2:5" s="12" customFormat="1" ht="15" customHeight="1" x14ac:dyDescent="0.25">
      <c r="B227" s="29">
        <v>219</v>
      </c>
      <c r="C227" s="30"/>
      <c r="D227" s="44"/>
      <c r="E227" s="32"/>
    </row>
    <row r="228" spans="2:5" s="12" customFormat="1" ht="15" customHeight="1" x14ac:dyDescent="0.25">
      <c r="B228" s="29">
        <v>220</v>
      </c>
      <c r="C228" s="30"/>
      <c r="D228" s="44"/>
      <c r="E228" s="32"/>
    </row>
    <row r="229" spans="2:5" s="12" customFormat="1" ht="15" customHeight="1" x14ac:dyDescent="0.25">
      <c r="B229" s="29">
        <v>221</v>
      </c>
      <c r="C229" s="30"/>
      <c r="D229" s="44"/>
      <c r="E229" s="32"/>
    </row>
    <row r="230" spans="2:5" s="12" customFormat="1" ht="15" customHeight="1" x14ac:dyDescent="0.25">
      <c r="B230" s="29">
        <v>222</v>
      </c>
      <c r="C230" s="30"/>
      <c r="D230" s="44"/>
      <c r="E230" s="32"/>
    </row>
    <row r="231" spans="2:5" s="12" customFormat="1" ht="15" customHeight="1" x14ac:dyDescent="0.25">
      <c r="B231" s="29">
        <v>223</v>
      </c>
      <c r="C231" s="30"/>
      <c r="D231" s="44"/>
      <c r="E231" s="32"/>
    </row>
    <row r="232" spans="2:5" s="12" customFormat="1" ht="15" customHeight="1" x14ac:dyDescent="0.25">
      <c r="B232" s="29">
        <v>224</v>
      </c>
      <c r="C232" s="30"/>
      <c r="D232" s="44"/>
      <c r="E232" s="32"/>
    </row>
    <row r="233" spans="2:5" s="12" customFormat="1" ht="15" customHeight="1" x14ac:dyDescent="0.25">
      <c r="B233" s="29">
        <v>225</v>
      </c>
      <c r="C233" s="30"/>
      <c r="D233" s="44"/>
      <c r="E233" s="32"/>
    </row>
    <row r="234" spans="2:5" s="12" customFormat="1" ht="15" customHeight="1" x14ac:dyDescent="0.25">
      <c r="B234" s="29">
        <v>226</v>
      </c>
      <c r="C234" s="30"/>
      <c r="D234" s="44"/>
      <c r="E234" s="32"/>
    </row>
    <row r="235" spans="2:5" s="12" customFormat="1" ht="15" customHeight="1" x14ac:dyDescent="0.25">
      <c r="B235" s="29">
        <v>227</v>
      </c>
      <c r="C235" s="30"/>
      <c r="D235" s="44"/>
      <c r="E235" s="32"/>
    </row>
    <row r="236" spans="2:5" s="12" customFormat="1" ht="15" customHeight="1" x14ac:dyDescent="0.25">
      <c r="B236" s="29">
        <v>228</v>
      </c>
      <c r="C236" s="30"/>
      <c r="D236" s="44"/>
      <c r="E236" s="32"/>
    </row>
    <row r="237" spans="2:5" s="12" customFormat="1" ht="15" customHeight="1" x14ac:dyDescent="0.25">
      <c r="B237" s="29">
        <v>229</v>
      </c>
      <c r="C237" s="30"/>
      <c r="D237" s="44"/>
      <c r="E237" s="32"/>
    </row>
    <row r="238" spans="2:5" s="12" customFormat="1" ht="15" customHeight="1" x14ac:dyDescent="0.25">
      <c r="B238" s="29">
        <v>230</v>
      </c>
      <c r="C238" s="30"/>
      <c r="D238" s="44"/>
      <c r="E238" s="32"/>
    </row>
    <row r="239" spans="2:5" s="12" customFormat="1" ht="15" customHeight="1" x14ac:dyDescent="0.25">
      <c r="B239" s="29">
        <v>231</v>
      </c>
      <c r="C239" s="30"/>
      <c r="D239" s="44"/>
      <c r="E239" s="32"/>
    </row>
    <row r="240" spans="2:5" s="12" customFormat="1" ht="15" customHeight="1" x14ac:dyDescent="0.25">
      <c r="B240" s="29">
        <v>232</v>
      </c>
      <c r="C240" s="30"/>
      <c r="D240" s="44"/>
      <c r="E240" s="32"/>
    </row>
    <row r="241" spans="2:5" s="12" customFormat="1" ht="15" customHeight="1" x14ac:dyDescent="0.25">
      <c r="B241" s="29">
        <v>233</v>
      </c>
      <c r="C241" s="30"/>
      <c r="D241" s="44"/>
      <c r="E241" s="32"/>
    </row>
    <row r="242" spans="2:5" s="12" customFormat="1" ht="15" customHeight="1" x14ac:dyDescent="0.25">
      <c r="B242" s="29">
        <v>234</v>
      </c>
      <c r="C242" s="30"/>
      <c r="D242" s="44"/>
      <c r="E242" s="32"/>
    </row>
    <row r="243" spans="2:5" s="12" customFormat="1" ht="15" customHeight="1" x14ac:dyDescent="0.25">
      <c r="B243" s="29">
        <v>235</v>
      </c>
      <c r="C243" s="30"/>
      <c r="D243" s="44"/>
      <c r="E243" s="32"/>
    </row>
    <row r="244" spans="2:5" s="12" customFormat="1" ht="15" customHeight="1" x14ac:dyDescent="0.25">
      <c r="B244" s="29">
        <v>236</v>
      </c>
      <c r="C244" s="30"/>
      <c r="D244" s="44"/>
      <c r="E244" s="32"/>
    </row>
    <row r="245" spans="2:5" s="12" customFormat="1" ht="15" customHeight="1" x14ac:dyDescent="0.25">
      <c r="B245" s="29">
        <v>237</v>
      </c>
      <c r="C245" s="30"/>
      <c r="D245" s="44"/>
      <c r="E245" s="32"/>
    </row>
    <row r="246" spans="2:5" s="12" customFormat="1" ht="15" customHeight="1" x14ac:dyDescent="0.25">
      <c r="B246" s="29">
        <v>238</v>
      </c>
      <c r="C246" s="30"/>
      <c r="D246" s="44"/>
      <c r="E246" s="32"/>
    </row>
    <row r="247" spans="2:5" s="12" customFormat="1" ht="15" customHeight="1" x14ac:dyDescent="0.25">
      <c r="B247" s="29">
        <v>239</v>
      </c>
      <c r="C247" s="30"/>
      <c r="D247" s="44"/>
      <c r="E247" s="32"/>
    </row>
    <row r="248" spans="2:5" s="12" customFormat="1" ht="15" customHeight="1" x14ac:dyDescent="0.25">
      <c r="B248" s="29">
        <v>240</v>
      </c>
      <c r="C248" s="30"/>
      <c r="D248" s="44"/>
      <c r="E248" s="32"/>
    </row>
    <row r="249" spans="2:5" s="12" customFormat="1" ht="15" customHeight="1" x14ac:dyDescent="0.25">
      <c r="B249" s="29">
        <v>241</v>
      </c>
      <c r="C249" s="30"/>
      <c r="D249" s="44"/>
      <c r="E249" s="32"/>
    </row>
    <row r="250" spans="2:5" s="12" customFormat="1" ht="15" customHeight="1" x14ac:dyDescent="0.25">
      <c r="B250" s="29">
        <v>242</v>
      </c>
      <c r="C250" s="30"/>
      <c r="D250" s="44"/>
      <c r="E250" s="32"/>
    </row>
    <row r="251" spans="2:5" s="12" customFormat="1" ht="15" customHeight="1" x14ac:dyDescent="0.25">
      <c r="B251" s="29">
        <v>243</v>
      </c>
      <c r="C251" s="30"/>
      <c r="D251" s="44"/>
      <c r="E251" s="32"/>
    </row>
    <row r="252" spans="2:5" s="12" customFormat="1" ht="15" customHeight="1" x14ac:dyDescent="0.25">
      <c r="B252" s="29">
        <v>244</v>
      </c>
      <c r="C252" s="30"/>
      <c r="D252" s="44"/>
      <c r="E252" s="32"/>
    </row>
    <row r="253" spans="2:5" s="12" customFormat="1" ht="15" customHeight="1" x14ac:dyDescent="0.25">
      <c r="B253" s="29">
        <v>245</v>
      </c>
      <c r="C253" s="30"/>
      <c r="D253" s="44"/>
      <c r="E253" s="32"/>
    </row>
    <row r="254" spans="2:5" s="12" customFormat="1" ht="15" customHeight="1" x14ac:dyDescent="0.25">
      <c r="B254" s="29">
        <v>246</v>
      </c>
      <c r="C254" s="30"/>
      <c r="D254" s="44"/>
      <c r="E254" s="32"/>
    </row>
    <row r="255" spans="2:5" s="12" customFormat="1" ht="15" customHeight="1" x14ac:dyDescent="0.25">
      <c r="B255" s="29">
        <v>247</v>
      </c>
      <c r="C255" s="30"/>
      <c r="D255" s="44"/>
      <c r="E255" s="32"/>
    </row>
    <row r="256" spans="2:5" s="12" customFormat="1" ht="15" customHeight="1" x14ac:dyDescent="0.25">
      <c r="B256" s="29">
        <v>248</v>
      </c>
      <c r="C256" s="30"/>
      <c r="D256" s="44"/>
      <c r="E256" s="32"/>
    </row>
    <row r="257" spans="2:5" s="12" customFormat="1" ht="15" customHeight="1" x14ac:dyDescent="0.25">
      <c r="B257" s="29">
        <v>249</v>
      </c>
      <c r="C257" s="30"/>
      <c r="D257" s="44"/>
      <c r="E257" s="32"/>
    </row>
    <row r="258" spans="2:5" s="12" customFormat="1" ht="15" customHeight="1" x14ac:dyDescent="0.25">
      <c r="B258" s="29">
        <v>250</v>
      </c>
      <c r="C258" s="30"/>
      <c r="D258" s="44"/>
      <c r="E258" s="32"/>
    </row>
    <row r="259" spans="2:5" x14ac:dyDescent="0.3"/>
  </sheetData>
  <mergeCells count="2">
    <mergeCell ref="B6:D6"/>
    <mergeCell ref="B4:D4"/>
  </mergeCells>
  <phoneticPr fontId="2" type="noConversion"/>
  <dataValidations count="2">
    <dataValidation type="list" allowBlank="1" showInputMessage="1" showErrorMessage="1" sqref="E4">
      <formula1>Months</formula1>
    </dataValidation>
    <dataValidation type="decimal" allowBlank="1" showInputMessage="1" showErrorMessage="1" sqref="E6">
      <formula1>2008</formula1>
      <formula2>2100</formula2>
    </dataValidation>
  </dataValidation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V317"/>
  <sheetViews>
    <sheetView showGridLines="0" zoomScaleNormal="100" zoomScalePageLayoutView="50" workbookViewId="0">
      <selection activeCell="A2" sqref="A2:P3"/>
    </sheetView>
  </sheetViews>
  <sheetFormatPr defaultColWidth="0" defaultRowHeight="15.6" zeroHeight="1" x14ac:dyDescent="0.3"/>
  <cols>
    <col min="1" max="1" width="10.77734375" style="51" customWidth="1"/>
    <col min="2" max="2" width="2.109375" style="51" customWidth="1"/>
    <col min="3" max="3" width="4.6640625" style="51" customWidth="1"/>
    <col min="4" max="4" width="15.6640625" style="79" customWidth="1"/>
    <col min="5" max="5" width="4.6640625" style="51" customWidth="1"/>
    <col min="6" max="6" width="15.6640625" style="79" customWidth="1"/>
    <col min="7" max="7" width="4.6640625" style="51" customWidth="1"/>
    <col min="8" max="8" width="15.6640625" style="79" customWidth="1"/>
    <col min="9" max="9" width="4.6640625" style="51" customWidth="1"/>
    <col min="10" max="10" width="15.6640625" style="79" customWidth="1"/>
    <col min="11" max="11" width="4.6640625" style="51" customWidth="1"/>
    <col min="12" max="12" width="15.6640625" style="79" customWidth="1"/>
    <col min="13" max="13" width="4.6640625" style="51" customWidth="1"/>
    <col min="14" max="14" width="15.6640625" style="79" customWidth="1"/>
    <col min="15" max="15" width="4.6640625" style="51" customWidth="1"/>
    <col min="16" max="16" width="15.6640625" style="79" customWidth="1"/>
    <col min="17" max="17" width="8.77734375" style="49" customWidth="1"/>
    <col min="18" max="21" width="8.77734375" style="49" hidden="1" customWidth="1"/>
    <col min="22" max="23" width="2.33203125" style="49" hidden="1" customWidth="1"/>
    <col min="24" max="24" width="2.77734375" style="50" hidden="1" customWidth="1"/>
    <col min="25" max="25" width="4.6640625" style="51" hidden="1" customWidth="1"/>
    <col min="26" max="32" width="4.6640625" style="56" hidden="1" customWidth="1"/>
    <col min="33" max="33" width="2.77734375" style="51" hidden="1" customWidth="1"/>
    <col min="34" max="256" width="0" style="51" hidden="1" customWidth="1"/>
    <col min="257" max="16384" width="9.109375" style="51" hidden="1"/>
  </cols>
  <sheetData>
    <row r="1" spans="1:34" x14ac:dyDescent="0.3"/>
    <row r="2" spans="1:34" s="63" customFormat="1" ht="25.05" customHeight="1" x14ac:dyDescent="0.5">
      <c r="A2" s="234" t="str">
        <f>UPPER(TEXT(DATE(M31,O31,K16),"mmmm yyyy"))</f>
        <v>AUGUST YYYY</v>
      </c>
      <c r="B2" s="235"/>
      <c r="C2" s="235"/>
      <c r="D2" s="235"/>
      <c r="E2" s="235"/>
      <c r="F2" s="235"/>
      <c r="G2" s="235"/>
      <c r="H2" s="235"/>
      <c r="I2" s="235"/>
      <c r="J2" s="235"/>
      <c r="K2" s="235"/>
      <c r="L2" s="235"/>
      <c r="M2" s="235"/>
      <c r="N2" s="235"/>
      <c r="O2" s="235"/>
      <c r="P2" s="235"/>
      <c r="Q2" s="61"/>
      <c r="R2" s="61"/>
      <c r="S2" s="61"/>
      <c r="T2" s="61"/>
      <c r="U2" s="61"/>
      <c r="V2" s="61"/>
      <c r="W2" s="61"/>
      <c r="X2" s="62"/>
      <c r="Z2" s="64"/>
      <c r="AA2" s="64"/>
      <c r="AB2" s="64"/>
      <c r="AC2" s="64"/>
      <c r="AD2" s="64"/>
      <c r="AE2" s="64"/>
      <c r="AF2" s="64"/>
    </row>
    <row r="3" spans="1:34" s="63" customFormat="1" ht="25.05" customHeight="1" x14ac:dyDescent="0.5">
      <c r="A3" s="235"/>
      <c r="B3" s="235"/>
      <c r="C3" s="235"/>
      <c r="D3" s="235"/>
      <c r="E3" s="235"/>
      <c r="F3" s="235"/>
      <c r="G3" s="235"/>
      <c r="H3" s="235"/>
      <c r="I3" s="235"/>
      <c r="J3" s="235"/>
      <c r="K3" s="235"/>
      <c r="L3" s="235"/>
      <c r="M3" s="235"/>
      <c r="N3" s="235"/>
      <c r="O3" s="235"/>
      <c r="P3" s="235"/>
      <c r="Q3" s="61"/>
      <c r="R3" s="61"/>
      <c r="S3" s="61"/>
      <c r="T3" s="61"/>
      <c r="U3" s="61"/>
      <c r="V3" s="61"/>
      <c r="W3" s="61"/>
      <c r="X3" s="62"/>
      <c r="Z3" s="64"/>
      <c r="AA3" s="64"/>
      <c r="AB3" s="64"/>
      <c r="AC3" s="64"/>
      <c r="AD3" s="64"/>
      <c r="AE3" s="64"/>
      <c r="AF3" s="64"/>
    </row>
    <row r="4" spans="1:34" ht="17.25" customHeight="1" x14ac:dyDescent="0.3">
      <c r="Z4" s="52"/>
      <c r="AA4" s="52"/>
      <c r="AB4" s="52"/>
      <c r="AC4" s="52"/>
      <c r="AD4" s="52"/>
      <c r="AE4" s="52"/>
      <c r="AF4" s="52"/>
    </row>
    <row r="5" spans="1:34" s="53" customFormat="1" ht="30" customHeight="1" x14ac:dyDescent="0.25">
      <c r="A5" s="113"/>
      <c r="C5" s="236" t="s">
        <v>18</v>
      </c>
      <c r="D5" s="236"/>
      <c r="E5" s="236" t="s">
        <v>19</v>
      </c>
      <c r="F5" s="236"/>
      <c r="G5" s="236" t="s">
        <v>20</v>
      </c>
      <c r="H5" s="236"/>
      <c r="I5" s="236" t="s">
        <v>21</v>
      </c>
      <c r="J5" s="236"/>
      <c r="K5" s="236" t="s">
        <v>22</v>
      </c>
      <c r="L5" s="236"/>
      <c r="M5" s="236" t="s">
        <v>23</v>
      </c>
      <c r="N5" s="236"/>
      <c r="O5" s="236" t="s">
        <v>24</v>
      </c>
      <c r="P5" s="236"/>
      <c r="Q5" s="54"/>
      <c r="R5" s="54"/>
      <c r="S5" s="54"/>
      <c r="T5" s="54"/>
      <c r="U5" s="54"/>
      <c r="V5" s="54"/>
      <c r="W5" s="54"/>
      <c r="X5" s="55"/>
    </row>
    <row r="6" spans="1:34" s="13" customFormat="1" ht="15" customHeight="1" x14ac:dyDescent="0.25">
      <c r="A6" s="113"/>
      <c r="C6" s="73" t="str">
        <f>IF(WEEKDAY(DATE($M$31,$O$31,1))=1,1,"")</f>
        <v/>
      </c>
      <c r="D6" s="80" t="str">
        <f>IF(C6&lt;&gt;"",IF(ISNA(VLOOKUP(DATE($M$31,$O$31,C6),'Todo-Holiday-Event'!$L$9:$M$28,2,FALSE)),IF(ISNA(VLOOKUP(DATE($M$31,$O$31,C6),'Todo-Holiday-Event'!$H$9:$I$28,2,FALSE)),"",VLOOKUP(DATE($M$31,$O$31,C6),'Todo-Holiday-Event'!$H$9:$I$28,2,FALSE)),VLOOKUP(DATE($M$31,$O$31,C6),'Todo-Holiday-Event'!$L$9:$M$28,2,FALSE)),"")</f>
        <v/>
      </c>
      <c r="E6" s="73" t="str">
        <f>IF(C6&lt;&gt;"",C6+1,IF(WEEKDAY(DATE($M$31,$O$31,1))=2,1,""))</f>
        <v/>
      </c>
      <c r="F6" s="80" t="str">
        <f>IF(E6&lt;&gt;"",IF(ISNA(VLOOKUP(DATE($M$31,$O$31,E6),'Todo-Holiday-Event'!$L$9:$M$28,2,FALSE)),IF(ISNA(VLOOKUP(DATE($M$31,$O$31,E6),'Todo-Holiday-Event'!$H$9:$I$28,2,FALSE)),"",VLOOKUP(DATE($M$31,$O$31,E6),'Todo-Holiday-Event'!$H$9:$I$28,2,FALSE)),VLOOKUP(DATE($M$31,$O$31,E6),'Todo-Holiday-Event'!$L$9:$M$28,2,FALSE)),"")</f>
        <v/>
      </c>
      <c r="G6" s="73" t="str">
        <f>IF(E6&lt;&gt;"",E6+1,IF(WEEKDAY(DATE($M$31,$O$31,1))=3,1,""))</f>
        <v/>
      </c>
      <c r="H6" s="80" t="str">
        <f>IF(G6&lt;&gt;"",IF(ISNA(VLOOKUP(DATE($M$31,$O$31,G6),'Todo-Holiday-Event'!$L$9:$M$28,2,FALSE)),IF(ISNA(VLOOKUP(DATE($M$31,$O$31,G6),'Todo-Holiday-Event'!$H$9:$I$28,2,FALSE)),"",VLOOKUP(DATE($M$31,$O$31,G6),'Todo-Holiday-Event'!$H$9:$I$28,2,FALSE)),VLOOKUP(DATE($M$31,$O$31,G6),'Todo-Holiday-Event'!$L$9:$M$28,2,FALSE)),"")</f>
        <v/>
      </c>
      <c r="I6" s="73" t="str">
        <f>IF(G6&lt;&gt;"",G6+1,IF(WEEKDAY(DATE($M$31,$O$31,1))=4,1,""))</f>
        <v/>
      </c>
      <c r="J6" s="80" t="str">
        <f>IF(I6&lt;&gt;"",IF(ISNA(VLOOKUP(DATE($M$31,$O$31,I6),'Todo-Holiday-Event'!$L$9:$M$28,2,FALSE)),IF(ISNA(VLOOKUP(DATE($M$31,$O$31,I6),'Todo-Holiday-Event'!$H$9:$I$28,2,FALSE)),"",VLOOKUP(DATE($M$31,$O$31,I6),'Todo-Holiday-Event'!$H$9:$I$28,2,FALSE)),VLOOKUP(DATE($M$31,$O$31,I6),'Todo-Holiday-Event'!$L$9:$M$28,2,FALSE)),"")</f>
        <v/>
      </c>
      <c r="K6" s="73">
        <f>IF(I6&lt;&gt;"",I6+1,IF(WEEKDAY(DATE($M$31,$O$31,1))=5,1,""))</f>
        <v>1</v>
      </c>
      <c r="L6" s="80" t="str">
        <f>IF(K6&lt;&gt;"",IF(ISNA(VLOOKUP(DATE($M$31,$O$31,K6),'Todo-Holiday-Event'!$L$9:$M$28,2,FALSE)),IF(ISNA(VLOOKUP(DATE($M$31,$O$31,K6),'Todo-Holiday-Event'!$H$9:$I$28,2,FALSE)),"",VLOOKUP(DATE($M$31,$O$31,K6),'Todo-Holiday-Event'!$H$9:$I$28,2,FALSE)),VLOOKUP(DATE($M$31,$O$31,K6),'Todo-Holiday-Event'!$L$9:$M$28,2,FALSE)),"")</f>
        <v/>
      </c>
      <c r="M6" s="73">
        <f>IF(K6&lt;&gt;"",K6+1,IF(WEEKDAY(DATE($M$31,$O$31,1))=6,1,""))</f>
        <v>2</v>
      </c>
      <c r="N6" s="80" t="str">
        <f>IF(M6&lt;&gt;"",IF(ISNA(VLOOKUP(DATE($M$31,$O$31,M6),'Todo-Holiday-Event'!$L$9:$M$28,2,FALSE)),IF(ISNA(VLOOKUP(DATE($M$31,$O$31,M6),'Todo-Holiday-Event'!$H$9:$I$28,2,FALSE)),"",VLOOKUP(DATE($M$31,$O$31,M6),'Todo-Holiday-Event'!$H$9:$I$28,2,FALSE)),VLOOKUP(DATE($M$31,$O$31,M6),'Todo-Holiday-Event'!$L$9:$M$28,2,FALSE)),"")</f>
        <v/>
      </c>
      <c r="O6" s="73">
        <f>IF(M6&lt;&gt;"",M6+1,IF(WEEKDAY(DATE($M$31,$O$31,1))=7,1,""))</f>
        <v>3</v>
      </c>
      <c r="P6" s="80" t="str">
        <f>IF(O6&lt;&gt;"",IF(ISNA(VLOOKUP(DATE($M$31,$O$31,O6),'Todo-Holiday-Event'!$L$9:$M$28,2,FALSE)),IF(ISNA(VLOOKUP(DATE($M$31,$O$31,O6),'Todo-Holiday-Event'!$H$9:$I$28,2,FALSE)),"",VLOOKUP(DATE($M$31,$O$31,O6),'Todo-Holiday-Event'!$H$9:$I$28,2,FALSE)),VLOOKUP(DATE($M$31,$O$31,O6),'Todo-Holiday-Event'!$L$9:$M$28,2,FALSE)),"")</f>
        <v/>
      </c>
      <c r="Q6" s="74"/>
      <c r="R6" s="74"/>
      <c r="S6" s="74"/>
      <c r="T6" s="74"/>
      <c r="U6" s="74"/>
      <c r="V6" s="75"/>
      <c r="W6" s="75"/>
      <c r="X6" s="70"/>
    </row>
    <row r="7" spans="1:34" s="76" customFormat="1" ht="15" customHeight="1" x14ac:dyDescent="0.25">
      <c r="A7" s="113"/>
      <c r="C7" s="68" t="str">
        <f>IF(ISERROR('Supporting Calendar'!AB1),"",INDEX('Todo-Holiday-Event'!$D$9:$D$258,'Supporting Calendar'!AB1))</f>
        <v/>
      </c>
      <c r="D7" s="69" t="str">
        <f>IF(ISERROR('Supporting Calendar'!AB1),"",INDEX('Todo-Holiday-Event'!$E$9:$E$258,'Supporting Calendar'!AB1))</f>
        <v/>
      </c>
      <c r="E7" s="68" t="str">
        <f>IF(ISERROR('Supporting Calendar'!AC1),"",INDEX('Todo-Holiday-Event'!$D$9:$D$258,'Supporting Calendar'!AC1))</f>
        <v/>
      </c>
      <c r="F7" s="69" t="str">
        <f>IF(ISERROR('Supporting Calendar'!AC1),"",INDEX('Todo-Holiday-Event'!$E$9:$E$258,'Supporting Calendar'!AC1))</f>
        <v/>
      </c>
      <c r="G7" s="68" t="str">
        <f>IF(ISERROR('Supporting Calendar'!AD1),"",INDEX('Todo-Holiday-Event'!$D$9:$D$258,'Supporting Calendar'!AD1))</f>
        <v/>
      </c>
      <c r="H7" s="69" t="str">
        <f>IF(ISERROR('Supporting Calendar'!AD1),"",INDEX('Todo-Holiday-Event'!$E$9:$E$258,'Supporting Calendar'!AD1))</f>
        <v/>
      </c>
      <c r="I7" s="68" t="str">
        <f>IF(ISERROR('Supporting Calendar'!AE1),"",INDEX('Todo-Holiday-Event'!$D$9:$D$258,'Supporting Calendar'!AE1))</f>
        <v/>
      </c>
      <c r="J7" s="69" t="str">
        <f>IF(ISERROR('Supporting Calendar'!AE1),"",INDEX('Todo-Holiday-Event'!$E$9:$E$258,'Supporting Calendar'!AE1))</f>
        <v/>
      </c>
      <c r="K7" s="68" t="str">
        <f>IF(ISERROR('Supporting Calendar'!AF1),"",INDEX('Todo-Holiday-Event'!$D$9:$D$258,'Supporting Calendar'!AF1))</f>
        <v/>
      </c>
      <c r="L7" s="69" t="str">
        <f>IF(ISERROR('Supporting Calendar'!AF1),"",INDEX('Todo-Holiday-Event'!$E$9:$E$258,'Supporting Calendar'!AF1))</f>
        <v/>
      </c>
      <c r="M7" s="68" t="str">
        <f>IF(ISERROR('Supporting Calendar'!AG1),"",INDEX('Todo-Holiday-Event'!$D$9:$D$258,'Supporting Calendar'!AG1))</f>
        <v/>
      </c>
      <c r="N7" s="69" t="str">
        <f>IF(ISERROR('Supporting Calendar'!AG1),"",INDEX('Todo-Holiday-Event'!$E$9:$E$258,'Supporting Calendar'!AG1))</f>
        <v/>
      </c>
      <c r="O7" s="68" t="str">
        <f>IF(ISERROR('Supporting Calendar'!AH1),"",INDEX('Todo-Holiday-Event'!$D$9:$D$258,'Supporting Calendar'!AH1))</f>
        <v/>
      </c>
      <c r="P7" s="69" t="str">
        <f>IF(ISERROR('Supporting Calendar'!AH1),"",INDEX('Todo-Holiday-Event'!$E$9:$E$258,'Supporting Calendar'!AH1))</f>
        <v/>
      </c>
      <c r="AH7" s="78"/>
    </row>
    <row r="8" spans="1:34" s="76" customFormat="1" ht="15" customHeight="1" x14ac:dyDescent="0.25">
      <c r="A8" s="113"/>
      <c r="C8" s="68" t="str">
        <f ca="1">IF(ISERROR('Supporting Calendar'!AB2),"",INDEX('Todo-Holiday-Event'!$D$9:$D$258,'Supporting Calendar'!AB2))</f>
        <v/>
      </c>
      <c r="D8" s="69" t="str">
        <f ca="1">IF(ISERROR('Supporting Calendar'!AB2),"",INDEX('Todo-Holiday-Event'!$E$9:$E$258,'Supporting Calendar'!AB2))</f>
        <v/>
      </c>
      <c r="E8" s="68" t="str">
        <f ca="1">IF(ISERROR('Supporting Calendar'!AC2),"",INDEX('Todo-Holiday-Event'!$D$9:$D$258,'Supporting Calendar'!AC2))</f>
        <v/>
      </c>
      <c r="F8" s="69" t="str">
        <f ca="1">IF(ISERROR('Supporting Calendar'!AC2),"",INDEX('Todo-Holiday-Event'!$E$9:$E$258,'Supporting Calendar'!AC2))</f>
        <v/>
      </c>
      <c r="G8" s="68" t="str">
        <f ca="1">IF(ISERROR('Supporting Calendar'!AD2),"",INDEX('Todo-Holiday-Event'!$D$9:$D$258,'Supporting Calendar'!AD2))</f>
        <v/>
      </c>
      <c r="H8" s="69" t="str">
        <f ca="1">IF(ISERROR('Supporting Calendar'!AD2),"",INDEX('Todo-Holiday-Event'!$E$9:$E$258,'Supporting Calendar'!AD2))</f>
        <v/>
      </c>
      <c r="I8" s="68" t="str">
        <f ca="1">IF(ISERROR('Supporting Calendar'!AE2),"",INDEX('Todo-Holiday-Event'!$D$9:$D$258,'Supporting Calendar'!AE2))</f>
        <v/>
      </c>
      <c r="J8" s="69" t="str">
        <f ca="1">IF(ISERROR('Supporting Calendar'!AE2),"",INDEX('Todo-Holiday-Event'!$E$9:$E$258,'Supporting Calendar'!AE2))</f>
        <v/>
      </c>
      <c r="K8" s="68" t="str">
        <f ca="1">IF(ISERROR('Supporting Calendar'!AF2),"",INDEX('Todo-Holiday-Event'!$D$9:$D$258,'Supporting Calendar'!AF2))</f>
        <v/>
      </c>
      <c r="L8" s="69" t="str">
        <f ca="1">IF(ISERROR('Supporting Calendar'!AF2),"",INDEX('Todo-Holiday-Event'!$E$9:$E$258,'Supporting Calendar'!AF2))</f>
        <v/>
      </c>
      <c r="M8" s="68" t="str">
        <f ca="1">IF(ISERROR('Supporting Calendar'!AG2),"",INDEX('Todo-Holiday-Event'!$D$9:$D$258,'Supporting Calendar'!AG2))</f>
        <v/>
      </c>
      <c r="N8" s="69" t="str">
        <f ca="1">IF(ISERROR('Supporting Calendar'!AG2),"",INDEX('Todo-Holiday-Event'!$E$9:$E$258,'Supporting Calendar'!AG2))</f>
        <v/>
      </c>
      <c r="O8" s="68" t="str">
        <f ca="1">IF(ISERROR('Supporting Calendar'!AH2),"",INDEX('Todo-Holiday-Event'!$D$9:$D$258,'Supporting Calendar'!AH2))</f>
        <v/>
      </c>
      <c r="P8" s="69" t="str">
        <f ca="1">IF(ISERROR('Supporting Calendar'!AH2),"",INDEX('Todo-Holiday-Event'!$E$9:$E$258,'Supporting Calendar'!AH2))</f>
        <v/>
      </c>
      <c r="AH8" s="78"/>
    </row>
    <row r="9" spans="1:34" s="76" customFormat="1" ht="15" customHeight="1" x14ac:dyDescent="0.25">
      <c r="A9" s="113"/>
      <c r="C9" s="68" t="str">
        <f ca="1">IF(ISERROR('Supporting Calendar'!AB3),"",INDEX('Todo-Holiday-Event'!$D$9:$D$258,'Supporting Calendar'!AB3))</f>
        <v/>
      </c>
      <c r="D9" s="69" t="str">
        <f ca="1">IF(ISERROR('Supporting Calendar'!AB3),"",INDEX('Todo-Holiday-Event'!$E$9:$E$258,'Supporting Calendar'!AB3))</f>
        <v/>
      </c>
      <c r="E9" s="68" t="str">
        <f ca="1">IF(ISERROR('Supporting Calendar'!AC3),"",INDEX('Todo-Holiday-Event'!$D$9:$D$258,'Supporting Calendar'!AC3))</f>
        <v/>
      </c>
      <c r="F9" s="69" t="str">
        <f ca="1">IF(ISERROR('Supporting Calendar'!AC3),"",INDEX('Todo-Holiday-Event'!$E$9:$E$258,'Supporting Calendar'!AC3))</f>
        <v/>
      </c>
      <c r="G9" s="68" t="str">
        <f ca="1">IF(ISERROR('Supporting Calendar'!AD3),"",INDEX('Todo-Holiday-Event'!$D$9:$D$258,'Supporting Calendar'!AD3))</f>
        <v/>
      </c>
      <c r="H9" s="69" t="str">
        <f ca="1">IF(ISERROR('Supporting Calendar'!AD3),"",INDEX('Todo-Holiday-Event'!$E$9:$E$258,'Supporting Calendar'!AD3))</f>
        <v/>
      </c>
      <c r="I9" s="68" t="str">
        <f ca="1">IF(ISERROR('Supporting Calendar'!AE3),"",INDEX('Todo-Holiday-Event'!$D$9:$D$258,'Supporting Calendar'!AE3))</f>
        <v/>
      </c>
      <c r="J9" s="69" t="str">
        <f ca="1">IF(ISERROR('Supporting Calendar'!AE3),"",INDEX('Todo-Holiday-Event'!$E$9:$E$258,'Supporting Calendar'!AE3))</f>
        <v/>
      </c>
      <c r="K9" s="68" t="str">
        <f ca="1">IF(ISERROR('Supporting Calendar'!AF3),"",INDEX('Todo-Holiday-Event'!$D$9:$D$258,'Supporting Calendar'!AF3))</f>
        <v/>
      </c>
      <c r="L9" s="69" t="str">
        <f ca="1">IF(ISERROR('Supporting Calendar'!AF3),"",INDEX('Todo-Holiday-Event'!$E$9:$E$258,'Supporting Calendar'!AF3))</f>
        <v/>
      </c>
      <c r="M9" s="68" t="str">
        <f ca="1">IF(ISERROR('Supporting Calendar'!AG3),"",INDEX('Todo-Holiday-Event'!$D$9:$D$258,'Supporting Calendar'!AG3))</f>
        <v/>
      </c>
      <c r="N9" s="69" t="str">
        <f ca="1">IF(ISERROR('Supporting Calendar'!AG3),"",INDEX('Todo-Holiday-Event'!$E$9:$E$258,'Supporting Calendar'!AG3))</f>
        <v/>
      </c>
      <c r="O9" s="68" t="str">
        <f ca="1">IF(ISERROR('Supporting Calendar'!AH3),"",INDEX('Todo-Holiday-Event'!$D$9:$D$258,'Supporting Calendar'!AH3))</f>
        <v/>
      </c>
      <c r="P9" s="69" t="str">
        <f ca="1">IF(ISERROR('Supporting Calendar'!AH3),"",INDEX('Todo-Holiday-Event'!$E$9:$E$258,'Supporting Calendar'!AH3))</f>
        <v/>
      </c>
      <c r="AH9" s="78"/>
    </row>
    <row r="10" spans="1:34" s="76" customFormat="1" ht="15" customHeight="1" x14ac:dyDescent="0.25">
      <c r="A10" s="113"/>
      <c r="C10" s="68" t="str">
        <f ca="1">IF(ISERROR('Supporting Calendar'!AB4),"",INDEX('Todo-Holiday-Event'!$D$9:$D$258,'Supporting Calendar'!AB4))</f>
        <v/>
      </c>
      <c r="D10" s="69" t="str">
        <f ca="1">IF(ISERROR('Supporting Calendar'!AB4),"",INDEX('Todo-Holiday-Event'!$E$9:$E$258,'Supporting Calendar'!AB4))</f>
        <v/>
      </c>
      <c r="E10" s="68" t="str">
        <f ca="1">IF(ISERROR('Supporting Calendar'!AC4),"",INDEX('Todo-Holiday-Event'!$D$9:$D$258,'Supporting Calendar'!AC4))</f>
        <v/>
      </c>
      <c r="F10" s="69" t="str">
        <f ca="1">IF(ISERROR('Supporting Calendar'!AC4),"",INDEX('Todo-Holiday-Event'!$E$9:$E$258,'Supporting Calendar'!AC4))</f>
        <v/>
      </c>
      <c r="G10" s="68" t="str">
        <f ca="1">IF(ISERROR('Supporting Calendar'!AD4),"",INDEX('Todo-Holiday-Event'!$D$9:$D$258,'Supporting Calendar'!AD4))</f>
        <v/>
      </c>
      <c r="H10" s="69" t="str">
        <f ca="1">IF(ISERROR('Supporting Calendar'!AD4),"",INDEX('Todo-Holiday-Event'!$E$9:$E$258,'Supporting Calendar'!AD4))</f>
        <v/>
      </c>
      <c r="I10" s="68" t="str">
        <f ca="1">IF(ISERROR('Supporting Calendar'!AE4),"",INDEX('Todo-Holiday-Event'!$D$9:$D$258,'Supporting Calendar'!AE4))</f>
        <v/>
      </c>
      <c r="J10" s="69" t="str">
        <f ca="1">IF(ISERROR('Supporting Calendar'!AE4),"",INDEX('Todo-Holiday-Event'!$E$9:$E$258,'Supporting Calendar'!AE4))</f>
        <v/>
      </c>
      <c r="K10" s="68" t="str">
        <f ca="1">IF(ISERROR('Supporting Calendar'!AF4),"",INDEX('Todo-Holiday-Event'!$D$9:$D$258,'Supporting Calendar'!AF4))</f>
        <v/>
      </c>
      <c r="L10" s="69" t="str">
        <f ca="1">IF(ISERROR('Supporting Calendar'!AF4),"",INDEX('Todo-Holiday-Event'!$E$9:$E$258,'Supporting Calendar'!AF4))</f>
        <v/>
      </c>
      <c r="M10" s="68" t="str">
        <f ca="1">IF(ISERROR('Supporting Calendar'!AG4),"",INDEX('Todo-Holiday-Event'!$D$9:$D$258,'Supporting Calendar'!AG4))</f>
        <v/>
      </c>
      <c r="N10" s="69" t="str">
        <f ca="1">IF(ISERROR('Supporting Calendar'!AG4),"",INDEX('Todo-Holiday-Event'!$E$9:$E$258,'Supporting Calendar'!AG4))</f>
        <v/>
      </c>
      <c r="O10" s="68" t="str">
        <f ca="1">IF(ISERROR('Supporting Calendar'!AH4),"",INDEX('Todo-Holiday-Event'!$D$9:$D$258,'Supporting Calendar'!AH4))</f>
        <v/>
      </c>
      <c r="P10" s="69" t="str">
        <f ca="1">IF(ISERROR('Supporting Calendar'!AH4),"",INDEX('Todo-Holiday-Event'!$E$9:$E$258,'Supporting Calendar'!AH4))</f>
        <v/>
      </c>
      <c r="AH10" s="78"/>
    </row>
    <row r="11" spans="1:34" s="13" customFormat="1" ht="15" customHeight="1" x14ac:dyDescent="0.25">
      <c r="A11" s="113"/>
      <c r="C11" s="73">
        <f>O6+1</f>
        <v>4</v>
      </c>
      <c r="D11" s="80" t="str">
        <f>IF(C11&lt;&gt;"",IF(ISNA(VLOOKUP(DATE($M$31,$O$31,C11),'Todo-Holiday-Event'!$L$9:$M$28,2,FALSE)),IF(ISNA(VLOOKUP(DATE($M$31,$O$31,C11),'Todo-Holiday-Event'!$H$9:$I$28,2,FALSE)),"",VLOOKUP(DATE($M$31,$O$31,C11),'Todo-Holiday-Event'!$H$9:$I$28,2,FALSE)),VLOOKUP(DATE($M$31,$O$31,C11),'Todo-Holiday-Event'!$L$9:$M$28,2,FALSE)),"")</f>
        <v/>
      </c>
      <c r="E11" s="73">
        <f>C11+1</f>
        <v>5</v>
      </c>
      <c r="F11" s="80" t="str">
        <f>IF(E11&lt;&gt;"",IF(ISNA(VLOOKUP(DATE($M$31,$O$31,E11),'Todo-Holiday-Event'!$L$9:$M$28,2,FALSE)),IF(ISNA(VLOOKUP(DATE($M$31,$O$31,E11),'Todo-Holiday-Event'!$H$9:$I$28,2,FALSE)),"",VLOOKUP(DATE($M$31,$O$31,E11),'Todo-Holiday-Event'!$H$9:$I$28,2,FALSE)),VLOOKUP(DATE($M$31,$O$31,E11),'Todo-Holiday-Event'!$L$9:$M$28,2,FALSE)),"")</f>
        <v/>
      </c>
      <c r="G11" s="73">
        <f>E11+1</f>
        <v>6</v>
      </c>
      <c r="H11" s="80" t="str">
        <f>IF(G11&lt;&gt;"",IF(ISNA(VLOOKUP(DATE($M$31,$O$31,G11),'Todo-Holiday-Event'!$L$9:$M$28,2,FALSE)),IF(ISNA(VLOOKUP(DATE($M$31,$O$31,G11),'Todo-Holiday-Event'!$H$9:$I$28,2,FALSE)),"",VLOOKUP(DATE($M$31,$O$31,G11),'Todo-Holiday-Event'!$H$9:$I$28,2,FALSE)),VLOOKUP(DATE($M$31,$O$31,G11),'Todo-Holiday-Event'!$L$9:$M$28,2,FALSE)),"")</f>
        <v/>
      </c>
      <c r="I11" s="73">
        <f>G11+1</f>
        <v>7</v>
      </c>
      <c r="J11" s="80" t="str">
        <f>IF(I11&lt;&gt;"",IF(ISNA(VLOOKUP(DATE($M$31,$O$31,I11),'Todo-Holiday-Event'!$L$9:$M$28,2,FALSE)),IF(ISNA(VLOOKUP(DATE($M$31,$O$31,I11),'Todo-Holiday-Event'!$H$9:$I$28,2,FALSE)),"",VLOOKUP(DATE($M$31,$O$31,I11),'Todo-Holiday-Event'!$H$9:$I$28,2,FALSE)),VLOOKUP(DATE($M$31,$O$31,I11),'Todo-Holiday-Event'!$L$9:$M$28,2,FALSE)),"")</f>
        <v>Jane Doe  Show</v>
      </c>
      <c r="K11" s="73">
        <f>I11+1</f>
        <v>8</v>
      </c>
      <c r="L11" s="80" t="str">
        <f>IF(K11&lt;&gt;"",IF(ISNA(VLOOKUP(DATE($M$31,$O$31,K11),'Todo-Holiday-Event'!$L$9:$M$28,2,FALSE)),IF(ISNA(VLOOKUP(DATE($M$31,$O$31,K11),'Todo-Holiday-Event'!$H$9:$I$28,2,FALSE)),"",VLOOKUP(DATE($M$31,$O$31,K11),'Todo-Holiday-Event'!$H$9:$I$28,2,FALSE)),VLOOKUP(DATE($M$31,$O$31,K11),'Todo-Holiday-Event'!$L$9:$M$28,2,FALSE)),"")</f>
        <v/>
      </c>
      <c r="M11" s="73">
        <f>K11+1</f>
        <v>9</v>
      </c>
      <c r="N11" s="80" t="str">
        <f>IF(M11&lt;&gt;"",IF(ISNA(VLOOKUP(DATE($M$31,$O$31,M11),'Todo-Holiday-Event'!$L$9:$M$28,2,FALSE)),IF(ISNA(VLOOKUP(DATE($M$31,$O$31,M11),'Todo-Holiday-Event'!$H$9:$I$28,2,FALSE)),"",VLOOKUP(DATE($M$31,$O$31,M11),'Todo-Holiday-Event'!$H$9:$I$28,2,FALSE)),VLOOKUP(DATE($M$31,$O$31,M11),'Todo-Holiday-Event'!$L$9:$M$28,2,FALSE)),"")</f>
        <v/>
      </c>
      <c r="O11" s="73">
        <f>M11+1</f>
        <v>10</v>
      </c>
      <c r="P11" s="80" t="str">
        <f>IF(O11&lt;&gt;"",IF(ISNA(VLOOKUP(DATE($M$31,$O$31,O11),'Todo-Holiday-Event'!$L$9:$M$28,2,FALSE)),IF(ISNA(VLOOKUP(DATE($M$31,$O$31,O11),'Todo-Holiday-Event'!$H$9:$I$28,2,FALSE)),"",VLOOKUP(DATE($M$31,$O$31,O11),'Todo-Holiday-Event'!$H$9:$I$28,2,FALSE)),VLOOKUP(DATE($M$31,$O$31,O11),'Todo-Holiday-Event'!$L$9:$M$28,2,FALSE)),"")</f>
        <v/>
      </c>
      <c r="X11" s="70"/>
      <c r="AH11" s="67"/>
    </row>
    <row r="12" spans="1:34" s="76" customFormat="1" ht="15" customHeight="1" x14ac:dyDescent="0.25">
      <c r="A12" s="113"/>
      <c r="C12" s="68" t="str">
        <f>IF(ISERROR('Supporting Calendar'!AB7),"",INDEX('Todo-Holiday-Event'!$D$9:$D$258,'Supporting Calendar'!AB7))</f>
        <v/>
      </c>
      <c r="D12" s="69" t="str">
        <f>IF(ISERROR('Supporting Calendar'!AB7),"",INDEX('Todo-Holiday-Event'!$E$9:$E$258,'Supporting Calendar'!AB7))</f>
        <v/>
      </c>
      <c r="E12" s="68" t="str">
        <f>IF(ISERROR('Supporting Calendar'!AC7),"",INDEX('Todo-Holiday-Event'!$D$9:$D$258,'Supporting Calendar'!AC7))</f>
        <v/>
      </c>
      <c r="F12" s="69" t="str">
        <f>IF(ISERROR('Supporting Calendar'!AC7),"",INDEX('Todo-Holiday-Event'!$E$9:$E$258,'Supporting Calendar'!AC7))</f>
        <v/>
      </c>
      <c r="G12" s="68" t="str">
        <f>IF(ISERROR('Supporting Calendar'!AD7),"",INDEX('Todo-Holiday-Event'!$D$9:$D$258,'Supporting Calendar'!AD7))</f>
        <v/>
      </c>
      <c r="H12" s="69" t="str">
        <f>IF(ISERROR('Supporting Calendar'!AD7),"",INDEX('Todo-Holiday-Event'!$E$9:$E$258,'Supporting Calendar'!AD7))</f>
        <v/>
      </c>
      <c r="I12" s="68">
        <f>IF(ISERROR('Supporting Calendar'!AE7),"",INDEX('Todo-Holiday-Event'!$D$9:$D$258,'Supporting Calendar'!AE7))</f>
        <v>0.375</v>
      </c>
      <c r="J12" s="69" t="str">
        <f>IF(ISERROR('Supporting Calendar'!AE7),"",INDEX('Todo-Holiday-Event'!$E$9:$E$258,'Supporting Calendar'!AE7))</f>
        <v>Meeting with ABC</v>
      </c>
      <c r="K12" s="68" t="str">
        <f>IF(ISERROR('Supporting Calendar'!AF7),"",INDEX('Todo-Holiday-Event'!$D$9:$D$258,'Supporting Calendar'!AF7))</f>
        <v/>
      </c>
      <c r="L12" s="69" t="str">
        <f>IF(ISERROR('Supporting Calendar'!AF7),"",INDEX('Todo-Holiday-Event'!$E$9:$E$258,'Supporting Calendar'!AF7))</f>
        <v/>
      </c>
      <c r="M12" s="68" t="str">
        <f>IF(ISERROR('Supporting Calendar'!AG7),"",INDEX('Todo-Holiday-Event'!$D$9:$D$258,'Supporting Calendar'!AG7))</f>
        <v/>
      </c>
      <c r="N12" s="69" t="str">
        <f>IF(ISERROR('Supporting Calendar'!AG7),"",INDEX('Todo-Holiday-Event'!$E$9:$E$258,'Supporting Calendar'!AG7))</f>
        <v/>
      </c>
      <c r="O12" s="68" t="str">
        <f>IF(ISERROR('Supporting Calendar'!AH7),"",INDEX('Todo-Holiday-Event'!$D$9:$D$258,'Supporting Calendar'!AH7))</f>
        <v/>
      </c>
      <c r="P12" s="69" t="str">
        <f>IF(ISERROR('Supporting Calendar'!AH7),"",INDEX('Todo-Holiday-Event'!$E$9:$E$258,'Supporting Calendar'!AH7))</f>
        <v/>
      </c>
      <c r="X12" s="77"/>
      <c r="AH12" s="78"/>
    </row>
    <row r="13" spans="1:34" s="76" customFormat="1" ht="15" customHeight="1" x14ac:dyDescent="0.25">
      <c r="A13" s="113"/>
      <c r="C13" s="68" t="str">
        <f ca="1">IF(ISERROR('Supporting Calendar'!AB8),"",INDEX('Todo-Holiday-Event'!$D$9:$D$258,'Supporting Calendar'!AB8))</f>
        <v/>
      </c>
      <c r="D13" s="69" t="str">
        <f ca="1">IF(ISERROR('Supporting Calendar'!AB8),"",INDEX('Todo-Holiday-Event'!$E$9:$E$258,'Supporting Calendar'!AB8))</f>
        <v/>
      </c>
      <c r="E13" s="68" t="str">
        <f ca="1">IF(ISERROR('Supporting Calendar'!AC8),"",INDEX('Todo-Holiday-Event'!$D$9:$D$258,'Supporting Calendar'!AC8))</f>
        <v/>
      </c>
      <c r="F13" s="69" t="str">
        <f ca="1">IF(ISERROR('Supporting Calendar'!AC8),"",INDEX('Todo-Holiday-Event'!$E$9:$E$258,'Supporting Calendar'!AC8))</f>
        <v/>
      </c>
      <c r="G13" s="68" t="str">
        <f ca="1">IF(ISERROR('Supporting Calendar'!AD8),"",INDEX('Todo-Holiday-Event'!$D$9:$D$258,'Supporting Calendar'!AD8))</f>
        <v/>
      </c>
      <c r="H13" s="69" t="str">
        <f ca="1">IF(ISERROR('Supporting Calendar'!AD8),"",INDEX('Todo-Holiday-Event'!$E$9:$E$258,'Supporting Calendar'!AD8))</f>
        <v/>
      </c>
      <c r="I13" s="68" t="str">
        <f ca="1">IF(ISERROR('Supporting Calendar'!AE8),"",INDEX('Todo-Holiday-Event'!$D$9:$D$258,'Supporting Calendar'!AE8))</f>
        <v/>
      </c>
      <c r="J13" s="69" t="str">
        <f ca="1">IF(ISERROR('Supporting Calendar'!AE8),"",INDEX('Todo-Holiday-Event'!$E$9:$E$258,'Supporting Calendar'!AE8))</f>
        <v/>
      </c>
      <c r="K13" s="68" t="str">
        <f ca="1">IF(ISERROR('Supporting Calendar'!AF8),"",INDEX('Todo-Holiday-Event'!$D$9:$D$258,'Supporting Calendar'!AF8))</f>
        <v/>
      </c>
      <c r="L13" s="69" t="str">
        <f ca="1">IF(ISERROR('Supporting Calendar'!AF8),"",INDEX('Todo-Holiday-Event'!$E$9:$E$258,'Supporting Calendar'!AF8))</f>
        <v/>
      </c>
      <c r="M13" s="68" t="str">
        <f ca="1">IF(ISERROR('Supporting Calendar'!AG8),"",INDEX('Todo-Holiday-Event'!$D$9:$D$258,'Supporting Calendar'!AG8))</f>
        <v/>
      </c>
      <c r="N13" s="69" t="str">
        <f ca="1">IF(ISERROR('Supporting Calendar'!AG8),"",INDEX('Todo-Holiday-Event'!$E$9:$E$258,'Supporting Calendar'!AG8))</f>
        <v/>
      </c>
      <c r="O13" s="68" t="str">
        <f ca="1">IF(ISERROR('Supporting Calendar'!AH8),"",INDEX('Todo-Holiday-Event'!$D$9:$D$258,'Supporting Calendar'!AH8))</f>
        <v/>
      </c>
      <c r="P13" s="69" t="str">
        <f ca="1">IF(ISERROR('Supporting Calendar'!AH8),"",INDEX('Todo-Holiday-Event'!$E$9:$E$258,'Supporting Calendar'!AH8))</f>
        <v/>
      </c>
      <c r="X13" s="77"/>
      <c r="AH13" s="78"/>
    </row>
    <row r="14" spans="1:34" s="76" customFormat="1" ht="15" customHeight="1" x14ac:dyDescent="0.25">
      <c r="A14" s="113"/>
      <c r="C14" s="68" t="str">
        <f ca="1">IF(ISERROR('Supporting Calendar'!AB9),"",INDEX('Todo-Holiday-Event'!$D$9:$D$258,'Supporting Calendar'!AB9))</f>
        <v/>
      </c>
      <c r="D14" s="69" t="str">
        <f ca="1">IF(ISERROR('Supporting Calendar'!AB9),"",INDEX('Todo-Holiday-Event'!$E$9:$E$258,'Supporting Calendar'!AB9))</f>
        <v/>
      </c>
      <c r="E14" s="68" t="str">
        <f ca="1">IF(ISERROR('Supporting Calendar'!AC9),"",INDEX('Todo-Holiday-Event'!$D$9:$D$258,'Supporting Calendar'!AC9))</f>
        <v/>
      </c>
      <c r="F14" s="69" t="str">
        <f ca="1">IF(ISERROR('Supporting Calendar'!AC9),"",INDEX('Todo-Holiday-Event'!$E$9:$E$258,'Supporting Calendar'!AC9))</f>
        <v/>
      </c>
      <c r="G14" s="68" t="str">
        <f ca="1">IF(ISERROR('Supporting Calendar'!AD9),"",INDEX('Todo-Holiday-Event'!$D$9:$D$258,'Supporting Calendar'!AD9))</f>
        <v/>
      </c>
      <c r="H14" s="69" t="str">
        <f ca="1">IF(ISERROR('Supporting Calendar'!AD9),"",INDEX('Todo-Holiday-Event'!$E$9:$E$258,'Supporting Calendar'!AD9))</f>
        <v/>
      </c>
      <c r="I14" s="68" t="str">
        <f ca="1">IF(ISERROR('Supporting Calendar'!AE9),"",INDEX('Todo-Holiday-Event'!$D$9:$D$258,'Supporting Calendar'!AE9))</f>
        <v/>
      </c>
      <c r="J14" s="69" t="str">
        <f ca="1">IF(ISERROR('Supporting Calendar'!AE9),"",INDEX('Todo-Holiday-Event'!$E$9:$E$258,'Supporting Calendar'!AE9))</f>
        <v/>
      </c>
      <c r="K14" s="68" t="str">
        <f ca="1">IF(ISERROR('Supporting Calendar'!AF9),"",INDEX('Todo-Holiday-Event'!$D$9:$D$258,'Supporting Calendar'!AF9))</f>
        <v/>
      </c>
      <c r="L14" s="69" t="str">
        <f ca="1">IF(ISERROR('Supporting Calendar'!AF9),"",INDEX('Todo-Holiday-Event'!$E$9:$E$258,'Supporting Calendar'!AF9))</f>
        <v/>
      </c>
      <c r="M14" s="68" t="str">
        <f ca="1">IF(ISERROR('Supporting Calendar'!AG9),"",INDEX('Todo-Holiday-Event'!$D$9:$D$258,'Supporting Calendar'!AG9))</f>
        <v/>
      </c>
      <c r="N14" s="69" t="str">
        <f ca="1">IF(ISERROR('Supporting Calendar'!AG9),"",INDEX('Todo-Holiday-Event'!$E$9:$E$258,'Supporting Calendar'!AG9))</f>
        <v/>
      </c>
      <c r="O14" s="68" t="str">
        <f ca="1">IF(ISERROR('Supporting Calendar'!AH9),"",INDEX('Todo-Holiday-Event'!$D$9:$D$258,'Supporting Calendar'!AH9))</f>
        <v/>
      </c>
      <c r="P14" s="69" t="str">
        <f ca="1">IF(ISERROR('Supporting Calendar'!AH9),"",INDEX('Todo-Holiday-Event'!$E$9:$E$258,'Supporting Calendar'!AH9))</f>
        <v/>
      </c>
      <c r="X14" s="77"/>
      <c r="AH14" s="78"/>
    </row>
    <row r="15" spans="1:34" s="76" customFormat="1" ht="15" customHeight="1" x14ac:dyDescent="0.25">
      <c r="A15" s="113"/>
      <c r="C15" s="68" t="str">
        <f ca="1">IF(ISERROR('Supporting Calendar'!AB10),"",INDEX('Todo-Holiday-Event'!$D$9:$D$258,'Supporting Calendar'!AB10))</f>
        <v/>
      </c>
      <c r="D15" s="69" t="str">
        <f ca="1">IF(ISERROR('Supporting Calendar'!AB10),"",INDEX('Todo-Holiday-Event'!$E$9:$E$258,'Supporting Calendar'!AB10))</f>
        <v/>
      </c>
      <c r="E15" s="68" t="str">
        <f ca="1">IF(ISERROR('Supporting Calendar'!AC10),"",INDEX('Todo-Holiday-Event'!$D$9:$D$258,'Supporting Calendar'!AC10))</f>
        <v/>
      </c>
      <c r="F15" s="69" t="str">
        <f ca="1">IF(ISERROR('Supporting Calendar'!AC10),"",INDEX('Todo-Holiday-Event'!$E$9:$E$258,'Supporting Calendar'!AC10))</f>
        <v/>
      </c>
      <c r="G15" s="68" t="str">
        <f ca="1">IF(ISERROR('Supporting Calendar'!AD10),"",INDEX('Todo-Holiday-Event'!$D$9:$D$258,'Supporting Calendar'!AD10))</f>
        <v/>
      </c>
      <c r="H15" s="69" t="str">
        <f ca="1">IF(ISERROR('Supporting Calendar'!AD10),"",INDEX('Todo-Holiday-Event'!$E$9:$E$258,'Supporting Calendar'!AD10))</f>
        <v/>
      </c>
      <c r="I15" s="68" t="str">
        <f ca="1">IF(ISERROR('Supporting Calendar'!AE10),"",INDEX('Todo-Holiday-Event'!$D$9:$D$258,'Supporting Calendar'!AE10))</f>
        <v/>
      </c>
      <c r="J15" s="69" t="str">
        <f ca="1">IF(ISERROR('Supporting Calendar'!AE10),"",INDEX('Todo-Holiday-Event'!$E$9:$E$258,'Supporting Calendar'!AE10))</f>
        <v/>
      </c>
      <c r="K15" s="68" t="str">
        <f ca="1">IF(ISERROR('Supporting Calendar'!AF10),"",INDEX('Todo-Holiday-Event'!$D$9:$D$258,'Supporting Calendar'!AF10))</f>
        <v/>
      </c>
      <c r="L15" s="69" t="str">
        <f ca="1">IF(ISERROR('Supporting Calendar'!AF10),"",INDEX('Todo-Holiday-Event'!$E$9:$E$258,'Supporting Calendar'!AF10))</f>
        <v/>
      </c>
      <c r="M15" s="68" t="str">
        <f ca="1">IF(ISERROR('Supporting Calendar'!AG10),"",INDEX('Todo-Holiday-Event'!$D$9:$D$258,'Supporting Calendar'!AG10))</f>
        <v/>
      </c>
      <c r="N15" s="69" t="str">
        <f ca="1">IF(ISERROR('Supporting Calendar'!AG10),"",INDEX('Todo-Holiday-Event'!$E$9:$E$258,'Supporting Calendar'!AG10))</f>
        <v/>
      </c>
      <c r="O15" s="68" t="str">
        <f ca="1">IF(ISERROR('Supporting Calendar'!AH10),"",INDEX('Todo-Holiday-Event'!$D$9:$D$258,'Supporting Calendar'!AH10))</f>
        <v/>
      </c>
      <c r="P15" s="69" t="str">
        <f ca="1">IF(ISERROR('Supporting Calendar'!AH10),"",INDEX('Todo-Holiday-Event'!$E$9:$E$258,'Supporting Calendar'!AH10))</f>
        <v/>
      </c>
      <c r="X15" s="77"/>
      <c r="AH15" s="78"/>
    </row>
    <row r="16" spans="1:34" s="13" customFormat="1" ht="15" customHeight="1" x14ac:dyDescent="0.25">
      <c r="A16" s="113"/>
      <c r="C16" s="73">
        <f>O11+1</f>
        <v>11</v>
      </c>
      <c r="D16" s="80" t="str">
        <f>IF(C16&lt;&gt;"",IF(ISNA(VLOOKUP(DATE($M$31,$O$31,C16),'Todo-Holiday-Event'!$L$9:$M$28,2,FALSE)),IF(ISNA(VLOOKUP(DATE($M$31,$O$31,C16),'Todo-Holiday-Event'!$H$9:$I$28,2,FALSE)),"",VLOOKUP(DATE($M$31,$O$31,C16),'Todo-Holiday-Event'!$H$9:$I$28,2,FALSE)),VLOOKUP(DATE($M$31,$O$31,C16),'Todo-Holiday-Event'!$L$9:$M$28,2,FALSE)),"")</f>
        <v/>
      </c>
      <c r="E16" s="73">
        <f>C16+1</f>
        <v>12</v>
      </c>
      <c r="F16" s="80" t="str">
        <f>IF(E16&lt;&gt;"",IF(ISNA(VLOOKUP(DATE($M$31,$O$31,E16),'Todo-Holiday-Event'!$L$9:$M$28,2,FALSE)),IF(ISNA(VLOOKUP(DATE($M$31,$O$31,E16),'Todo-Holiday-Event'!$H$9:$I$28,2,FALSE)),"",VLOOKUP(DATE($M$31,$O$31,E16),'Todo-Holiday-Event'!$H$9:$I$28,2,FALSE)),VLOOKUP(DATE($M$31,$O$31,E16),'Todo-Holiday-Event'!$L$9:$M$28,2,FALSE)),"")</f>
        <v/>
      </c>
      <c r="G16" s="73">
        <f>E16+1</f>
        <v>13</v>
      </c>
      <c r="H16" s="80" t="str">
        <f>IF(G16&lt;&gt;"",IF(ISNA(VLOOKUP(DATE($M$31,$O$31,G16),'Todo-Holiday-Event'!$L$9:$M$28,2,FALSE)),IF(ISNA(VLOOKUP(DATE($M$31,$O$31,G16),'Todo-Holiday-Event'!$H$9:$I$28,2,FALSE)),"",VLOOKUP(DATE($M$31,$O$31,G16),'Todo-Holiday-Event'!$H$9:$I$28,2,FALSE)),VLOOKUP(DATE($M$31,$O$31,G16),'Todo-Holiday-Event'!$L$9:$M$28,2,FALSE)),"")</f>
        <v/>
      </c>
      <c r="I16" s="73">
        <f>G16+1</f>
        <v>14</v>
      </c>
      <c r="J16" s="80" t="str">
        <f>IF(I16&lt;&gt;"",IF(ISNA(VLOOKUP(DATE($M$31,$O$31,I16),'Todo-Holiday-Event'!$L$9:$M$28,2,FALSE)),IF(ISNA(VLOOKUP(DATE($M$31,$O$31,I16),'Todo-Holiday-Event'!$H$9:$I$28,2,FALSE)),"",VLOOKUP(DATE($M$31,$O$31,I16),'Todo-Holiday-Event'!$H$9:$I$28,2,FALSE)),VLOOKUP(DATE($M$31,$O$31,I16),'Todo-Holiday-Event'!$L$9:$M$28,2,FALSE)),"")</f>
        <v/>
      </c>
      <c r="K16" s="73">
        <f>I16+1</f>
        <v>15</v>
      </c>
      <c r="L16" s="80" t="str">
        <f>IF(K16&lt;&gt;"",IF(ISNA(VLOOKUP(DATE($M$31,$O$31,K16),'Todo-Holiday-Event'!$L$9:$M$28,2,FALSE)),IF(ISNA(VLOOKUP(DATE($M$31,$O$31,K16),'Todo-Holiday-Event'!$H$9:$I$28,2,FALSE)),"",VLOOKUP(DATE($M$31,$O$31,K16),'Todo-Holiday-Event'!$H$9:$I$28,2,FALSE)),VLOOKUP(DATE($M$31,$O$31,K16),'Todo-Holiday-Event'!$L$9:$M$28,2,FALSE)),"")</f>
        <v/>
      </c>
      <c r="M16" s="73">
        <f>K16+1</f>
        <v>16</v>
      </c>
      <c r="N16" s="80" t="str">
        <f>IF(M16&lt;&gt;"",IF(ISNA(VLOOKUP(DATE($M$31,$O$31,M16),'Todo-Holiday-Event'!$L$9:$M$28,2,FALSE)),IF(ISNA(VLOOKUP(DATE($M$31,$O$31,M16),'Todo-Holiday-Event'!$H$9:$I$28,2,FALSE)),"",VLOOKUP(DATE($M$31,$O$31,M16),'Todo-Holiday-Event'!$H$9:$I$28,2,FALSE)),VLOOKUP(DATE($M$31,$O$31,M16),'Todo-Holiday-Event'!$L$9:$M$28,2,FALSE)),"")</f>
        <v/>
      </c>
      <c r="O16" s="73">
        <f>M16+1</f>
        <v>17</v>
      </c>
      <c r="P16" s="80" t="str">
        <f>IF(O16&lt;&gt;"",IF(ISNA(VLOOKUP(DATE($M$31,$O$31,O16),'Todo-Holiday-Event'!$L$9:$M$28,2,FALSE)),IF(ISNA(VLOOKUP(DATE($M$31,$O$31,O16),'Todo-Holiday-Event'!$H$9:$I$28,2,FALSE)),"",VLOOKUP(DATE($M$31,$O$31,O16),'Todo-Holiday-Event'!$H$9:$I$28,2,FALSE)),VLOOKUP(DATE($M$31,$O$31,O16),'Todo-Holiday-Event'!$L$9:$M$28,2,FALSE)),"")</f>
        <v/>
      </c>
      <c r="X16" s="70"/>
      <c r="AH16" s="67"/>
    </row>
    <row r="17" spans="1:34" s="76" customFormat="1" ht="15" customHeight="1" x14ac:dyDescent="0.25">
      <c r="A17" s="113"/>
      <c r="C17" s="68" t="str">
        <f>IF(ISERROR('Supporting Calendar'!AB13),"",INDEX('Todo-Holiday-Event'!$D$9:$D$258,'Supporting Calendar'!AB13))</f>
        <v/>
      </c>
      <c r="D17" s="69" t="str">
        <f>IF(ISERROR('Supporting Calendar'!AB13),"",INDEX('Todo-Holiday-Event'!$E$9:$E$258,'Supporting Calendar'!AB13))</f>
        <v/>
      </c>
      <c r="E17" s="68" t="str">
        <f>IF(ISERROR('Supporting Calendar'!AC13),"",INDEX('Todo-Holiday-Event'!$D$9:$D$258,'Supporting Calendar'!AC13))</f>
        <v/>
      </c>
      <c r="F17" s="69" t="str">
        <f>IF(ISERROR('Supporting Calendar'!AC13),"",INDEX('Todo-Holiday-Event'!$E$9:$E$258,'Supporting Calendar'!AC13))</f>
        <v/>
      </c>
      <c r="G17" s="68" t="str">
        <f>IF(ISERROR('Supporting Calendar'!AD13),"",INDEX('Todo-Holiday-Event'!$D$9:$D$258,'Supporting Calendar'!AD13))</f>
        <v/>
      </c>
      <c r="H17" s="69" t="str">
        <f>IF(ISERROR('Supporting Calendar'!AD13),"",INDEX('Todo-Holiday-Event'!$E$9:$E$258,'Supporting Calendar'!AD13))</f>
        <v/>
      </c>
      <c r="I17" s="68" t="str">
        <f>IF(ISERROR('Supporting Calendar'!AE13),"",INDEX('Todo-Holiday-Event'!$D$9:$D$258,'Supporting Calendar'!AE13))</f>
        <v/>
      </c>
      <c r="J17" s="69" t="str">
        <f>IF(ISERROR('Supporting Calendar'!AE13),"",INDEX('Todo-Holiday-Event'!$E$9:$E$258,'Supporting Calendar'!AE13))</f>
        <v/>
      </c>
      <c r="K17" s="68" t="str">
        <f>IF(ISERROR('Supporting Calendar'!AF13),"",INDEX('Todo-Holiday-Event'!$D$9:$D$258,'Supporting Calendar'!AF13))</f>
        <v/>
      </c>
      <c r="L17" s="69" t="str">
        <f>IF(ISERROR('Supporting Calendar'!AF13),"",INDEX('Todo-Holiday-Event'!$E$9:$E$258,'Supporting Calendar'!AF13))</f>
        <v/>
      </c>
      <c r="M17" s="68" t="str">
        <f>IF(ISERROR('Supporting Calendar'!AG13),"",INDEX('Todo-Holiday-Event'!$D$9:$D$258,'Supporting Calendar'!AG13))</f>
        <v/>
      </c>
      <c r="N17" s="69" t="str">
        <f>IF(ISERROR('Supporting Calendar'!AG13),"",INDEX('Todo-Holiday-Event'!$E$9:$E$258,'Supporting Calendar'!AG13))</f>
        <v/>
      </c>
      <c r="O17" s="68" t="str">
        <f>IF(ISERROR('Supporting Calendar'!AH13),"",INDEX('Todo-Holiday-Event'!$D$9:$D$258,'Supporting Calendar'!AH13))</f>
        <v/>
      </c>
      <c r="P17" s="69" t="str">
        <f>IF(ISERROR('Supporting Calendar'!AH13),"",INDEX('Todo-Holiday-Event'!$E$9:$E$258,'Supporting Calendar'!AH13))</f>
        <v/>
      </c>
      <c r="X17" s="77"/>
      <c r="AH17" s="78"/>
    </row>
    <row r="18" spans="1:34" s="76" customFormat="1" ht="15" customHeight="1" x14ac:dyDescent="0.25">
      <c r="A18" s="113"/>
      <c r="C18" s="68" t="str">
        <f ca="1">IF(ISERROR('Supporting Calendar'!AB14),"",INDEX('Todo-Holiday-Event'!$D$9:$D$258,'Supporting Calendar'!AB14))</f>
        <v/>
      </c>
      <c r="D18" s="69" t="str">
        <f ca="1">IF(ISERROR('Supporting Calendar'!AB14),"",INDEX('Todo-Holiday-Event'!$E$9:$E$258,'Supporting Calendar'!AB14))</f>
        <v/>
      </c>
      <c r="E18" s="68" t="str">
        <f ca="1">IF(ISERROR('Supporting Calendar'!AC14),"",INDEX('Todo-Holiday-Event'!$D$9:$D$258,'Supporting Calendar'!AC14))</f>
        <v/>
      </c>
      <c r="F18" s="69" t="str">
        <f ca="1">IF(ISERROR('Supporting Calendar'!AC14),"",INDEX('Todo-Holiday-Event'!$E$9:$E$258,'Supporting Calendar'!AC14))</f>
        <v/>
      </c>
      <c r="G18" s="68" t="str">
        <f ca="1">IF(ISERROR('Supporting Calendar'!AD14),"",INDEX('Todo-Holiday-Event'!$D$9:$D$258,'Supporting Calendar'!AD14))</f>
        <v/>
      </c>
      <c r="H18" s="69" t="str">
        <f ca="1">IF(ISERROR('Supporting Calendar'!AD14),"",INDEX('Todo-Holiday-Event'!$E$9:$E$258,'Supporting Calendar'!AD14))</f>
        <v/>
      </c>
      <c r="I18" s="68" t="str">
        <f ca="1">IF(ISERROR('Supporting Calendar'!AE14),"",INDEX('Todo-Holiday-Event'!$D$9:$D$258,'Supporting Calendar'!AE14))</f>
        <v/>
      </c>
      <c r="J18" s="69" t="str">
        <f ca="1">IF(ISERROR('Supporting Calendar'!AE14),"",INDEX('Todo-Holiday-Event'!$E$9:$E$258,'Supporting Calendar'!AE14))</f>
        <v/>
      </c>
      <c r="K18" s="68" t="str">
        <f ca="1">IF(ISERROR('Supporting Calendar'!AF14),"",INDEX('Todo-Holiday-Event'!$D$9:$D$258,'Supporting Calendar'!AF14))</f>
        <v/>
      </c>
      <c r="L18" s="69" t="str">
        <f ca="1">IF(ISERROR('Supporting Calendar'!AF14),"",INDEX('Todo-Holiday-Event'!$E$9:$E$258,'Supporting Calendar'!AF14))</f>
        <v/>
      </c>
      <c r="M18" s="68" t="str">
        <f ca="1">IF(ISERROR('Supporting Calendar'!AG14),"",INDEX('Todo-Holiday-Event'!$D$9:$D$258,'Supporting Calendar'!AG14))</f>
        <v/>
      </c>
      <c r="N18" s="69" t="str">
        <f ca="1">IF(ISERROR('Supporting Calendar'!AG14),"",INDEX('Todo-Holiday-Event'!$E$9:$E$258,'Supporting Calendar'!AG14))</f>
        <v/>
      </c>
      <c r="O18" s="68" t="str">
        <f ca="1">IF(ISERROR('Supporting Calendar'!AH14),"",INDEX('Todo-Holiday-Event'!$D$9:$D$258,'Supporting Calendar'!AH14))</f>
        <v/>
      </c>
      <c r="P18" s="69" t="str">
        <f ca="1">IF(ISERROR('Supporting Calendar'!AH14),"",INDEX('Todo-Holiday-Event'!$E$9:$E$258,'Supporting Calendar'!AH14))</f>
        <v/>
      </c>
      <c r="X18" s="77"/>
      <c r="AH18" s="78"/>
    </row>
    <row r="19" spans="1:34" s="76" customFormat="1" ht="15" customHeight="1" x14ac:dyDescent="0.25">
      <c r="A19" s="113"/>
      <c r="C19" s="68" t="str">
        <f ca="1">IF(ISERROR('Supporting Calendar'!AB15),"",INDEX('Todo-Holiday-Event'!$D$9:$D$258,'Supporting Calendar'!AB15))</f>
        <v/>
      </c>
      <c r="D19" s="69" t="str">
        <f ca="1">IF(ISERROR('Supporting Calendar'!AB15),"",INDEX('Todo-Holiday-Event'!$E$9:$E$258,'Supporting Calendar'!AB15))</f>
        <v/>
      </c>
      <c r="E19" s="68" t="str">
        <f ca="1">IF(ISERROR('Supporting Calendar'!AC15),"",INDEX('Todo-Holiday-Event'!$D$9:$D$258,'Supporting Calendar'!AC15))</f>
        <v/>
      </c>
      <c r="F19" s="69" t="str">
        <f ca="1">IF(ISERROR('Supporting Calendar'!AC15),"",INDEX('Todo-Holiday-Event'!$E$9:$E$258,'Supporting Calendar'!AC15))</f>
        <v/>
      </c>
      <c r="G19" s="68" t="str">
        <f ca="1">IF(ISERROR('Supporting Calendar'!AD15),"",INDEX('Todo-Holiday-Event'!$D$9:$D$258,'Supporting Calendar'!AD15))</f>
        <v/>
      </c>
      <c r="H19" s="69" t="str">
        <f ca="1">IF(ISERROR('Supporting Calendar'!AD15),"",INDEX('Todo-Holiday-Event'!$E$9:$E$258,'Supporting Calendar'!AD15))</f>
        <v/>
      </c>
      <c r="I19" s="68" t="str">
        <f ca="1">IF(ISERROR('Supporting Calendar'!AE15),"",INDEX('Todo-Holiday-Event'!$D$9:$D$258,'Supporting Calendar'!AE15))</f>
        <v/>
      </c>
      <c r="J19" s="69" t="str">
        <f ca="1">IF(ISERROR('Supporting Calendar'!AE15),"",INDEX('Todo-Holiday-Event'!$E$9:$E$258,'Supporting Calendar'!AE15))</f>
        <v/>
      </c>
      <c r="K19" s="68" t="str">
        <f ca="1">IF(ISERROR('Supporting Calendar'!AF15),"",INDEX('Todo-Holiday-Event'!$D$9:$D$258,'Supporting Calendar'!AF15))</f>
        <v/>
      </c>
      <c r="L19" s="69" t="str">
        <f ca="1">IF(ISERROR('Supporting Calendar'!AF15),"",INDEX('Todo-Holiday-Event'!$E$9:$E$258,'Supporting Calendar'!AF15))</f>
        <v/>
      </c>
      <c r="M19" s="68" t="str">
        <f ca="1">IF(ISERROR('Supporting Calendar'!AG15),"",INDEX('Todo-Holiday-Event'!$D$9:$D$258,'Supporting Calendar'!AG15))</f>
        <v/>
      </c>
      <c r="N19" s="69" t="str">
        <f ca="1">IF(ISERROR('Supporting Calendar'!AG15),"",INDEX('Todo-Holiday-Event'!$E$9:$E$258,'Supporting Calendar'!AG15))</f>
        <v/>
      </c>
      <c r="O19" s="68" t="str">
        <f ca="1">IF(ISERROR('Supporting Calendar'!AH15),"",INDEX('Todo-Holiday-Event'!$D$9:$D$258,'Supporting Calendar'!AH15))</f>
        <v/>
      </c>
      <c r="P19" s="69" t="str">
        <f ca="1">IF(ISERROR('Supporting Calendar'!AH15),"",INDEX('Todo-Holiday-Event'!$E$9:$E$258,'Supporting Calendar'!AH15))</f>
        <v/>
      </c>
      <c r="X19" s="77"/>
      <c r="AH19" s="78"/>
    </row>
    <row r="20" spans="1:34" s="76" customFormat="1" ht="15" customHeight="1" x14ac:dyDescent="0.25">
      <c r="A20" s="113"/>
      <c r="C20" s="68" t="str">
        <f ca="1">IF(ISERROR('Supporting Calendar'!AB16),"",INDEX('Todo-Holiday-Event'!$D$9:$D$258,'Supporting Calendar'!AB16))</f>
        <v/>
      </c>
      <c r="D20" s="69" t="str">
        <f ca="1">IF(ISERROR('Supporting Calendar'!AB16),"",INDEX('Todo-Holiday-Event'!$E$9:$E$258,'Supporting Calendar'!AB16))</f>
        <v/>
      </c>
      <c r="E20" s="68" t="str">
        <f ca="1">IF(ISERROR('Supporting Calendar'!AC16),"",INDEX('Todo-Holiday-Event'!$D$9:$D$258,'Supporting Calendar'!AC16))</f>
        <v/>
      </c>
      <c r="F20" s="69" t="str">
        <f ca="1">IF(ISERROR('Supporting Calendar'!AC16),"",INDEX('Todo-Holiday-Event'!$E$9:$E$258,'Supporting Calendar'!AC16))</f>
        <v/>
      </c>
      <c r="G20" s="68" t="str">
        <f ca="1">IF(ISERROR('Supporting Calendar'!AD16),"",INDEX('Todo-Holiday-Event'!$D$9:$D$258,'Supporting Calendar'!AD16))</f>
        <v/>
      </c>
      <c r="H20" s="69" t="str">
        <f ca="1">IF(ISERROR('Supporting Calendar'!AD16),"",INDEX('Todo-Holiday-Event'!$E$9:$E$258,'Supporting Calendar'!AD16))</f>
        <v/>
      </c>
      <c r="I20" s="68" t="str">
        <f ca="1">IF(ISERROR('Supporting Calendar'!AE16),"",INDEX('Todo-Holiday-Event'!$D$9:$D$258,'Supporting Calendar'!AE16))</f>
        <v/>
      </c>
      <c r="J20" s="69" t="str">
        <f ca="1">IF(ISERROR('Supporting Calendar'!AE16),"",INDEX('Todo-Holiday-Event'!$E$9:$E$258,'Supporting Calendar'!AE16))</f>
        <v/>
      </c>
      <c r="K20" s="68" t="str">
        <f ca="1">IF(ISERROR('Supporting Calendar'!AF16),"",INDEX('Todo-Holiday-Event'!$D$9:$D$258,'Supporting Calendar'!AF16))</f>
        <v/>
      </c>
      <c r="L20" s="69" t="str">
        <f ca="1">IF(ISERROR('Supporting Calendar'!AF16),"",INDEX('Todo-Holiday-Event'!$E$9:$E$258,'Supporting Calendar'!AF16))</f>
        <v/>
      </c>
      <c r="M20" s="68" t="str">
        <f ca="1">IF(ISERROR('Supporting Calendar'!AG16),"",INDEX('Todo-Holiday-Event'!$D$9:$D$258,'Supporting Calendar'!AG16))</f>
        <v/>
      </c>
      <c r="N20" s="69" t="str">
        <f ca="1">IF(ISERROR('Supporting Calendar'!AG16),"",INDEX('Todo-Holiday-Event'!$E$9:$E$258,'Supporting Calendar'!AG16))</f>
        <v/>
      </c>
      <c r="O20" s="68" t="str">
        <f ca="1">IF(ISERROR('Supporting Calendar'!AH16),"",INDEX('Todo-Holiday-Event'!$D$9:$D$258,'Supporting Calendar'!AH16))</f>
        <v/>
      </c>
      <c r="P20" s="69" t="str">
        <f ca="1">IF(ISERROR('Supporting Calendar'!AH16),"",INDEX('Todo-Holiday-Event'!$E$9:$E$258,'Supporting Calendar'!AH16))</f>
        <v/>
      </c>
      <c r="X20" s="77"/>
      <c r="AH20" s="78"/>
    </row>
    <row r="21" spans="1:34" s="13" customFormat="1" ht="15" customHeight="1" x14ac:dyDescent="0.25">
      <c r="A21" s="113"/>
      <c r="C21" s="73">
        <f>O16+1</f>
        <v>18</v>
      </c>
      <c r="D21" s="80" t="str">
        <f>IF(C21&lt;&gt;"",IF(ISNA(VLOOKUP(DATE($M$31,$O$31,C21),'Todo-Holiday-Event'!$L$9:$M$28,2,FALSE)),IF(ISNA(VLOOKUP(DATE($M$31,$O$31,C21),'Todo-Holiday-Event'!$H$9:$I$28,2,FALSE)),"",VLOOKUP(DATE($M$31,$O$31,C21),'Todo-Holiday-Event'!$H$9:$I$28,2,FALSE)),VLOOKUP(DATE($M$31,$O$31,C21),'Todo-Holiday-Event'!$L$9:$M$28,2,FALSE)),"")</f>
        <v/>
      </c>
      <c r="E21" s="73">
        <f>C21+1</f>
        <v>19</v>
      </c>
      <c r="F21" s="80" t="str">
        <f>IF(E21&lt;&gt;"",IF(ISNA(VLOOKUP(DATE($M$31,$O$31,E21),'Todo-Holiday-Event'!$L$9:$M$28,2,FALSE)),IF(ISNA(VLOOKUP(DATE($M$31,$O$31,E21),'Todo-Holiday-Event'!$H$9:$I$28,2,FALSE)),"",VLOOKUP(DATE($M$31,$O$31,E21),'Todo-Holiday-Event'!$H$9:$I$28,2,FALSE)),VLOOKUP(DATE($M$31,$O$31,E21),'Todo-Holiday-Event'!$L$9:$M$28,2,FALSE)),"")</f>
        <v/>
      </c>
      <c r="G21" s="73">
        <f>E21+1</f>
        <v>20</v>
      </c>
      <c r="H21" s="80" t="str">
        <f>IF(G21&lt;&gt;"",IF(ISNA(VLOOKUP(DATE($M$31,$O$31,G21),'Todo-Holiday-Event'!$L$9:$M$28,2,FALSE)),IF(ISNA(VLOOKUP(DATE($M$31,$O$31,G21),'Todo-Holiday-Event'!$H$9:$I$28,2,FALSE)),"",VLOOKUP(DATE($M$31,$O$31,G21),'Todo-Holiday-Event'!$H$9:$I$28,2,FALSE)),VLOOKUP(DATE($M$31,$O$31,G21),'Todo-Holiday-Event'!$L$9:$M$28,2,FALSE)),"")</f>
        <v/>
      </c>
      <c r="I21" s="73">
        <f>G21+1</f>
        <v>21</v>
      </c>
      <c r="J21" s="80" t="str">
        <f>IF(I21&lt;&gt;"",IF(ISNA(VLOOKUP(DATE($M$31,$O$31,I21),'Todo-Holiday-Event'!$L$9:$M$28,2,FALSE)),IF(ISNA(VLOOKUP(DATE($M$31,$O$31,I21),'Todo-Holiday-Event'!$H$9:$I$28,2,FALSE)),"",VLOOKUP(DATE($M$31,$O$31,I21),'Todo-Holiday-Event'!$H$9:$I$28,2,FALSE)),VLOOKUP(DATE($M$31,$O$31,I21),'Todo-Holiday-Event'!$L$9:$M$28,2,FALSE)),"")</f>
        <v/>
      </c>
      <c r="K21" s="73">
        <f>I21+1</f>
        <v>22</v>
      </c>
      <c r="L21" s="80" t="str">
        <f>IF(K21&lt;&gt;"",IF(ISNA(VLOOKUP(DATE($M$31,$O$31,K21),'Todo-Holiday-Event'!$L$9:$M$28,2,FALSE)),IF(ISNA(VLOOKUP(DATE($M$31,$O$31,K21),'Todo-Holiday-Event'!$H$9:$I$28,2,FALSE)),"",VLOOKUP(DATE($M$31,$O$31,K21),'Todo-Holiday-Event'!$H$9:$I$28,2,FALSE)),VLOOKUP(DATE($M$31,$O$31,K21),'Todo-Holiday-Event'!$L$9:$M$28,2,FALSE)),"")</f>
        <v/>
      </c>
      <c r="M21" s="73">
        <f>K21+1</f>
        <v>23</v>
      </c>
      <c r="N21" s="80" t="str">
        <f>IF(M21&lt;&gt;"",IF(ISNA(VLOOKUP(DATE($M$31,$O$31,M21),'Todo-Holiday-Event'!$L$9:$M$28,2,FALSE)),IF(ISNA(VLOOKUP(DATE($M$31,$O$31,M21),'Todo-Holiday-Event'!$H$9:$I$28,2,FALSE)),"",VLOOKUP(DATE($M$31,$O$31,M21),'Todo-Holiday-Event'!$H$9:$I$28,2,FALSE)),VLOOKUP(DATE($M$31,$O$31,M21),'Todo-Holiday-Event'!$L$9:$M$28,2,FALSE)),"")</f>
        <v/>
      </c>
      <c r="O21" s="73">
        <f>M21+1</f>
        <v>24</v>
      </c>
      <c r="P21" s="80" t="str">
        <f>IF(O21&lt;&gt;"",IF(ISNA(VLOOKUP(DATE($M$31,$O$31,O21),'Todo-Holiday-Event'!$L$9:$M$28,2,FALSE)),IF(ISNA(VLOOKUP(DATE($M$31,$O$31,O21),'Todo-Holiday-Event'!$H$9:$I$28,2,FALSE)),"",VLOOKUP(DATE($M$31,$O$31,O21),'Todo-Holiday-Event'!$H$9:$I$28,2,FALSE)),VLOOKUP(DATE($M$31,$O$31,O21),'Todo-Holiday-Event'!$L$9:$M$28,2,FALSE)),"")</f>
        <v/>
      </c>
      <c r="X21" s="70"/>
      <c r="AH21" s="67"/>
    </row>
    <row r="22" spans="1:34" s="76" customFormat="1" ht="15" customHeight="1" x14ac:dyDescent="0.25">
      <c r="A22" s="113"/>
      <c r="C22" s="68">
        <f>IF(ISERROR('Supporting Calendar'!AB19),"",INDEX('Todo-Holiday-Event'!$D$9:$D$258,'Supporting Calendar'!AB19))</f>
        <v>0.70833333333333337</v>
      </c>
      <c r="D22" s="69" t="str">
        <f>IF(ISERROR('Supporting Calendar'!AB19),"",INDEX('Todo-Holiday-Event'!$E$9:$E$258,'Supporting Calendar'!AB19))</f>
        <v>Shopping</v>
      </c>
      <c r="E22" s="68" t="str">
        <f>IF(ISERROR('Supporting Calendar'!AC19),"",INDEX('Todo-Holiday-Event'!$D$9:$D$258,'Supporting Calendar'!AC19))</f>
        <v/>
      </c>
      <c r="F22" s="69" t="str">
        <f>IF(ISERROR('Supporting Calendar'!AC19),"",INDEX('Todo-Holiday-Event'!$E$9:$E$258,'Supporting Calendar'!AC19))</f>
        <v/>
      </c>
      <c r="G22" s="68" t="str">
        <f>IF(ISERROR('Supporting Calendar'!AD19),"",INDEX('Todo-Holiday-Event'!$D$9:$D$258,'Supporting Calendar'!AD19))</f>
        <v/>
      </c>
      <c r="H22" s="69" t="str">
        <f>IF(ISERROR('Supporting Calendar'!AD19),"",INDEX('Todo-Holiday-Event'!$E$9:$E$258,'Supporting Calendar'!AD19))</f>
        <v/>
      </c>
      <c r="I22" s="68" t="str">
        <f>IF(ISERROR('Supporting Calendar'!AE19),"",INDEX('Todo-Holiday-Event'!$D$9:$D$258,'Supporting Calendar'!AE19))</f>
        <v/>
      </c>
      <c r="J22" s="69" t="str">
        <f>IF(ISERROR('Supporting Calendar'!AE19),"",INDEX('Todo-Holiday-Event'!$E$9:$E$258,'Supporting Calendar'!AE19))</f>
        <v/>
      </c>
      <c r="K22" s="68" t="str">
        <f>IF(ISERROR('Supporting Calendar'!AF19),"",INDEX('Todo-Holiday-Event'!$D$9:$D$258,'Supporting Calendar'!AF19))</f>
        <v/>
      </c>
      <c r="L22" s="69" t="str">
        <f>IF(ISERROR('Supporting Calendar'!AF19),"",INDEX('Todo-Holiday-Event'!$E$9:$E$258,'Supporting Calendar'!AF19))</f>
        <v/>
      </c>
      <c r="M22" s="68" t="str">
        <f>IF(ISERROR('Supporting Calendar'!AG19),"",INDEX('Todo-Holiday-Event'!$D$9:$D$258,'Supporting Calendar'!AG19))</f>
        <v/>
      </c>
      <c r="N22" s="69" t="str">
        <f>IF(ISERROR('Supporting Calendar'!AG19),"",INDEX('Todo-Holiday-Event'!$E$9:$E$258,'Supporting Calendar'!AG19))</f>
        <v/>
      </c>
      <c r="O22" s="68" t="str">
        <f>IF(ISERROR('Supporting Calendar'!AH19),"",INDEX('Todo-Holiday-Event'!$D$9:$D$258,'Supporting Calendar'!AH19))</f>
        <v/>
      </c>
      <c r="P22" s="69" t="str">
        <f>IF(ISERROR('Supporting Calendar'!AH19),"",INDEX('Todo-Holiday-Event'!$E$9:$E$258,'Supporting Calendar'!AH19))</f>
        <v/>
      </c>
      <c r="X22" s="77"/>
    </row>
    <row r="23" spans="1:34" s="76" customFormat="1" ht="15" customHeight="1" x14ac:dyDescent="0.25">
      <c r="A23" s="113"/>
      <c r="C23" s="68" t="str">
        <f ca="1">IF(ISERROR('Supporting Calendar'!AB20),"",INDEX('Todo-Holiday-Event'!$D$9:$D$258,'Supporting Calendar'!AB20))</f>
        <v/>
      </c>
      <c r="D23" s="69" t="str">
        <f ca="1">IF(ISERROR('Supporting Calendar'!AB20),"",INDEX('Todo-Holiday-Event'!$E$9:$E$258,'Supporting Calendar'!AB20))</f>
        <v/>
      </c>
      <c r="E23" s="68" t="str">
        <f ca="1">IF(ISERROR('Supporting Calendar'!AC20),"",INDEX('Todo-Holiday-Event'!$D$9:$D$258,'Supporting Calendar'!AC20))</f>
        <v/>
      </c>
      <c r="F23" s="69" t="str">
        <f ca="1">IF(ISERROR('Supporting Calendar'!AC20),"",INDEX('Todo-Holiday-Event'!$E$9:$E$258,'Supporting Calendar'!AC20))</f>
        <v/>
      </c>
      <c r="G23" s="68" t="str">
        <f ca="1">IF(ISERROR('Supporting Calendar'!AD20),"",INDEX('Todo-Holiday-Event'!$D$9:$D$258,'Supporting Calendar'!AD20))</f>
        <v/>
      </c>
      <c r="H23" s="69" t="str">
        <f ca="1">IF(ISERROR('Supporting Calendar'!AD20),"",INDEX('Todo-Holiday-Event'!$E$9:$E$258,'Supporting Calendar'!AD20))</f>
        <v/>
      </c>
      <c r="I23" s="68" t="str">
        <f ca="1">IF(ISERROR('Supporting Calendar'!AE20),"",INDEX('Todo-Holiday-Event'!$D$9:$D$258,'Supporting Calendar'!AE20))</f>
        <v/>
      </c>
      <c r="J23" s="69" t="str">
        <f ca="1">IF(ISERROR('Supporting Calendar'!AE20),"",INDEX('Todo-Holiday-Event'!$E$9:$E$258,'Supporting Calendar'!AE20))</f>
        <v/>
      </c>
      <c r="K23" s="68" t="str">
        <f ca="1">IF(ISERROR('Supporting Calendar'!AF20),"",INDEX('Todo-Holiday-Event'!$D$9:$D$258,'Supporting Calendar'!AF20))</f>
        <v/>
      </c>
      <c r="L23" s="69" t="str">
        <f ca="1">IF(ISERROR('Supporting Calendar'!AF20),"",INDEX('Todo-Holiday-Event'!$E$9:$E$258,'Supporting Calendar'!AF20))</f>
        <v/>
      </c>
      <c r="M23" s="68" t="str">
        <f ca="1">IF(ISERROR('Supporting Calendar'!AG20),"",INDEX('Todo-Holiday-Event'!$D$9:$D$258,'Supporting Calendar'!AG20))</f>
        <v/>
      </c>
      <c r="N23" s="69" t="str">
        <f ca="1">IF(ISERROR('Supporting Calendar'!AG20),"",INDEX('Todo-Holiday-Event'!$E$9:$E$258,'Supporting Calendar'!AG20))</f>
        <v/>
      </c>
      <c r="O23" s="68" t="str">
        <f ca="1">IF(ISERROR('Supporting Calendar'!AH20),"",INDEX('Todo-Holiday-Event'!$D$9:$D$258,'Supporting Calendar'!AH20))</f>
        <v/>
      </c>
      <c r="P23" s="69" t="str">
        <f ca="1">IF(ISERROR('Supporting Calendar'!AH20),"",INDEX('Todo-Holiday-Event'!$E$9:$E$258,'Supporting Calendar'!AH20))</f>
        <v/>
      </c>
      <c r="X23" s="77"/>
    </row>
    <row r="24" spans="1:34" s="76" customFormat="1" ht="15" customHeight="1" x14ac:dyDescent="0.25">
      <c r="A24" s="113"/>
      <c r="C24" s="68" t="str">
        <f ca="1">IF(ISERROR('Supporting Calendar'!AB21),"",INDEX('Todo-Holiday-Event'!$D$9:$D$258,'Supporting Calendar'!AB21))</f>
        <v/>
      </c>
      <c r="D24" s="69" t="str">
        <f ca="1">IF(ISERROR('Supporting Calendar'!AB21),"",INDEX('Todo-Holiday-Event'!$E$9:$E$258,'Supporting Calendar'!AB21))</f>
        <v/>
      </c>
      <c r="E24" s="68" t="str">
        <f ca="1">IF(ISERROR('Supporting Calendar'!AC21),"",INDEX('Todo-Holiday-Event'!$D$9:$D$258,'Supporting Calendar'!AC21))</f>
        <v/>
      </c>
      <c r="F24" s="69" t="str">
        <f ca="1">IF(ISERROR('Supporting Calendar'!AC21),"",INDEX('Todo-Holiday-Event'!$E$9:$E$258,'Supporting Calendar'!AC21))</f>
        <v/>
      </c>
      <c r="G24" s="68" t="str">
        <f ca="1">IF(ISERROR('Supporting Calendar'!AD21),"",INDEX('Todo-Holiday-Event'!$D$9:$D$258,'Supporting Calendar'!AD21))</f>
        <v/>
      </c>
      <c r="H24" s="69" t="str">
        <f ca="1">IF(ISERROR('Supporting Calendar'!AD21),"",INDEX('Todo-Holiday-Event'!$E$9:$E$258,'Supporting Calendar'!AD21))</f>
        <v/>
      </c>
      <c r="I24" s="68" t="str">
        <f ca="1">IF(ISERROR('Supporting Calendar'!AE21),"",INDEX('Todo-Holiday-Event'!$D$9:$D$258,'Supporting Calendar'!AE21))</f>
        <v/>
      </c>
      <c r="J24" s="69" t="str">
        <f ca="1">IF(ISERROR('Supporting Calendar'!AE21),"",INDEX('Todo-Holiday-Event'!$E$9:$E$258,'Supporting Calendar'!AE21))</f>
        <v/>
      </c>
      <c r="K24" s="68" t="str">
        <f ca="1">IF(ISERROR('Supporting Calendar'!AF21),"",INDEX('Todo-Holiday-Event'!$D$9:$D$258,'Supporting Calendar'!AF21))</f>
        <v/>
      </c>
      <c r="L24" s="69" t="str">
        <f ca="1">IF(ISERROR('Supporting Calendar'!AF21),"",INDEX('Todo-Holiday-Event'!$E$9:$E$258,'Supporting Calendar'!AF21))</f>
        <v/>
      </c>
      <c r="M24" s="68" t="str">
        <f ca="1">IF(ISERROR('Supporting Calendar'!AG21),"",INDEX('Todo-Holiday-Event'!$D$9:$D$258,'Supporting Calendar'!AG21))</f>
        <v/>
      </c>
      <c r="N24" s="69" t="str">
        <f ca="1">IF(ISERROR('Supporting Calendar'!AG21),"",INDEX('Todo-Holiday-Event'!$E$9:$E$258,'Supporting Calendar'!AG21))</f>
        <v/>
      </c>
      <c r="O24" s="68" t="str">
        <f ca="1">IF(ISERROR('Supporting Calendar'!AH21),"",INDEX('Todo-Holiday-Event'!$D$9:$D$258,'Supporting Calendar'!AH21))</f>
        <v/>
      </c>
      <c r="P24" s="69" t="str">
        <f ca="1">IF(ISERROR('Supporting Calendar'!AH21),"",INDEX('Todo-Holiday-Event'!$E$9:$E$258,'Supporting Calendar'!AH21))</f>
        <v/>
      </c>
      <c r="X24" s="77"/>
    </row>
    <row r="25" spans="1:34" s="76" customFormat="1" ht="15" customHeight="1" x14ac:dyDescent="0.25">
      <c r="A25" s="113"/>
      <c r="C25" s="68" t="str">
        <f ca="1">IF(ISERROR('Supporting Calendar'!AB22),"",INDEX('Todo-Holiday-Event'!$D$9:$D$258,'Supporting Calendar'!AB22))</f>
        <v/>
      </c>
      <c r="D25" s="69" t="str">
        <f ca="1">IF(ISERROR('Supporting Calendar'!AB22),"",INDEX('Todo-Holiday-Event'!$E$9:$E$258,'Supporting Calendar'!AB22))</f>
        <v/>
      </c>
      <c r="E25" s="68" t="str">
        <f ca="1">IF(ISERROR('Supporting Calendar'!AC22),"",INDEX('Todo-Holiday-Event'!$D$9:$D$258,'Supporting Calendar'!AC22))</f>
        <v/>
      </c>
      <c r="F25" s="69" t="str">
        <f ca="1">IF(ISERROR('Supporting Calendar'!AC22),"",INDEX('Todo-Holiday-Event'!$E$9:$E$258,'Supporting Calendar'!AC22))</f>
        <v/>
      </c>
      <c r="G25" s="68" t="str">
        <f ca="1">IF(ISERROR('Supporting Calendar'!AD22),"",INDEX('Todo-Holiday-Event'!$D$9:$D$258,'Supporting Calendar'!AD22))</f>
        <v/>
      </c>
      <c r="H25" s="69" t="str">
        <f ca="1">IF(ISERROR('Supporting Calendar'!AD22),"",INDEX('Todo-Holiday-Event'!$E$9:$E$258,'Supporting Calendar'!AD22))</f>
        <v/>
      </c>
      <c r="I25" s="68" t="str">
        <f ca="1">IF(ISERROR('Supporting Calendar'!AE22),"",INDEX('Todo-Holiday-Event'!$D$9:$D$258,'Supporting Calendar'!AE22))</f>
        <v/>
      </c>
      <c r="J25" s="69" t="str">
        <f ca="1">IF(ISERROR('Supporting Calendar'!AE22),"",INDEX('Todo-Holiday-Event'!$E$9:$E$258,'Supporting Calendar'!AE22))</f>
        <v/>
      </c>
      <c r="K25" s="68" t="str">
        <f ca="1">IF(ISERROR('Supporting Calendar'!AF22),"",INDEX('Todo-Holiday-Event'!$D$9:$D$258,'Supporting Calendar'!AF22))</f>
        <v/>
      </c>
      <c r="L25" s="69" t="str">
        <f ca="1">IF(ISERROR('Supporting Calendar'!AF22),"",INDEX('Todo-Holiday-Event'!$E$9:$E$258,'Supporting Calendar'!AF22))</f>
        <v/>
      </c>
      <c r="M25" s="68" t="str">
        <f ca="1">IF(ISERROR('Supporting Calendar'!AG22),"",INDEX('Todo-Holiday-Event'!$D$9:$D$258,'Supporting Calendar'!AG22))</f>
        <v/>
      </c>
      <c r="N25" s="69" t="str">
        <f ca="1">IF(ISERROR('Supporting Calendar'!AG22),"",INDEX('Todo-Holiday-Event'!$E$9:$E$258,'Supporting Calendar'!AG22))</f>
        <v/>
      </c>
      <c r="O25" s="68" t="str">
        <f ca="1">IF(ISERROR('Supporting Calendar'!AH22),"",INDEX('Todo-Holiday-Event'!$D$9:$D$258,'Supporting Calendar'!AH22))</f>
        <v/>
      </c>
      <c r="P25" s="69" t="str">
        <f ca="1">IF(ISERROR('Supporting Calendar'!AH22),"",INDEX('Todo-Holiday-Event'!$E$9:$E$258,'Supporting Calendar'!AH22))</f>
        <v/>
      </c>
      <c r="X25" s="77"/>
    </row>
    <row r="26" spans="1:34" s="13" customFormat="1" ht="15" customHeight="1" x14ac:dyDescent="0.25">
      <c r="A26" s="113"/>
      <c r="C26" s="73">
        <f>IF(O21&lt;&gt;"",IF(DAY(EOMONTH(DATE($M$31,$O$31,1),0))=O21,"",O21+1),"")</f>
        <v>25</v>
      </c>
      <c r="D26" s="80" t="str">
        <f>IF(C26&lt;&gt;"",IF(ISNA(VLOOKUP(DATE($M$31,$O$31,C26),'Todo-Holiday-Event'!$L$9:$M$28,2,FALSE)),IF(ISNA(VLOOKUP(DATE($M$31,$O$31,C26),'Todo-Holiday-Event'!$H$9:$I$28,2,FALSE)),"",VLOOKUP(DATE($M$31,$O$31,C26),'Todo-Holiday-Event'!$H$9:$I$28,2,FALSE)),VLOOKUP(DATE($M$31,$O$31,C26),'Todo-Holiday-Event'!$L$9:$M$28,2,FALSE)),"")</f>
        <v/>
      </c>
      <c r="E26" s="73">
        <f>IF(C26&lt;&gt;"",IF(DAY(EOMONTH(DATE($M$31,$O$31,1),0))=C26,"",C26+1),"")</f>
        <v>26</v>
      </c>
      <c r="F26" s="80" t="str">
        <f>IF(E26&lt;&gt;"",IF(ISNA(VLOOKUP(DATE($M$31,$O$31,E26),'Todo-Holiday-Event'!$L$9:$M$28,2,FALSE)),IF(ISNA(VLOOKUP(DATE($M$31,$O$31,E26),'Todo-Holiday-Event'!$H$9:$I$28,2,FALSE)),"",VLOOKUP(DATE($M$31,$O$31,E26),'Todo-Holiday-Event'!$H$9:$I$28,2,FALSE)),VLOOKUP(DATE($M$31,$O$31,E26),'Todo-Holiday-Event'!$L$9:$M$28,2,FALSE)),"")</f>
        <v/>
      </c>
      <c r="G26" s="73">
        <f>IF(E26&lt;&gt;"",IF(DAY(EOMONTH(DATE($M$31,$O$31,1),0))=E26,"",E26+1),"")</f>
        <v>27</v>
      </c>
      <c r="H26" s="80" t="str">
        <f>IF(G26&lt;&gt;"",IF(ISNA(VLOOKUP(DATE($M$31,$O$31,G26),'Todo-Holiday-Event'!$L$9:$M$28,2,FALSE)),IF(ISNA(VLOOKUP(DATE($M$31,$O$31,G26),'Todo-Holiday-Event'!$H$9:$I$28,2,FALSE)),"",VLOOKUP(DATE($M$31,$O$31,G26),'Todo-Holiday-Event'!$H$9:$I$28,2,FALSE)),VLOOKUP(DATE($M$31,$O$31,G26),'Todo-Holiday-Event'!$L$9:$M$28,2,FALSE)),"")</f>
        <v/>
      </c>
      <c r="I26" s="73">
        <f>IF(G26&lt;&gt;"",IF(DAY(EOMONTH(DATE($M$31,$O$31,1),0))=G26,"",G26+1),"")</f>
        <v>28</v>
      </c>
      <c r="J26" s="80" t="str">
        <f>IF(I26&lt;&gt;"",IF(ISNA(VLOOKUP(DATE($M$31,$O$31,I26),'Todo-Holiday-Event'!$L$9:$M$28,2,FALSE)),IF(ISNA(VLOOKUP(DATE($M$31,$O$31,I26),'Todo-Holiday-Event'!$H$9:$I$28,2,FALSE)),"",VLOOKUP(DATE($M$31,$O$31,I26),'Todo-Holiday-Event'!$H$9:$I$28,2,FALSE)),VLOOKUP(DATE($M$31,$O$31,I26),'Todo-Holiday-Event'!$L$9:$M$28,2,FALSE)),"")</f>
        <v/>
      </c>
      <c r="K26" s="73">
        <f>IF(I26&lt;&gt;"",IF(DAY(EOMONTH(DATE($M$31,$O$31,1),0))=I26,"",I26+1),"")</f>
        <v>29</v>
      </c>
      <c r="L26" s="80" t="str">
        <f>IF(K26&lt;&gt;"",IF(ISNA(VLOOKUP(DATE($M$31,$O$31,K26),'Todo-Holiday-Event'!$L$9:$M$28,2,FALSE)),IF(ISNA(VLOOKUP(DATE($M$31,$O$31,K26),'Todo-Holiday-Event'!$H$9:$I$28,2,FALSE)),"",VLOOKUP(DATE($M$31,$O$31,K26),'Todo-Holiday-Event'!$H$9:$I$28,2,FALSE)),VLOOKUP(DATE($M$31,$O$31,K26),'Todo-Holiday-Event'!$L$9:$M$28,2,FALSE)),"")</f>
        <v/>
      </c>
      <c r="M26" s="73">
        <f>IF(K26&lt;&gt;"",IF(DAY(EOMONTH(DATE($M$31,$O$31,1),0))=K26,"",K26+1),"")</f>
        <v>30</v>
      </c>
      <c r="N26" s="80" t="str">
        <f>IF(M26&lt;&gt;"",IF(ISNA(VLOOKUP(DATE($M$31,$O$31,M26),'Todo-Holiday-Event'!$L$9:$M$28,2,FALSE)),IF(ISNA(VLOOKUP(DATE($M$31,$O$31,M26),'Todo-Holiday-Event'!$H$9:$I$28,2,FALSE)),"",VLOOKUP(DATE($M$31,$O$31,M26),'Todo-Holiday-Event'!$H$9:$I$28,2,FALSE)),VLOOKUP(DATE($M$31,$O$31,M26),'Todo-Holiday-Event'!$L$9:$M$28,2,FALSE)),"")</f>
        <v/>
      </c>
      <c r="O26" s="73">
        <f>IF(M26&lt;&gt;"",IF(DAY(EOMONTH(DATE($M$31,$O$31,1),0))=M26,"",M26+1),"")</f>
        <v>31</v>
      </c>
      <c r="P26" s="80" t="str">
        <f>IF(O26&lt;&gt;"",IF(ISNA(VLOOKUP(DATE($M$31,$O$31,O26),'Todo-Holiday-Event'!$L$9:$M$28,2,FALSE)),IF(ISNA(VLOOKUP(DATE($M$31,$O$31,O26),'Todo-Holiday-Event'!$H$9:$I$28,2,FALSE)),"",VLOOKUP(DATE($M$31,$O$31,O26),'Todo-Holiday-Event'!$H$9:$I$28,2,FALSE)),VLOOKUP(DATE($M$31,$O$31,O26),'Todo-Holiday-Event'!$L$9:$M$28,2,FALSE)),"")</f>
        <v/>
      </c>
      <c r="X26" s="70"/>
    </row>
    <row r="27" spans="1:34" s="76" customFormat="1" ht="15" customHeight="1" x14ac:dyDescent="0.25">
      <c r="A27" s="113"/>
      <c r="C27" s="68" t="str">
        <f>IF(ISERROR('Supporting Calendar'!AB25),"",INDEX('Todo-Holiday-Event'!$D$9:$D$258,'Supporting Calendar'!AB25))</f>
        <v/>
      </c>
      <c r="D27" s="69" t="str">
        <f>IF(ISERROR('Supporting Calendar'!AB25),"",INDEX('Todo-Holiday-Event'!$E$9:$E$258,'Supporting Calendar'!AB25))</f>
        <v/>
      </c>
      <c r="E27" s="68" t="str">
        <f>IF(ISERROR('Supporting Calendar'!AC25),"",INDEX('Todo-Holiday-Event'!$D$9:$D$258,'Supporting Calendar'!AC25))</f>
        <v/>
      </c>
      <c r="F27" s="69" t="str">
        <f>IF(ISERROR('Supporting Calendar'!AC25),"",INDEX('Todo-Holiday-Event'!$E$9:$E$258,'Supporting Calendar'!AC25))</f>
        <v/>
      </c>
      <c r="G27" s="68" t="str">
        <f>IF(ISERROR('Supporting Calendar'!AD25),"",INDEX('Todo-Holiday-Event'!$D$9:$D$258,'Supporting Calendar'!AD25))</f>
        <v/>
      </c>
      <c r="H27" s="69" t="str">
        <f>IF(ISERROR('Supporting Calendar'!AD25),"",INDEX('Todo-Holiday-Event'!$E$9:$E$258,'Supporting Calendar'!AD25))</f>
        <v/>
      </c>
      <c r="I27" s="68" t="str">
        <f>IF(ISERROR('Supporting Calendar'!AE25),"",INDEX('Todo-Holiday-Event'!$D$9:$D$258,'Supporting Calendar'!AE25))</f>
        <v/>
      </c>
      <c r="J27" s="69" t="str">
        <f>IF(ISERROR('Supporting Calendar'!AE25),"",INDEX('Todo-Holiday-Event'!$E$9:$E$258,'Supporting Calendar'!AE25))</f>
        <v/>
      </c>
      <c r="K27" s="68" t="str">
        <f>IF(ISERROR('Supporting Calendar'!AF25),"",INDEX('Todo-Holiday-Event'!$D$9:$D$258,'Supporting Calendar'!AF25))</f>
        <v/>
      </c>
      <c r="L27" s="69" t="str">
        <f>IF(ISERROR('Supporting Calendar'!AF25),"",INDEX('Todo-Holiday-Event'!$E$9:$E$258,'Supporting Calendar'!AF25))</f>
        <v/>
      </c>
      <c r="M27" s="68" t="str">
        <f>IF(ISERROR('Supporting Calendar'!AG25),"",INDEX('Todo-Holiday-Event'!$D$9:$D$258,'Supporting Calendar'!AG25))</f>
        <v/>
      </c>
      <c r="N27" s="69" t="str">
        <f>IF(ISERROR('Supporting Calendar'!AG25),"",INDEX('Todo-Holiday-Event'!$E$9:$E$258,'Supporting Calendar'!AG25))</f>
        <v/>
      </c>
      <c r="O27" s="68" t="str">
        <f>IF(ISERROR('Supporting Calendar'!AH25),"",INDEX('Todo-Holiday-Event'!$D$9:$D$258,'Supporting Calendar'!AH25))</f>
        <v/>
      </c>
      <c r="P27" s="69" t="str">
        <f>IF(ISERROR('Supporting Calendar'!AH25),"",INDEX('Todo-Holiday-Event'!$E$9:$E$258,'Supporting Calendar'!AH25))</f>
        <v/>
      </c>
      <c r="X27" s="77"/>
    </row>
    <row r="28" spans="1:34" s="76" customFormat="1" ht="15" customHeight="1" x14ac:dyDescent="0.25">
      <c r="A28" s="113"/>
      <c r="C28" s="68" t="str">
        <f ca="1">IF(ISERROR('Supporting Calendar'!AB26),"",INDEX('Todo-Holiday-Event'!$D$9:$D$258,'Supporting Calendar'!AB26))</f>
        <v/>
      </c>
      <c r="D28" s="69" t="str">
        <f ca="1">IF(ISERROR('Supporting Calendar'!AB26),"",INDEX('Todo-Holiday-Event'!$E$9:$E$258,'Supporting Calendar'!AB26))</f>
        <v/>
      </c>
      <c r="E28" s="68" t="str">
        <f ca="1">IF(ISERROR('Supporting Calendar'!AC26),"",INDEX('Todo-Holiday-Event'!$D$9:$D$258,'Supporting Calendar'!AC26))</f>
        <v/>
      </c>
      <c r="F28" s="69" t="str">
        <f ca="1">IF(ISERROR('Supporting Calendar'!AC26),"",INDEX('Todo-Holiday-Event'!$E$9:$E$258,'Supporting Calendar'!AC26))</f>
        <v/>
      </c>
      <c r="G28" s="68" t="str">
        <f ca="1">IF(ISERROR('Supporting Calendar'!AD26),"",INDEX('Todo-Holiday-Event'!$D$9:$D$258,'Supporting Calendar'!AD26))</f>
        <v/>
      </c>
      <c r="H28" s="69" t="str">
        <f ca="1">IF(ISERROR('Supporting Calendar'!AD26),"",INDEX('Todo-Holiday-Event'!$E$9:$E$258,'Supporting Calendar'!AD26))</f>
        <v/>
      </c>
      <c r="I28" s="68" t="str">
        <f ca="1">IF(ISERROR('Supporting Calendar'!AE26),"",INDEX('Todo-Holiday-Event'!$D$9:$D$258,'Supporting Calendar'!AE26))</f>
        <v/>
      </c>
      <c r="J28" s="69" t="str">
        <f ca="1">IF(ISERROR('Supporting Calendar'!AE26),"",INDEX('Todo-Holiday-Event'!$E$9:$E$258,'Supporting Calendar'!AE26))</f>
        <v/>
      </c>
      <c r="K28" s="68" t="str">
        <f ca="1">IF(ISERROR('Supporting Calendar'!AF26),"",INDEX('Todo-Holiday-Event'!$D$9:$D$258,'Supporting Calendar'!AF26))</f>
        <v/>
      </c>
      <c r="L28" s="69" t="str">
        <f ca="1">IF(ISERROR('Supporting Calendar'!AF26),"",INDEX('Todo-Holiday-Event'!$E$9:$E$258,'Supporting Calendar'!AF26))</f>
        <v/>
      </c>
      <c r="M28" s="68" t="str">
        <f ca="1">IF(ISERROR('Supporting Calendar'!AG26),"",INDEX('Todo-Holiday-Event'!$D$9:$D$258,'Supporting Calendar'!AG26))</f>
        <v/>
      </c>
      <c r="N28" s="69" t="str">
        <f ca="1">IF(ISERROR('Supporting Calendar'!AG26),"",INDEX('Todo-Holiday-Event'!$E$9:$E$258,'Supporting Calendar'!AG26))</f>
        <v/>
      </c>
      <c r="O28" s="68" t="str">
        <f ca="1">IF(ISERROR('Supporting Calendar'!AH26),"",INDEX('Todo-Holiday-Event'!$D$9:$D$258,'Supporting Calendar'!AH26))</f>
        <v/>
      </c>
      <c r="P28" s="69" t="str">
        <f ca="1">IF(ISERROR('Supporting Calendar'!AH26),"",INDEX('Todo-Holiday-Event'!$E$9:$E$258,'Supporting Calendar'!AH26))</f>
        <v/>
      </c>
      <c r="X28" s="77"/>
    </row>
    <row r="29" spans="1:34" s="76" customFormat="1" ht="15" customHeight="1" x14ac:dyDescent="0.25">
      <c r="A29" s="113"/>
      <c r="C29" s="68" t="str">
        <f ca="1">IF(ISERROR('Supporting Calendar'!AB27),"",INDEX('Todo-Holiday-Event'!$D$9:$D$258,'Supporting Calendar'!AB27))</f>
        <v/>
      </c>
      <c r="D29" s="69" t="str">
        <f ca="1">IF(ISERROR('Supporting Calendar'!AB27),"",INDEX('Todo-Holiday-Event'!$E$9:$E$258,'Supporting Calendar'!AB27))</f>
        <v/>
      </c>
      <c r="E29" s="68" t="str">
        <f ca="1">IF(ISERROR('Supporting Calendar'!AC27),"",INDEX('Todo-Holiday-Event'!$D$9:$D$258,'Supporting Calendar'!AC27))</f>
        <v/>
      </c>
      <c r="F29" s="69" t="str">
        <f ca="1">IF(ISERROR('Supporting Calendar'!AC27),"",INDEX('Todo-Holiday-Event'!$E$9:$E$258,'Supporting Calendar'!AC27))</f>
        <v/>
      </c>
      <c r="G29" s="68" t="str">
        <f ca="1">IF(ISERROR('Supporting Calendar'!AD27),"",INDEX('Todo-Holiday-Event'!$D$9:$D$258,'Supporting Calendar'!AD27))</f>
        <v/>
      </c>
      <c r="H29" s="69" t="str">
        <f ca="1">IF(ISERROR('Supporting Calendar'!AD27),"",INDEX('Todo-Holiday-Event'!$E$9:$E$258,'Supporting Calendar'!AD27))</f>
        <v/>
      </c>
      <c r="I29" s="68" t="str">
        <f ca="1">IF(ISERROR('Supporting Calendar'!AE27),"",INDEX('Todo-Holiday-Event'!$D$9:$D$258,'Supporting Calendar'!AE27))</f>
        <v/>
      </c>
      <c r="J29" s="69" t="str">
        <f ca="1">IF(ISERROR('Supporting Calendar'!AE27),"",INDEX('Todo-Holiday-Event'!$E$9:$E$258,'Supporting Calendar'!AE27))</f>
        <v/>
      </c>
      <c r="K29" s="68" t="str">
        <f ca="1">IF(ISERROR('Supporting Calendar'!AF27),"",INDEX('Todo-Holiday-Event'!$D$9:$D$258,'Supporting Calendar'!AF27))</f>
        <v/>
      </c>
      <c r="L29" s="69" t="str">
        <f ca="1">IF(ISERROR('Supporting Calendar'!AF27),"",INDEX('Todo-Holiday-Event'!$E$9:$E$258,'Supporting Calendar'!AF27))</f>
        <v/>
      </c>
      <c r="M29" s="68" t="str">
        <f ca="1">IF(ISERROR('Supporting Calendar'!AG27),"",INDEX('Todo-Holiday-Event'!$D$9:$D$258,'Supporting Calendar'!AG27))</f>
        <v/>
      </c>
      <c r="N29" s="69" t="str">
        <f ca="1">IF(ISERROR('Supporting Calendar'!AG27),"",INDEX('Todo-Holiday-Event'!$E$9:$E$258,'Supporting Calendar'!AG27))</f>
        <v/>
      </c>
      <c r="O29" s="68" t="str">
        <f ca="1">IF(ISERROR('Supporting Calendar'!AH27),"",INDEX('Todo-Holiday-Event'!$D$9:$D$258,'Supporting Calendar'!AH27))</f>
        <v/>
      </c>
      <c r="P29" s="69" t="str">
        <f ca="1">IF(ISERROR('Supporting Calendar'!AH27),"",INDEX('Todo-Holiday-Event'!$E$9:$E$258,'Supporting Calendar'!AH27))</f>
        <v/>
      </c>
      <c r="X29" s="77"/>
    </row>
    <row r="30" spans="1:34" s="76" customFormat="1" ht="15" customHeight="1" x14ac:dyDescent="0.25">
      <c r="A30" s="113"/>
      <c r="C30" s="68" t="str">
        <f ca="1">IF(ISERROR('Supporting Calendar'!AB28),"",INDEX('Todo-Holiday-Event'!$D$9:$D$258,'Supporting Calendar'!AB28))</f>
        <v/>
      </c>
      <c r="D30" s="69" t="str">
        <f ca="1">IF(ISERROR('Supporting Calendar'!AB28),"",INDEX('Todo-Holiday-Event'!$E$9:$E$258,'Supporting Calendar'!AB28))</f>
        <v/>
      </c>
      <c r="E30" s="68" t="str">
        <f ca="1">IF(ISERROR('Supporting Calendar'!AC28),"",INDEX('Todo-Holiday-Event'!$D$9:$D$258,'Supporting Calendar'!AC28))</f>
        <v/>
      </c>
      <c r="F30" s="69" t="str">
        <f ca="1">IF(ISERROR('Supporting Calendar'!AC28),"",INDEX('Todo-Holiday-Event'!$E$9:$E$258,'Supporting Calendar'!AC28))</f>
        <v/>
      </c>
      <c r="G30" s="68" t="str">
        <f ca="1">IF(ISERROR('Supporting Calendar'!AD28),"",INDEX('Todo-Holiday-Event'!$D$9:$D$258,'Supporting Calendar'!AD28))</f>
        <v/>
      </c>
      <c r="H30" s="69" t="str">
        <f ca="1">IF(ISERROR('Supporting Calendar'!AD28),"",INDEX('Todo-Holiday-Event'!$E$9:$E$258,'Supporting Calendar'!AD28))</f>
        <v/>
      </c>
      <c r="I30" s="68" t="str">
        <f ca="1">IF(ISERROR('Supporting Calendar'!AE28),"",INDEX('Todo-Holiday-Event'!$D$9:$D$258,'Supporting Calendar'!AE28))</f>
        <v/>
      </c>
      <c r="J30" s="69" t="str">
        <f ca="1">IF(ISERROR('Supporting Calendar'!AE28),"",INDEX('Todo-Holiday-Event'!$E$9:$E$258,'Supporting Calendar'!AE28))</f>
        <v/>
      </c>
      <c r="K30" s="68" t="str">
        <f ca="1">IF(ISERROR('Supporting Calendar'!AF28),"",INDEX('Todo-Holiday-Event'!$D$9:$D$258,'Supporting Calendar'!AF28))</f>
        <v/>
      </c>
      <c r="L30" s="69" t="str">
        <f ca="1">IF(ISERROR('Supporting Calendar'!AF28),"",INDEX('Todo-Holiday-Event'!$E$9:$E$258,'Supporting Calendar'!AF28))</f>
        <v/>
      </c>
      <c r="M30" s="68" t="str">
        <f ca="1">IF(ISERROR('Supporting Calendar'!AG28),"",INDEX('Todo-Holiday-Event'!$D$9:$D$258,'Supporting Calendar'!AG28))</f>
        <v/>
      </c>
      <c r="N30" s="69" t="str">
        <f ca="1">IF(ISERROR('Supporting Calendar'!AG28),"",INDEX('Todo-Holiday-Event'!$E$9:$E$258,'Supporting Calendar'!AG28))</f>
        <v/>
      </c>
      <c r="O30" s="68" t="str">
        <f ca="1">IF(ISERROR('Supporting Calendar'!AH28),"",INDEX('Todo-Holiday-Event'!$D$9:$D$258,'Supporting Calendar'!AH28))</f>
        <v/>
      </c>
      <c r="P30" s="69" t="str">
        <f ca="1">IF(ISERROR('Supporting Calendar'!AH28),"",INDEX('Todo-Holiday-Event'!$E$9:$E$258,'Supporting Calendar'!AH28))</f>
        <v/>
      </c>
      <c r="X30" s="77"/>
    </row>
    <row r="31" spans="1:34" s="13" customFormat="1" ht="15" customHeight="1" x14ac:dyDescent="0.25">
      <c r="A31" s="113"/>
      <c r="C31" s="73" t="str">
        <f>IF(O26&lt;&gt;"",IF(DAY(EOMONTH(DATE($M$31,$O$31,1),0))=O26,"",O26+1),"")</f>
        <v/>
      </c>
      <c r="D31" s="80" t="str">
        <f>IF(C31&lt;&gt;"",IF(ISNA(VLOOKUP(DATE($M$31,$O$31,C31),'Todo-Holiday-Event'!$L$9:$M$28,2,FALSE)),IF(ISNA(VLOOKUP(DATE($M$31,$O$31,C31),'Todo-Holiday-Event'!$H$9:$I$28,2,FALSE)),"",VLOOKUP(DATE($M$31,$O$31,C31),'Todo-Holiday-Event'!$H$9:$I$28,2,FALSE)),VLOOKUP(DATE($M$31,$O$31,C31),'Todo-Holiday-Event'!$L$9:$M$28,2,FALSE)),"")</f>
        <v/>
      </c>
      <c r="E31" s="73" t="str">
        <f>IF(C31&lt;&gt;"",IF(DAY(EOMONTH(DATE($M$31,$O$31,1),0))=C31,"",C31+1),"")</f>
        <v/>
      </c>
      <c r="F31" s="80" t="str">
        <f>IF(E31&lt;&gt;"",IF(ISNA(VLOOKUP(DATE($M$31,$O$31,E31),'Todo-Holiday-Event'!$L$9:$M$28,2,FALSE)),IF(ISNA(VLOOKUP(DATE($M$31,$O$31,E31),'Todo-Holiday-Event'!$H$9:$I$28,2,FALSE)),"",VLOOKUP(DATE($M$31,$O$31,E31),'Todo-Holiday-Event'!$H$9:$I$28,2,FALSE)),VLOOKUP(DATE($M$31,$O$31,E31),'Todo-Holiday-Event'!$L$9:$M$28,2,FALSE)),"")</f>
        <v/>
      </c>
      <c r="G31" s="195" t="s">
        <v>25</v>
      </c>
      <c r="H31" s="115"/>
      <c r="I31" s="116"/>
      <c r="J31" s="83"/>
      <c r="K31" s="86"/>
      <c r="L31" s="87"/>
      <c r="M31" s="88">
        <f>IF(O33+O32&gt;24,M33+2,IF(O33+O32&gt;12,M33+1,M33))</f>
        <v>2019</v>
      </c>
      <c r="N31" s="89"/>
      <c r="O31" s="88">
        <f>IF(O33+O32&gt;24,O33+O32-24,IF(O33+O32&gt;12,O33+O32-12,O33+O32))</f>
        <v>8</v>
      </c>
      <c r="P31" s="90"/>
      <c r="X31" s="70"/>
    </row>
    <row r="32" spans="1:34" s="76" customFormat="1" ht="15" customHeight="1" x14ac:dyDescent="0.25">
      <c r="A32" s="113"/>
      <c r="C32" s="68" t="str">
        <f>IF(ISERROR('Supporting Calendar'!AB31),"",INDEX('Todo-Holiday-Event'!$D$9:$D$258,'Supporting Calendar'!AB31))</f>
        <v/>
      </c>
      <c r="D32" s="69" t="str">
        <f>IF(ISERROR('Supporting Calendar'!AB31),"",INDEX('Todo-Holiday-Event'!$E$9:$E$258,'Supporting Calendar'!AB31))</f>
        <v/>
      </c>
      <c r="E32" s="68" t="str">
        <f>IF(ISERROR('Supporting Calendar'!AC31),"",INDEX('Todo-Holiday-Event'!$D$9:$D$258,'Supporting Calendar'!AC31))</f>
        <v/>
      </c>
      <c r="F32" s="69" t="str">
        <f>IF(ISERROR('Supporting Calendar'!AC31),"",INDEX('Todo-Holiday-Event'!$E$9:$E$258,'Supporting Calendar'!AC31))</f>
        <v/>
      </c>
      <c r="G32" s="84"/>
      <c r="H32" s="85"/>
      <c r="I32" s="85"/>
      <c r="J32" s="85"/>
      <c r="K32" s="91"/>
      <c r="L32" s="91"/>
      <c r="M32" s="91"/>
      <c r="N32" s="91"/>
      <c r="O32" s="92">
        <v>6</v>
      </c>
      <c r="P32" s="93"/>
      <c r="X32" s="77"/>
    </row>
    <row r="33" spans="1:32" s="76" customFormat="1" ht="15" customHeight="1" x14ac:dyDescent="0.25">
      <c r="A33" s="113"/>
      <c r="C33" s="68" t="str">
        <f ca="1">IF(ISERROR('Supporting Calendar'!AB32),"",INDEX('Todo-Holiday-Event'!$D$9:$D$258,'Supporting Calendar'!AB32))</f>
        <v/>
      </c>
      <c r="D33" s="69" t="str">
        <f ca="1">IF(ISERROR('Supporting Calendar'!AB32),"",INDEX('Todo-Holiday-Event'!$E$9:$E$258,'Supporting Calendar'!AB32))</f>
        <v/>
      </c>
      <c r="E33" s="68" t="str">
        <f ca="1">IF(ISERROR('Supporting Calendar'!AC32),"",INDEX('Todo-Holiday-Event'!$D$9:$D$258,'Supporting Calendar'!AC32))</f>
        <v/>
      </c>
      <c r="F33" s="69" t="str">
        <f ca="1">IF(ISERROR('Supporting Calendar'!AC32),"",INDEX('Todo-Holiday-Event'!$E$9:$E$258,'Supporting Calendar'!AC32))</f>
        <v/>
      </c>
      <c r="G33" s="84"/>
      <c r="H33" s="85"/>
      <c r="I33" s="85"/>
      <c r="J33" s="85"/>
      <c r="K33" s="91"/>
      <c r="L33" s="91"/>
      <c r="M33" s="94">
        <f>'Todo-Holiday-Event'!E6</f>
        <v>2019</v>
      </c>
      <c r="N33" s="91"/>
      <c r="O33" s="94">
        <f>INDEX(MonthRef,MATCH(StartMonth,Months,0),0)</f>
        <v>2</v>
      </c>
      <c r="P33" s="93"/>
      <c r="X33" s="77"/>
    </row>
    <row r="34" spans="1:32" s="76" customFormat="1" ht="15" customHeight="1" x14ac:dyDescent="0.25">
      <c r="A34" s="113"/>
      <c r="C34" s="68" t="str">
        <f ca="1">IF(ISERROR('Supporting Calendar'!AB33),"",INDEX('Todo-Holiday-Event'!$D$9:$D$258,'Supporting Calendar'!AB33))</f>
        <v/>
      </c>
      <c r="D34" s="69" t="str">
        <f ca="1">IF(ISERROR('Supporting Calendar'!AB33),"",INDEX('Todo-Holiday-Event'!$E$9:$E$258,'Supporting Calendar'!AB33))</f>
        <v/>
      </c>
      <c r="E34" s="68" t="str">
        <f ca="1">IF(ISERROR('Supporting Calendar'!AC33),"",INDEX('Todo-Holiday-Event'!$D$9:$D$258,'Supporting Calendar'!AC33))</f>
        <v/>
      </c>
      <c r="F34" s="69" t="str">
        <f ca="1">IF(ISERROR('Supporting Calendar'!AC33),"",INDEX('Todo-Holiday-Event'!$E$9:$E$258,'Supporting Calendar'!AC33))</f>
        <v/>
      </c>
      <c r="G34" s="84"/>
      <c r="H34" s="85"/>
      <c r="I34" s="85"/>
      <c r="J34" s="85"/>
      <c r="K34" s="91"/>
      <c r="L34" s="91"/>
      <c r="M34" s="91"/>
      <c r="N34" s="91"/>
      <c r="O34" s="91"/>
      <c r="P34" s="93"/>
      <c r="X34" s="77"/>
    </row>
    <row r="35" spans="1:32" s="76" customFormat="1" ht="15" customHeight="1" x14ac:dyDescent="0.25">
      <c r="A35" s="113"/>
      <c r="C35" s="71" t="str">
        <f ca="1">IF(ISERROR('Supporting Calendar'!AB34),"",INDEX('Todo-Holiday-Event'!$D$9:$D$258,'Supporting Calendar'!AB34))</f>
        <v/>
      </c>
      <c r="D35" s="72" t="str">
        <f ca="1">IF(ISERROR('Supporting Calendar'!AB34),"",INDEX('Todo-Holiday-Event'!$E$9:$E$258,'Supporting Calendar'!AB34))</f>
        <v/>
      </c>
      <c r="E35" s="71" t="str">
        <f ca="1">IF(ISERROR('Supporting Calendar'!AC34),"",INDEX('Todo-Holiday-Event'!$D$9:$D$258,'Supporting Calendar'!AC34))</f>
        <v/>
      </c>
      <c r="F35" s="72" t="str">
        <f ca="1">IF(ISERROR('Supporting Calendar'!AC34),"",INDEX('Todo-Holiday-Event'!$E$9:$E$258,'Supporting Calendar'!AC34))</f>
        <v/>
      </c>
      <c r="G35" s="84"/>
      <c r="H35" s="85"/>
      <c r="I35" s="85"/>
      <c r="J35" s="85"/>
      <c r="K35" s="91"/>
      <c r="L35" s="91"/>
      <c r="M35" s="91"/>
      <c r="N35" s="91"/>
      <c r="O35" s="91"/>
      <c r="P35" s="93"/>
      <c r="X35" s="77"/>
    </row>
    <row r="36" spans="1:32" ht="19.5" customHeight="1" x14ac:dyDescent="0.3">
      <c r="A36" s="114"/>
      <c r="C36" s="82" t="s">
        <v>62</v>
      </c>
    </row>
    <row r="37" spans="1:32" s="59" customFormat="1" ht="30" hidden="1" customHeight="1" x14ac:dyDescent="0.3">
      <c r="D37" s="81"/>
      <c r="F37" s="81"/>
      <c r="H37" s="81"/>
      <c r="J37" s="81"/>
      <c r="L37" s="81"/>
      <c r="N37" s="81"/>
      <c r="P37" s="81"/>
      <c r="Q37" s="57"/>
      <c r="R37" s="57"/>
      <c r="S37" s="57"/>
      <c r="T37" s="57"/>
      <c r="U37" s="57"/>
      <c r="V37" s="57"/>
      <c r="W37" s="57"/>
      <c r="X37" s="58"/>
      <c r="Z37" s="60"/>
      <c r="AA37" s="60"/>
      <c r="AB37" s="60"/>
      <c r="AC37" s="60"/>
      <c r="AD37" s="60"/>
      <c r="AE37" s="60"/>
      <c r="AF37" s="60"/>
    </row>
    <row r="38" spans="1:32" s="59" customFormat="1" ht="30" hidden="1" customHeight="1" x14ac:dyDescent="0.3">
      <c r="D38" s="81"/>
      <c r="F38" s="81"/>
      <c r="H38" s="81"/>
      <c r="J38" s="81"/>
      <c r="L38" s="81"/>
      <c r="N38" s="81"/>
      <c r="P38" s="81"/>
      <c r="Q38" s="57"/>
      <c r="R38" s="57"/>
      <c r="S38" s="57"/>
      <c r="T38" s="57"/>
      <c r="U38" s="57"/>
      <c r="V38" s="57"/>
      <c r="W38" s="57"/>
      <c r="X38" s="58"/>
      <c r="Z38" s="60"/>
      <c r="AA38" s="60"/>
      <c r="AB38" s="60"/>
      <c r="AC38" s="60"/>
      <c r="AD38" s="60"/>
      <c r="AE38" s="60"/>
      <c r="AF38" s="60"/>
    </row>
    <row r="39" spans="1:32" s="59" customFormat="1" ht="30" hidden="1" customHeight="1" x14ac:dyDescent="0.3">
      <c r="D39" s="81"/>
      <c r="F39" s="81"/>
      <c r="H39" s="81"/>
      <c r="J39" s="81"/>
      <c r="L39" s="81"/>
      <c r="N39" s="81"/>
      <c r="P39" s="81"/>
      <c r="Q39" s="57"/>
      <c r="R39" s="57"/>
      <c r="S39" s="57"/>
      <c r="T39" s="57"/>
      <c r="U39" s="57"/>
      <c r="V39" s="57"/>
      <c r="W39" s="57"/>
      <c r="X39" s="58"/>
      <c r="Z39" s="60"/>
      <c r="AA39" s="60"/>
      <c r="AB39" s="60"/>
      <c r="AC39" s="60"/>
      <c r="AD39" s="60"/>
      <c r="AE39" s="60"/>
      <c r="AF39" s="60"/>
    </row>
    <row r="40" spans="1:32" s="59" customFormat="1" ht="30" hidden="1" customHeight="1" x14ac:dyDescent="0.3">
      <c r="D40" s="81"/>
      <c r="F40" s="81"/>
      <c r="H40" s="81"/>
      <c r="J40" s="81"/>
      <c r="L40" s="81"/>
      <c r="N40" s="81"/>
      <c r="P40" s="81"/>
      <c r="Q40" s="57"/>
      <c r="R40" s="57"/>
      <c r="S40" s="57"/>
      <c r="T40" s="57"/>
      <c r="U40" s="57"/>
      <c r="V40" s="57"/>
      <c r="W40" s="57"/>
      <c r="X40" s="58"/>
      <c r="Z40" s="60"/>
      <c r="AA40" s="60"/>
      <c r="AB40" s="60"/>
      <c r="AC40" s="60"/>
      <c r="AD40" s="60"/>
      <c r="AE40" s="60"/>
      <c r="AF40" s="60"/>
    </row>
    <row r="41" spans="1:32" s="59" customFormat="1" ht="30" hidden="1" customHeight="1" x14ac:dyDescent="0.3">
      <c r="D41" s="81"/>
      <c r="F41" s="81"/>
      <c r="H41" s="81"/>
      <c r="J41" s="81"/>
      <c r="L41" s="81"/>
      <c r="N41" s="81"/>
      <c r="P41" s="81"/>
      <c r="Q41" s="57"/>
      <c r="R41" s="57"/>
      <c r="S41" s="57"/>
      <c r="T41" s="57"/>
      <c r="U41" s="57"/>
      <c r="V41" s="57"/>
      <c r="W41" s="57"/>
      <c r="X41" s="58"/>
      <c r="Z41" s="60"/>
      <c r="AA41" s="60"/>
      <c r="AB41" s="60"/>
      <c r="AC41" s="60"/>
      <c r="AD41" s="60"/>
      <c r="AE41" s="60"/>
      <c r="AF41" s="60"/>
    </row>
    <row r="42" spans="1:32" s="59" customFormat="1" ht="30" hidden="1" customHeight="1" x14ac:dyDescent="0.3">
      <c r="D42" s="81"/>
      <c r="F42" s="81"/>
      <c r="H42" s="81"/>
      <c r="J42" s="81"/>
      <c r="L42" s="81"/>
      <c r="N42" s="81"/>
      <c r="P42" s="81"/>
      <c r="Q42" s="57"/>
      <c r="R42" s="57"/>
      <c r="S42" s="57"/>
      <c r="T42" s="57"/>
      <c r="U42" s="57"/>
      <c r="V42" s="57"/>
      <c r="W42" s="57"/>
      <c r="X42" s="58"/>
      <c r="Z42" s="60"/>
      <c r="AA42" s="60"/>
      <c r="AB42" s="60"/>
      <c r="AC42" s="60"/>
      <c r="AD42" s="60"/>
      <c r="AE42" s="60"/>
      <c r="AF42" s="60"/>
    </row>
    <row r="43" spans="1:32" s="59" customFormat="1" ht="30" hidden="1" customHeight="1" x14ac:dyDescent="0.3">
      <c r="D43" s="81"/>
      <c r="F43" s="81"/>
      <c r="H43" s="81"/>
      <c r="J43" s="81"/>
      <c r="L43" s="81"/>
      <c r="N43" s="81"/>
      <c r="P43" s="81"/>
      <c r="Q43" s="57"/>
      <c r="R43" s="57"/>
      <c r="S43" s="57"/>
      <c r="T43" s="57"/>
      <c r="U43" s="57"/>
      <c r="V43" s="57"/>
      <c r="W43" s="57"/>
      <c r="X43" s="58"/>
      <c r="Z43" s="60"/>
      <c r="AA43" s="60"/>
      <c r="AB43" s="60"/>
      <c r="AC43" s="60"/>
      <c r="AD43" s="60"/>
      <c r="AE43" s="60"/>
      <c r="AF43" s="60"/>
    </row>
    <row r="44" spans="1:32" s="59" customFormat="1" ht="17.25" hidden="1" customHeight="1" x14ac:dyDescent="0.3">
      <c r="D44" s="81"/>
      <c r="F44" s="81"/>
      <c r="H44" s="81"/>
      <c r="J44" s="81"/>
      <c r="L44" s="81"/>
      <c r="N44" s="81"/>
      <c r="P44" s="81"/>
      <c r="Q44" s="57"/>
      <c r="R44" s="57"/>
      <c r="S44" s="57"/>
      <c r="T44" s="57"/>
      <c r="U44" s="57"/>
      <c r="V44" s="57"/>
      <c r="W44" s="57"/>
      <c r="X44" s="58"/>
      <c r="Z44" s="60"/>
      <c r="AA44" s="60"/>
      <c r="AB44" s="60"/>
      <c r="AC44" s="60"/>
      <c r="AD44" s="60"/>
      <c r="AE44" s="60"/>
      <c r="AF44" s="60"/>
    </row>
    <row r="45" spans="1:32" ht="17.25" hidden="1" customHeight="1" x14ac:dyDescent="0.3"/>
    <row r="46" spans="1:32" ht="17.25" hidden="1" customHeight="1" x14ac:dyDescent="0.3"/>
    <row r="47" spans="1:32" ht="17.25" hidden="1" customHeight="1" x14ac:dyDescent="0.3"/>
    <row r="48" spans="1:32" ht="17.25" hidden="1" customHeight="1" x14ac:dyDescent="0.3"/>
    <row r="49" ht="17.25" hidden="1" customHeight="1" x14ac:dyDescent="0.3"/>
    <row r="50" ht="17.25" hidden="1" customHeight="1" x14ac:dyDescent="0.3"/>
    <row r="51" ht="17.25" hidden="1" customHeight="1" x14ac:dyDescent="0.3"/>
    <row r="52" ht="17.25" hidden="1" customHeight="1" x14ac:dyDescent="0.3"/>
    <row r="53" ht="17.25" hidden="1" customHeight="1" x14ac:dyDescent="0.3"/>
    <row r="54" ht="17.25" hidden="1" customHeight="1" x14ac:dyDescent="0.3"/>
    <row r="55" ht="17.25" hidden="1" customHeight="1" x14ac:dyDescent="0.3"/>
    <row r="56" ht="17.25" hidden="1" customHeight="1" x14ac:dyDescent="0.3"/>
    <row r="57" ht="17.25" hidden="1" customHeight="1" x14ac:dyDescent="0.3"/>
    <row r="58" ht="17.25" hidden="1" customHeight="1" x14ac:dyDescent="0.3"/>
    <row r="59" ht="17.25" hidden="1" customHeight="1" x14ac:dyDescent="0.3"/>
    <row r="60" ht="17.25" hidden="1" customHeight="1" x14ac:dyDescent="0.3"/>
    <row r="61" ht="17.25" hidden="1" customHeight="1" x14ac:dyDescent="0.3"/>
    <row r="62" ht="17.25" hidden="1" customHeight="1" x14ac:dyDescent="0.3"/>
    <row r="63" ht="17.25" hidden="1" customHeight="1" x14ac:dyDescent="0.3"/>
    <row r="64" ht="17.25" hidden="1" customHeight="1" x14ac:dyDescent="0.3"/>
    <row r="65" ht="17.25" hidden="1" customHeight="1" x14ac:dyDescent="0.3"/>
    <row r="66" ht="17.25" hidden="1" customHeight="1" x14ac:dyDescent="0.3"/>
    <row r="67" ht="17.25" hidden="1" customHeight="1" x14ac:dyDescent="0.3"/>
    <row r="68" ht="17.25" hidden="1" customHeight="1" x14ac:dyDescent="0.3"/>
    <row r="69" ht="17.25" hidden="1" customHeight="1" x14ac:dyDescent="0.3"/>
    <row r="70" ht="17.25" hidden="1" customHeight="1" x14ac:dyDescent="0.3"/>
    <row r="71" ht="17.25" hidden="1" customHeight="1" x14ac:dyDescent="0.3"/>
    <row r="72" ht="17.25" hidden="1" customHeight="1" x14ac:dyDescent="0.3"/>
    <row r="73" ht="17.25" hidden="1" customHeight="1" x14ac:dyDescent="0.3"/>
    <row r="74" ht="17.25" hidden="1" customHeight="1" x14ac:dyDescent="0.3"/>
    <row r="75" ht="17.25" hidden="1" customHeight="1" x14ac:dyDescent="0.3"/>
    <row r="76" ht="17.25" hidden="1" customHeight="1" x14ac:dyDescent="0.3"/>
    <row r="77" ht="17.25" hidden="1" customHeight="1" x14ac:dyDescent="0.3"/>
    <row r="78" ht="17.25" hidden="1" customHeight="1" x14ac:dyDescent="0.3"/>
    <row r="79" ht="17.25" hidden="1" customHeight="1" x14ac:dyDescent="0.3"/>
    <row r="80" ht="17.25" hidden="1" customHeight="1" x14ac:dyDescent="0.3"/>
    <row r="81" ht="17.25" hidden="1" customHeight="1" x14ac:dyDescent="0.3"/>
    <row r="82" ht="17.25" hidden="1" customHeight="1" x14ac:dyDescent="0.3"/>
    <row r="83" ht="17.25" hidden="1" customHeight="1" x14ac:dyDescent="0.3"/>
    <row r="84" ht="17.25" hidden="1" customHeight="1" x14ac:dyDescent="0.3"/>
    <row r="85" ht="17.25" hidden="1" customHeight="1" x14ac:dyDescent="0.3"/>
    <row r="86" ht="17.25" hidden="1" customHeight="1" x14ac:dyDescent="0.3"/>
    <row r="87" ht="17.25" hidden="1" customHeight="1" x14ac:dyDescent="0.3"/>
    <row r="88" ht="17.25" hidden="1" customHeight="1" x14ac:dyDescent="0.3"/>
    <row r="89" ht="17.25" hidden="1" customHeight="1" x14ac:dyDescent="0.3"/>
    <row r="90" ht="17.25" hidden="1" customHeight="1" x14ac:dyDescent="0.3"/>
    <row r="91" ht="17.25" hidden="1" customHeight="1" x14ac:dyDescent="0.3"/>
    <row r="92" ht="17.25" hidden="1" customHeight="1" x14ac:dyDescent="0.3"/>
    <row r="93" ht="17.25" hidden="1" customHeight="1" x14ac:dyDescent="0.3"/>
    <row r="94" ht="17.25" hidden="1" customHeight="1" x14ac:dyDescent="0.3"/>
    <row r="95" ht="17.25" hidden="1" customHeight="1" x14ac:dyDescent="0.3"/>
    <row r="96" ht="17.25" hidden="1" customHeight="1" x14ac:dyDescent="0.3"/>
    <row r="97" ht="17.25" hidden="1" customHeight="1" x14ac:dyDescent="0.3"/>
    <row r="98" ht="17.25" hidden="1" customHeight="1" x14ac:dyDescent="0.3"/>
    <row r="99" ht="17.25" hidden="1" customHeight="1" x14ac:dyDescent="0.3"/>
    <row r="100" ht="17.25" hidden="1" customHeight="1" x14ac:dyDescent="0.3"/>
    <row r="101" ht="17.25" hidden="1" customHeight="1" x14ac:dyDescent="0.3"/>
    <row r="102" ht="17.25" hidden="1" customHeight="1" x14ac:dyDescent="0.3"/>
    <row r="103" ht="17.25" hidden="1" customHeight="1" x14ac:dyDescent="0.3"/>
    <row r="104" ht="17.25" hidden="1" customHeight="1" x14ac:dyDescent="0.3"/>
    <row r="105" ht="17.25" hidden="1" customHeight="1" x14ac:dyDescent="0.3"/>
    <row r="106" ht="17.25" hidden="1" customHeight="1" x14ac:dyDescent="0.3"/>
    <row r="107" ht="17.25" hidden="1" customHeight="1" x14ac:dyDescent="0.3"/>
    <row r="108" ht="17.25" hidden="1" customHeight="1" x14ac:dyDescent="0.3"/>
    <row r="109" ht="17.25" hidden="1" customHeight="1" x14ac:dyDescent="0.3"/>
    <row r="110" ht="17.25" hidden="1" customHeight="1" x14ac:dyDescent="0.3"/>
    <row r="111" ht="17.25" hidden="1" customHeight="1" x14ac:dyDescent="0.3"/>
    <row r="112" ht="17.25" hidden="1" customHeight="1" x14ac:dyDescent="0.3"/>
    <row r="113" ht="17.25" hidden="1" customHeight="1" x14ac:dyDescent="0.3"/>
    <row r="114" ht="17.25" hidden="1" customHeight="1" x14ac:dyDescent="0.3"/>
    <row r="115" ht="17.25" hidden="1" customHeight="1" x14ac:dyDescent="0.3"/>
    <row r="116" ht="17.25" hidden="1" customHeight="1" x14ac:dyDescent="0.3"/>
    <row r="117" ht="17.25" hidden="1" customHeight="1" x14ac:dyDescent="0.3"/>
    <row r="118" ht="17.25" hidden="1" customHeight="1" x14ac:dyDescent="0.3"/>
    <row r="119" ht="17.25" hidden="1" customHeight="1" x14ac:dyDescent="0.3"/>
    <row r="120" ht="17.25" hidden="1" customHeight="1" x14ac:dyDescent="0.3"/>
    <row r="121" ht="17.25" hidden="1" customHeight="1" x14ac:dyDescent="0.3"/>
    <row r="122" ht="17.25" hidden="1" customHeight="1" x14ac:dyDescent="0.3"/>
    <row r="123" ht="17.25" hidden="1" customHeight="1" x14ac:dyDescent="0.3"/>
    <row r="124" ht="17.25" hidden="1" customHeight="1" x14ac:dyDescent="0.3"/>
    <row r="125" ht="17.25" hidden="1" customHeight="1" x14ac:dyDescent="0.3"/>
    <row r="126" ht="17.25" hidden="1" customHeight="1" x14ac:dyDescent="0.3"/>
    <row r="127" ht="17.25" hidden="1" customHeight="1" x14ac:dyDescent="0.3"/>
    <row r="128" ht="17.25" hidden="1" customHeight="1" x14ac:dyDescent="0.3"/>
    <row r="129" ht="17.25" hidden="1" customHeight="1" x14ac:dyDescent="0.3"/>
    <row r="130" ht="17.25" hidden="1" customHeight="1" x14ac:dyDescent="0.3"/>
    <row r="131" ht="17.25" hidden="1" customHeight="1" x14ac:dyDescent="0.3"/>
    <row r="132" ht="17.25" hidden="1" customHeight="1" x14ac:dyDescent="0.3"/>
    <row r="133" ht="17.25" hidden="1" customHeight="1" x14ac:dyDescent="0.3"/>
    <row r="134" ht="17.25" hidden="1" customHeight="1" x14ac:dyDescent="0.3"/>
    <row r="135" ht="17.25" hidden="1" customHeight="1" x14ac:dyDescent="0.3"/>
    <row r="136" ht="17.25" hidden="1" customHeight="1" x14ac:dyDescent="0.3"/>
    <row r="137" ht="17.25" hidden="1" customHeight="1" x14ac:dyDescent="0.3"/>
    <row r="138" ht="17.25" hidden="1" customHeight="1" x14ac:dyDescent="0.3"/>
    <row r="139" ht="17.25" hidden="1" customHeight="1" x14ac:dyDescent="0.3"/>
    <row r="140" ht="17.25" hidden="1" customHeight="1" x14ac:dyDescent="0.3"/>
    <row r="141" ht="17.25" hidden="1" customHeight="1" x14ac:dyDescent="0.3"/>
    <row r="142" ht="17.25" hidden="1" customHeight="1" x14ac:dyDescent="0.3"/>
    <row r="143" ht="17.25" hidden="1" customHeight="1" x14ac:dyDescent="0.3"/>
    <row r="144" ht="17.25" hidden="1" customHeight="1" x14ac:dyDescent="0.3"/>
    <row r="145" ht="17.25" hidden="1" customHeight="1" x14ac:dyDescent="0.3"/>
    <row r="146" ht="17.25" hidden="1" customHeight="1" x14ac:dyDescent="0.3"/>
    <row r="147" ht="17.25" hidden="1" customHeight="1" x14ac:dyDescent="0.3"/>
    <row r="148" ht="17.25" hidden="1" customHeight="1" x14ac:dyDescent="0.3"/>
    <row r="149" ht="17.25" hidden="1" customHeight="1" x14ac:dyDescent="0.3"/>
    <row r="150" ht="17.25" hidden="1" customHeight="1" x14ac:dyDescent="0.3"/>
    <row r="151" ht="17.25" hidden="1" customHeight="1" x14ac:dyDescent="0.3"/>
    <row r="152" ht="17.25" hidden="1" customHeight="1" x14ac:dyDescent="0.3"/>
    <row r="153" ht="17.25" hidden="1" customHeight="1" x14ac:dyDescent="0.3"/>
    <row r="154" ht="17.25" hidden="1" customHeight="1" x14ac:dyDescent="0.3"/>
    <row r="155" ht="17.25" hidden="1" customHeight="1" x14ac:dyDescent="0.3"/>
    <row r="156" ht="17.25" hidden="1" customHeight="1" x14ac:dyDescent="0.3"/>
    <row r="157" ht="17.25" hidden="1" customHeight="1" x14ac:dyDescent="0.3"/>
    <row r="158" ht="17.25" hidden="1" customHeight="1" x14ac:dyDescent="0.3"/>
    <row r="159" ht="17.25" hidden="1" customHeight="1" x14ac:dyDescent="0.3"/>
    <row r="160" ht="17.25" hidden="1" customHeight="1" x14ac:dyDescent="0.3"/>
    <row r="161" ht="17.25" hidden="1" customHeight="1" x14ac:dyDescent="0.3"/>
    <row r="162" ht="17.25" hidden="1" customHeight="1" x14ac:dyDescent="0.3"/>
    <row r="163" ht="17.25" hidden="1" customHeight="1" x14ac:dyDescent="0.3"/>
    <row r="164" ht="17.25" hidden="1" customHeight="1" x14ac:dyDescent="0.3"/>
    <row r="165" ht="17.25" hidden="1" customHeight="1" x14ac:dyDescent="0.3"/>
    <row r="166" ht="17.25" hidden="1" customHeight="1" x14ac:dyDescent="0.3"/>
    <row r="167" ht="17.25" hidden="1" customHeight="1" x14ac:dyDescent="0.3"/>
    <row r="168" ht="17.25" hidden="1" customHeight="1" x14ac:dyDescent="0.3"/>
    <row r="169" ht="17.25" hidden="1" customHeight="1" x14ac:dyDescent="0.3"/>
    <row r="170" ht="17.25" hidden="1" customHeight="1" x14ac:dyDescent="0.3"/>
    <row r="171" ht="17.25" hidden="1" customHeight="1" x14ac:dyDescent="0.3"/>
    <row r="172" ht="17.25" hidden="1" customHeight="1" x14ac:dyDescent="0.3"/>
    <row r="173" ht="17.25" hidden="1" customHeight="1" x14ac:dyDescent="0.3"/>
    <row r="174" ht="17.25" hidden="1" customHeight="1" x14ac:dyDescent="0.3"/>
    <row r="175" ht="17.25" hidden="1" customHeight="1" x14ac:dyDescent="0.3"/>
    <row r="176" ht="17.25" hidden="1" customHeight="1" x14ac:dyDescent="0.3"/>
    <row r="177" ht="17.25" hidden="1" customHeight="1" x14ac:dyDescent="0.3"/>
    <row r="178" ht="17.25" hidden="1" customHeight="1" x14ac:dyDescent="0.3"/>
    <row r="179" ht="17.25" hidden="1" customHeight="1" x14ac:dyDescent="0.3"/>
    <row r="180" ht="17.25" hidden="1" customHeight="1" x14ac:dyDescent="0.3"/>
    <row r="181" ht="17.25" hidden="1" customHeight="1" x14ac:dyDescent="0.3"/>
    <row r="182" ht="17.25" hidden="1" customHeight="1" x14ac:dyDescent="0.3"/>
    <row r="183" ht="17.25" hidden="1" customHeight="1" x14ac:dyDescent="0.3"/>
    <row r="184" ht="17.25" hidden="1" customHeight="1" x14ac:dyDescent="0.3"/>
    <row r="185" ht="17.25" hidden="1" customHeight="1" x14ac:dyDescent="0.3"/>
    <row r="186" ht="17.25" hidden="1" customHeight="1" x14ac:dyDescent="0.3"/>
    <row r="187" ht="17.25" hidden="1" customHeight="1" x14ac:dyDescent="0.3"/>
    <row r="188" ht="17.25" hidden="1" customHeight="1" x14ac:dyDescent="0.3"/>
    <row r="189" ht="17.25" hidden="1" customHeight="1" x14ac:dyDescent="0.3"/>
    <row r="190" ht="17.25" hidden="1" customHeight="1" x14ac:dyDescent="0.3"/>
    <row r="191" ht="17.25" hidden="1" customHeight="1" x14ac:dyDescent="0.3"/>
    <row r="192" ht="17.25" hidden="1" customHeight="1" x14ac:dyDescent="0.3"/>
    <row r="193" ht="17.25" hidden="1" customHeight="1" x14ac:dyDescent="0.3"/>
    <row r="194" ht="17.25" hidden="1" customHeight="1" x14ac:dyDescent="0.3"/>
    <row r="195" ht="17.25" hidden="1" customHeight="1" x14ac:dyDescent="0.3"/>
    <row r="196" ht="17.25" hidden="1" customHeight="1" x14ac:dyDescent="0.3"/>
    <row r="197" ht="17.25" hidden="1" customHeight="1" x14ac:dyDescent="0.3"/>
    <row r="198" ht="17.25" hidden="1" customHeight="1" x14ac:dyDescent="0.3"/>
    <row r="199" ht="17.25" hidden="1" customHeight="1" x14ac:dyDescent="0.3"/>
    <row r="200" ht="17.25" hidden="1" customHeight="1" x14ac:dyDescent="0.3"/>
    <row r="201" ht="17.25" hidden="1" customHeight="1" x14ac:dyDescent="0.3"/>
    <row r="202" ht="17.25" hidden="1" customHeight="1" x14ac:dyDescent="0.3"/>
    <row r="203" ht="17.25" hidden="1" customHeight="1" x14ac:dyDescent="0.3"/>
    <row r="204" ht="17.25" hidden="1" customHeight="1" x14ac:dyDescent="0.3"/>
    <row r="205" ht="17.25" hidden="1" customHeight="1" x14ac:dyDescent="0.3"/>
    <row r="206" ht="17.25" hidden="1" customHeight="1" x14ac:dyDescent="0.3"/>
    <row r="207" ht="17.25" hidden="1" customHeight="1" x14ac:dyDescent="0.3"/>
    <row r="208" ht="17.25" hidden="1" customHeight="1" x14ac:dyDescent="0.3"/>
    <row r="209" ht="17.25" hidden="1" customHeight="1" x14ac:dyDescent="0.3"/>
    <row r="210" ht="17.25" hidden="1" customHeight="1" x14ac:dyDescent="0.3"/>
    <row r="211" ht="17.25" hidden="1" customHeight="1" x14ac:dyDescent="0.3"/>
    <row r="212" ht="17.25" hidden="1" customHeight="1" x14ac:dyDescent="0.3"/>
    <row r="213" ht="17.25" hidden="1" customHeight="1" x14ac:dyDescent="0.3"/>
    <row r="214" ht="17.25" hidden="1" customHeight="1" x14ac:dyDescent="0.3"/>
    <row r="215" ht="17.25" hidden="1" customHeight="1" x14ac:dyDescent="0.3"/>
    <row r="216" ht="17.25" hidden="1" customHeight="1" x14ac:dyDescent="0.3"/>
    <row r="217" ht="17.25" hidden="1" customHeight="1" x14ac:dyDescent="0.3"/>
    <row r="218" ht="17.25" hidden="1" customHeight="1" x14ac:dyDescent="0.3"/>
    <row r="219" ht="17.25" hidden="1" customHeight="1" x14ac:dyDescent="0.3"/>
    <row r="220" ht="17.25" hidden="1" customHeight="1" x14ac:dyDescent="0.3"/>
    <row r="221" ht="17.25" hidden="1" customHeight="1" x14ac:dyDescent="0.3"/>
    <row r="222" ht="17.25" hidden="1" customHeight="1" x14ac:dyDescent="0.3"/>
    <row r="223" ht="17.25" hidden="1" customHeight="1" x14ac:dyDescent="0.3"/>
    <row r="224" ht="17.25" hidden="1" customHeight="1" x14ac:dyDescent="0.3"/>
    <row r="225" ht="17.25" hidden="1" customHeight="1" x14ac:dyDescent="0.3"/>
    <row r="226" ht="17.25" hidden="1" customHeight="1" x14ac:dyDescent="0.3"/>
    <row r="227" ht="17.25" hidden="1" customHeight="1" x14ac:dyDescent="0.3"/>
    <row r="228" ht="17.25" hidden="1" customHeight="1" x14ac:dyDescent="0.3"/>
    <row r="229" ht="17.25" hidden="1" customHeight="1" x14ac:dyDescent="0.3"/>
    <row r="230" ht="17.25" hidden="1" customHeight="1" x14ac:dyDescent="0.3"/>
    <row r="231" ht="17.25" hidden="1" customHeight="1" x14ac:dyDescent="0.3"/>
    <row r="232" ht="17.25" hidden="1" customHeight="1" x14ac:dyDescent="0.3"/>
    <row r="233" ht="17.25" hidden="1" customHeight="1" x14ac:dyDescent="0.3"/>
    <row r="234" ht="17.25" hidden="1" customHeight="1" x14ac:dyDescent="0.3"/>
    <row r="235" ht="17.25" hidden="1" customHeight="1" x14ac:dyDescent="0.3"/>
    <row r="236" ht="17.25" hidden="1" customHeight="1" x14ac:dyDescent="0.3"/>
    <row r="237" ht="17.25" hidden="1" customHeight="1" x14ac:dyDescent="0.3"/>
    <row r="238" ht="17.25" hidden="1" customHeight="1" x14ac:dyDescent="0.3"/>
    <row r="239" ht="17.25" hidden="1" customHeight="1" x14ac:dyDescent="0.3"/>
    <row r="240" ht="17.25" hidden="1" customHeight="1" x14ac:dyDescent="0.3"/>
    <row r="241" ht="17.25" hidden="1" customHeight="1" x14ac:dyDescent="0.3"/>
    <row r="242" ht="17.25" hidden="1" customHeight="1" x14ac:dyDescent="0.3"/>
    <row r="243" ht="17.25" hidden="1" customHeight="1" x14ac:dyDescent="0.3"/>
    <row r="244" ht="17.25" hidden="1" customHeight="1" x14ac:dyDescent="0.3"/>
    <row r="245" ht="17.25" hidden="1" customHeight="1" x14ac:dyDescent="0.3"/>
    <row r="246" ht="17.25" hidden="1" customHeight="1" x14ac:dyDescent="0.3"/>
    <row r="247" ht="17.25" hidden="1" customHeight="1" x14ac:dyDescent="0.3"/>
    <row r="248" ht="17.25" hidden="1" customHeight="1" x14ac:dyDescent="0.3"/>
    <row r="249" ht="17.25" hidden="1" customHeight="1" x14ac:dyDescent="0.3"/>
    <row r="250" ht="17.25" hidden="1" customHeight="1" x14ac:dyDescent="0.3"/>
    <row r="251" ht="17.25" hidden="1" customHeight="1" x14ac:dyDescent="0.3"/>
    <row r="252" ht="17.25" hidden="1" customHeight="1" x14ac:dyDescent="0.3"/>
    <row r="253" ht="17.25" hidden="1" customHeight="1" x14ac:dyDescent="0.3"/>
    <row r="254" ht="17.25" hidden="1" customHeight="1" x14ac:dyDescent="0.3"/>
    <row r="255" ht="17.25" hidden="1" customHeight="1" x14ac:dyDescent="0.3"/>
    <row r="256" ht="17.25" hidden="1" customHeight="1" x14ac:dyDescent="0.3"/>
    <row r="257" ht="17.25" hidden="1" customHeight="1" x14ac:dyDescent="0.3"/>
    <row r="258" ht="17.25" hidden="1" customHeight="1" x14ac:dyDescent="0.3"/>
    <row r="259" ht="17.25" hidden="1" customHeight="1" x14ac:dyDescent="0.3"/>
    <row r="260" ht="17.25" hidden="1" customHeight="1" x14ac:dyDescent="0.3"/>
    <row r="261" ht="17.25" hidden="1" customHeight="1" x14ac:dyDescent="0.3"/>
    <row r="262" ht="17.25" hidden="1" customHeight="1" x14ac:dyDescent="0.3"/>
    <row r="263" ht="17.25" hidden="1" customHeight="1" x14ac:dyDescent="0.3"/>
    <row r="264" ht="17.25" hidden="1" customHeight="1" x14ac:dyDescent="0.3"/>
    <row r="265" ht="17.25" hidden="1" customHeight="1" x14ac:dyDescent="0.3"/>
    <row r="266" ht="17.25" hidden="1" customHeight="1" x14ac:dyDescent="0.3"/>
    <row r="267" ht="17.25" hidden="1" customHeight="1" x14ac:dyDescent="0.3"/>
    <row r="268" ht="17.25" hidden="1" customHeight="1" x14ac:dyDescent="0.3"/>
    <row r="269" ht="17.25" hidden="1" customHeight="1" x14ac:dyDescent="0.3"/>
    <row r="270" ht="17.25" hidden="1" customHeight="1" x14ac:dyDescent="0.3"/>
    <row r="271" ht="17.25" hidden="1" customHeight="1" x14ac:dyDescent="0.3"/>
    <row r="272" ht="17.25" hidden="1" customHeight="1" x14ac:dyDescent="0.3"/>
    <row r="273" ht="17.25" hidden="1" customHeight="1" x14ac:dyDescent="0.3"/>
    <row r="274" ht="17.25" hidden="1" customHeight="1" x14ac:dyDescent="0.3"/>
    <row r="275" ht="17.25" hidden="1" customHeight="1" x14ac:dyDescent="0.3"/>
    <row r="276" ht="17.25" hidden="1" customHeight="1" x14ac:dyDescent="0.3"/>
    <row r="277" ht="17.25" hidden="1" customHeight="1" x14ac:dyDescent="0.3"/>
    <row r="278" ht="17.25" hidden="1" customHeight="1" x14ac:dyDescent="0.3"/>
    <row r="279" ht="17.25" hidden="1" customHeight="1" x14ac:dyDescent="0.3"/>
    <row r="280" ht="17.25" hidden="1" customHeight="1" x14ac:dyDescent="0.3"/>
    <row r="281" ht="17.25" hidden="1" customHeight="1" x14ac:dyDescent="0.3"/>
    <row r="282" ht="17.25" hidden="1" customHeight="1" x14ac:dyDescent="0.3"/>
    <row r="283" ht="17.25" hidden="1" customHeight="1" x14ac:dyDescent="0.3"/>
    <row r="284" ht="17.25" hidden="1" customHeight="1" x14ac:dyDescent="0.3"/>
    <row r="285" ht="17.25" hidden="1" customHeight="1" x14ac:dyDescent="0.3"/>
    <row r="286" ht="17.25" hidden="1" customHeight="1" x14ac:dyDescent="0.3"/>
    <row r="287" ht="17.25" hidden="1" customHeight="1" x14ac:dyDescent="0.3"/>
    <row r="288" ht="17.25" hidden="1" customHeight="1" x14ac:dyDescent="0.3"/>
    <row r="289" ht="17.25" hidden="1" customHeight="1" x14ac:dyDescent="0.3"/>
    <row r="290" ht="17.25" hidden="1" customHeight="1" x14ac:dyDescent="0.3"/>
    <row r="291" ht="17.25" hidden="1" customHeight="1" x14ac:dyDescent="0.3"/>
    <row r="292" ht="17.25" hidden="1" customHeight="1" x14ac:dyDescent="0.3"/>
    <row r="293" ht="17.25" hidden="1" customHeight="1" x14ac:dyDescent="0.3"/>
    <row r="294" ht="17.25" hidden="1" customHeight="1" x14ac:dyDescent="0.3"/>
    <row r="295" ht="17.25" hidden="1" customHeight="1" x14ac:dyDescent="0.3"/>
    <row r="296" ht="17.25" hidden="1" customHeight="1" x14ac:dyDescent="0.3"/>
    <row r="297" ht="17.25" hidden="1" customHeight="1" x14ac:dyDescent="0.3"/>
    <row r="298" ht="17.25" hidden="1" customHeight="1" x14ac:dyDescent="0.3"/>
    <row r="299" ht="17.25" hidden="1" customHeight="1" x14ac:dyDescent="0.3"/>
    <row r="300" ht="17.25" hidden="1" customHeight="1" x14ac:dyDescent="0.3"/>
    <row r="301" ht="17.25" hidden="1" customHeight="1" x14ac:dyDescent="0.3"/>
    <row r="302" ht="17.25" hidden="1" customHeight="1" x14ac:dyDescent="0.3"/>
    <row r="303" ht="17.25" hidden="1" customHeight="1" x14ac:dyDescent="0.3"/>
    <row r="304" ht="17.25" hidden="1" customHeight="1" x14ac:dyDescent="0.3"/>
    <row r="305" ht="17.25" hidden="1" customHeight="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sheetData>
  <sheetProtection formatCells="0" formatColumns="0" formatRows="0"/>
  <mergeCells count="8">
    <mergeCell ref="A2:P3"/>
    <mergeCell ref="C5:D5"/>
    <mergeCell ref="E5:F5"/>
    <mergeCell ref="G5:H5"/>
    <mergeCell ref="I5:J5"/>
    <mergeCell ref="K5:L5"/>
    <mergeCell ref="M5:N5"/>
    <mergeCell ref="O5:P5"/>
  </mergeCells>
  <phoneticPr fontId="2" type="noConversion"/>
  <conditionalFormatting sqref="I11 G11 E11 C11 K11 M11 O11 O16 M16 K16 I16 G16 E16 C16 E6 G6 I6 K6 M6 O6 C21 E21 G21 I21 K21 M21 O21 O26 M26 K26 I26 G26 E26 C26 C31 E31">
    <cfRule type="expression" dxfId="169" priority="1">
      <formula>OR(D6&lt;&gt;"",D7&lt;&gt;"")</formula>
    </cfRule>
  </conditionalFormatting>
  <conditionalFormatting sqref="C6">
    <cfRule type="expression" dxfId="168" priority="2">
      <formula>OR(D6&lt;&gt;"",#REF!&lt;&gt;"")</formula>
    </cfRule>
  </conditionalFormatting>
  <conditionalFormatting sqref="D16 D11 F11 D6 F6 H6 J6 L6 N6 P6 P11 N11 L11 J11 H11 F16 H16 J16 L16 N16 P16 P21 N21 L21 J21 H21 F21 D21 D26 F26 H26 J26 L26 N26 P26 D31 F31">
    <cfRule type="expression" dxfId="167" priority="4">
      <formula>MATCH(D6,Event,0)</formula>
    </cfRule>
    <cfRule type="expression" dxfId="166" priority="5">
      <formula>MATCH(D6,Holiday,0)</formula>
    </cfRule>
  </conditionalFormatting>
  <printOptions horizontalCentered="1"/>
  <pageMargins left="0.34" right="0.26" top="0.44" bottom="0.36" header="0.28000000000000003" footer="0.25"/>
  <pageSetup paperSize="9" scale="99"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6" r:id="rId4" name="Scroll Bar 8">
              <controlPr defaultSize="0" autoPict="0">
                <anchor moveWithCells="1">
                  <from>
                    <xdr:col>0</xdr:col>
                    <xdr:colOff>137160</xdr:colOff>
                    <xdr:row>1</xdr:row>
                    <xdr:rowOff>167640</xdr:rowOff>
                  </from>
                  <to>
                    <xdr:col>0</xdr:col>
                    <xdr:colOff>685800</xdr:colOff>
                    <xdr:row>2</xdr:row>
                    <xdr:rowOff>114300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V317"/>
  <sheetViews>
    <sheetView showGridLines="0" topLeftCell="B1" zoomScaleNormal="100" zoomScalePageLayoutView="50" workbookViewId="0">
      <selection activeCell="A2" sqref="A2:P3"/>
    </sheetView>
  </sheetViews>
  <sheetFormatPr defaultColWidth="0" defaultRowHeight="15.45" customHeight="1" zeroHeight="1" x14ac:dyDescent="0.3"/>
  <cols>
    <col min="1" max="1" width="10.77734375" style="51" hidden="1" customWidth="1"/>
    <col min="2" max="2" width="2.109375" style="51" customWidth="1"/>
    <col min="3" max="3" width="4.6640625" style="51" customWidth="1"/>
    <col min="4" max="4" width="15.6640625" style="79" customWidth="1"/>
    <col min="5" max="5" width="4.6640625" style="51" customWidth="1"/>
    <col min="6" max="6" width="15.6640625" style="79" customWidth="1"/>
    <col min="7" max="7" width="4.6640625" style="51" customWidth="1"/>
    <col min="8" max="8" width="15.6640625" style="79" customWidth="1"/>
    <col min="9" max="9" width="4.6640625" style="51" customWidth="1"/>
    <col min="10" max="10" width="15.6640625" style="79" customWidth="1"/>
    <col min="11" max="11" width="4.6640625" style="51" customWidth="1"/>
    <col min="12" max="12" width="15.6640625" style="79" customWidth="1"/>
    <col min="13" max="13" width="4.6640625" style="51" customWidth="1"/>
    <col min="14" max="14" width="15.6640625" style="79" customWidth="1"/>
    <col min="15" max="15" width="4.6640625" style="51" customWidth="1"/>
    <col min="16" max="16" width="15.6640625" style="79" customWidth="1"/>
    <col min="17" max="17" width="8.77734375" style="49" customWidth="1"/>
    <col min="18" max="21" width="8.77734375" style="49" hidden="1" customWidth="1"/>
    <col min="22" max="23" width="2.33203125" style="49" hidden="1" customWidth="1"/>
    <col min="24" max="24" width="2.77734375" style="50" hidden="1" customWidth="1"/>
    <col min="25" max="25" width="4.6640625" style="51" hidden="1" customWidth="1"/>
    <col min="26" max="32" width="4.6640625" style="56" hidden="1" customWidth="1"/>
    <col min="33" max="33" width="2.77734375" style="51" hidden="1" customWidth="1"/>
    <col min="34" max="256" width="0" style="51" hidden="1" customWidth="1"/>
    <col min="257" max="16384" width="9.109375" style="51" hidden="1"/>
  </cols>
  <sheetData>
    <row r="1" spans="1:34" ht="15.6" x14ac:dyDescent="0.3"/>
    <row r="2" spans="1:34" s="63" customFormat="1" ht="25.05" customHeight="1" x14ac:dyDescent="0.5">
      <c r="A2" s="237" t="str">
        <f>'Layout 1'!A2:P3</f>
        <v>AUGUST YYYY</v>
      </c>
      <c r="B2" s="238"/>
      <c r="C2" s="238"/>
      <c r="D2" s="238"/>
      <c r="E2" s="238"/>
      <c r="F2" s="238"/>
      <c r="G2" s="238"/>
      <c r="H2" s="238"/>
      <c r="I2" s="238"/>
      <c r="J2" s="238"/>
      <c r="K2" s="238"/>
      <c r="L2" s="238"/>
      <c r="M2" s="238"/>
      <c r="N2" s="238"/>
      <c r="O2" s="238"/>
      <c r="P2" s="238"/>
      <c r="Q2" s="61"/>
      <c r="R2" s="61"/>
      <c r="S2" s="61"/>
      <c r="T2" s="61"/>
      <c r="U2" s="61"/>
      <c r="V2" s="61"/>
      <c r="W2" s="61"/>
      <c r="X2" s="62"/>
      <c r="Z2" s="64"/>
      <c r="AA2" s="64"/>
      <c r="AB2" s="64"/>
      <c r="AC2" s="64"/>
      <c r="AD2" s="64"/>
      <c r="AE2" s="64"/>
      <c r="AF2" s="64"/>
    </row>
    <row r="3" spans="1:34" s="63" customFormat="1" ht="25.05" customHeight="1" x14ac:dyDescent="0.5">
      <c r="A3" s="238"/>
      <c r="B3" s="238"/>
      <c r="C3" s="238"/>
      <c r="D3" s="238"/>
      <c r="E3" s="238"/>
      <c r="F3" s="238"/>
      <c r="G3" s="238"/>
      <c r="H3" s="238"/>
      <c r="I3" s="238"/>
      <c r="J3" s="238"/>
      <c r="K3" s="238"/>
      <c r="L3" s="238"/>
      <c r="M3" s="238"/>
      <c r="N3" s="238"/>
      <c r="O3" s="238"/>
      <c r="P3" s="238"/>
      <c r="Q3" s="61"/>
      <c r="R3" s="61"/>
      <c r="S3" s="61"/>
      <c r="T3" s="61"/>
      <c r="U3" s="61"/>
      <c r="V3" s="61"/>
      <c r="W3" s="61"/>
      <c r="X3" s="62"/>
      <c r="Z3" s="64"/>
      <c r="AA3" s="64"/>
      <c r="AB3" s="64"/>
      <c r="AC3" s="64"/>
      <c r="AD3" s="64"/>
      <c r="AE3" s="64"/>
      <c r="AF3" s="64"/>
    </row>
    <row r="4" spans="1:34" ht="17.25" customHeight="1" x14ac:dyDescent="0.3">
      <c r="Z4" s="52"/>
      <c r="AA4" s="52"/>
      <c r="AB4" s="52"/>
      <c r="AC4" s="52"/>
      <c r="AD4" s="52"/>
      <c r="AE4" s="52"/>
      <c r="AF4" s="52"/>
    </row>
    <row r="5" spans="1:34" s="53" customFormat="1" ht="30" customHeight="1" x14ac:dyDescent="0.25">
      <c r="A5" s="123"/>
      <c r="C5" s="239" t="s">
        <v>18</v>
      </c>
      <c r="D5" s="240"/>
      <c r="E5" s="239" t="s">
        <v>19</v>
      </c>
      <c r="F5" s="240"/>
      <c r="G5" s="239" t="s">
        <v>20</v>
      </c>
      <c r="H5" s="240"/>
      <c r="I5" s="239" t="s">
        <v>21</v>
      </c>
      <c r="J5" s="240"/>
      <c r="K5" s="239" t="s">
        <v>22</v>
      </c>
      <c r="L5" s="240"/>
      <c r="M5" s="239" t="s">
        <v>23</v>
      </c>
      <c r="N5" s="240"/>
      <c r="O5" s="239" t="s">
        <v>24</v>
      </c>
      <c r="P5" s="240"/>
      <c r="Q5" s="54"/>
      <c r="R5" s="54"/>
      <c r="S5" s="54"/>
      <c r="T5" s="54"/>
      <c r="U5" s="54"/>
      <c r="V5" s="54"/>
      <c r="W5" s="54"/>
      <c r="X5" s="55"/>
    </row>
    <row r="6" spans="1:34" s="13" customFormat="1" ht="15" customHeight="1" x14ac:dyDescent="0.25">
      <c r="A6" s="123"/>
      <c r="C6" s="117" t="str">
        <f>IF(WEEKDAY(DATE($M$31,$O$31,1))=1,1,"")</f>
        <v/>
      </c>
      <c r="D6" s="122" t="str">
        <f>IF(C6&lt;&gt;"",IF(ISNA(VLOOKUP(DATE($M$31,$O$31,C6),'Todo-Holiday-Event'!$L$9:$M$28,2,FALSE)),IF(ISNA(VLOOKUP(DATE($M$31,$O$31,C6),'Todo-Holiday-Event'!$H$9:$I$28,2,FALSE)),"",VLOOKUP(DATE($M$31,$O$31,C6),'Todo-Holiday-Event'!$H$9:$I$28,2,FALSE)),VLOOKUP(DATE($M$31,$O$31,C6),'Todo-Holiday-Event'!$L$9:$M$28,2,FALSE)),"")</f>
        <v/>
      </c>
      <c r="E6" s="117" t="str">
        <f>IF(C6&lt;&gt;"",C6+1,IF(WEEKDAY(DATE($M$31,$O$31,1))=2,1,""))</f>
        <v/>
      </c>
      <c r="F6" s="122" t="str">
        <f>IF(E6&lt;&gt;"",IF(ISNA(VLOOKUP(DATE($M$31,$O$31,E6),'Todo-Holiday-Event'!$L$9:$M$28,2,FALSE)),IF(ISNA(VLOOKUP(DATE($M$31,$O$31,E6),'Todo-Holiday-Event'!$H$9:$I$28,2,FALSE)),"",VLOOKUP(DATE($M$31,$O$31,E6),'Todo-Holiday-Event'!$H$9:$I$28,2,FALSE)),VLOOKUP(DATE($M$31,$O$31,E6),'Todo-Holiday-Event'!$L$9:$M$28,2,FALSE)),"")</f>
        <v/>
      </c>
      <c r="G6" s="117" t="str">
        <f>IF(E6&lt;&gt;"",E6+1,IF(WEEKDAY(DATE($M$31,$O$31,1))=3,1,""))</f>
        <v/>
      </c>
      <c r="H6" s="122" t="str">
        <f>IF(G6&lt;&gt;"",IF(ISNA(VLOOKUP(DATE($M$31,$O$31,G6),'Todo-Holiday-Event'!$L$9:$M$28,2,FALSE)),IF(ISNA(VLOOKUP(DATE($M$31,$O$31,G6),'Todo-Holiday-Event'!$H$9:$I$28,2,FALSE)),"",VLOOKUP(DATE($M$31,$O$31,G6),'Todo-Holiday-Event'!$H$9:$I$28,2,FALSE)),VLOOKUP(DATE($M$31,$O$31,G6),'Todo-Holiday-Event'!$L$9:$M$28,2,FALSE)),"")</f>
        <v/>
      </c>
      <c r="I6" s="117" t="str">
        <f>IF(G6&lt;&gt;"",G6+1,IF(WEEKDAY(DATE($M$31,$O$31,1))=4,1,""))</f>
        <v/>
      </c>
      <c r="J6" s="122" t="str">
        <f>IF(I6&lt;&gt;"",IF(ISNA(VLOOKUP(DATE($M$31,$O$31,I6),'Todo-Holiday-Event'!$L$9:$M$28,2,FALSE)),IF(ISNA(VLOOKUP(DATE($M$31,$O$31,I6),'Todo-Holiday-Event'!$H$9:$I$28,2,FALSE)),"",VLOOKUP(DATE($M$31,$O$31,I6),'Todo-Holiday-Event'!$H$9:$I$28,2,FALSE)),VLOOKUP(DATE($M$31,$O$31,I6),'Todo-Holiday-Event'!$L$9:$M$28,2,FALSE)),"")</f>
        <v/>
      </c>
      <c r="K6" s="117">
        <f>IF(I6&lt;&gt;"",I6+1,IF(WEEKDAY(DATE($M$31,$O$31,1))=5,1,""))</f>
        <v>1</v>
      </c>
      <c r="L6" s="122" t="str">
        <f>IF(K6&lt;&gt;"",IF(ISNA(VLOOKUP(DATE($M$31,$O$31,K6),'Todo-Holiday-Event'!$L$9:$M$28,2,FALSE)),IF(ISNA(VLOOKUP(DATE($M$31,$O$31,K6),'Todo-Holiday-Event'!$H$9:$I$28,2,FALSE)),"",VLOOKUP(DATE($M$31,$O$31,K6),'Todo-Holiday-Event'!$H$9:$I$28,2,FALSE)),VLOOKUP(DATE($M$31,$O$31,K6),'Todo-Holiday-Event'!$L$9:$M$28,2,FALSE)),"")</f>
        <v/>
      </c>
      <c r="M6" s="117">
        <f>IF(K6&lt;&gt;"",K6+1,IF(WEEKDAY(DATE($M$31,$O$31,1))=6,1,""))</f>
        <v>2</v>
      </c>
      <c r="N6" s="122" t="str">
        <f>IF(M6&lt;&gt;"",IF(ISNA(VLOOKUP(DATE($M$31,$O$31,M6),'Todo-Holiday-Event'!$L$9:$M$28,2,FALSE)),IF(ISNA(VLOOKUP(DATE($M$31,$O$31,M6),'Todo-Holiday-Event'!$H$9:$I$28,2,FALSE)),"",VLOOKUP(DATE($M$31,$O$31,M6),'Todo-Holiday-Event'!$H$9:$I$28,2,FALSE)),VLOOKUP(DATE($M$31,$O$31,M6),'Todo-Holiday-Event'!$L$9:$M$28,2,FALSE)),"")</f>
        <v/>
      </c>
      <c r="O6" s="117">
        <f>IF(M6&lt;&gt;"",M6+1,IF(WEEKDAY(DATE($M$31,$O$31,1))=7,1,""))</f>
        <v>3</v>
      </c>
      <c r="P6" s="122" t="str">
        <f>IF(O6&lt;&gt;"",IF(ISNA(VLOOKUP(DATE($M$31,$O$31,O6),'Todo-Holiday-Event'!$L$9:$M$28,2,FALSE)),IF(ISNA(VLOOKUP(DATE($M$31,$O$31,O6),'Todo-Holiday-Event'!$H$9:$I$28,2,FALSE)),"",VLOOKUP(DATE($M$31,$O$31,O6),'Todo-Holiday-Event'!$H$9:$I$28,2,FALSE)),VLOOKUP(DATE($M$31,$O$31,O6),'Todo-Holiday-Event'!$L$9:$M$28,2,FALSE)),"")</f>
        <v/>
      </c>
      <c r="Q6" s="74"/>
      <c r="R6" s="74"/>
      <c r="S6" s="74"/>
      <c r="T6" s="74"/>
      <c r="U6" s="74"/>
      <c r="V6" s="75"/>
      <c r="W6" s="75"/>
      <c r="X6" s="70"/>
    </row>
    <row r="7" spans="1:34" s="76" customFormat="1" ht="15" customHeight="1" x14ac:dyDescent="0.25">
      <c r="A7" s="123"/>
      <c r="C7" s="118" t="str">
        <f>IF(ISERROR('Supporting Calendar'!AB1),"",INDEX('Todo-Holiday-Event'!$D$9:$D$258,'Supporting Calendar'!AB1))</f>
        <v/>
      </c>
      <c r="D7" s="119" t="str">
        <f>IF(ISERROR('Supporting Calendar'!AB1),"",INDEX('Todo-Holiday-Event'!$E$9:$E$258,'Supporting Calendar'!AB1))</f>
        <v/>
      </c>
      <c r="E7" s="118" t="str">
        <f>IF(ISERROR('Supporting Calendar'!AC1),"",INDEX('Todo-Holiday-Event'!$D$9:$D$258,'Supporting Calendar'!AC1))</f>
        <v/>
      </c>
      <c r="F7" s="119" t="str">
        <f>IF(ISERROR('Supporting Calendar'!AC1),"",INDEX('Todo-Holiday-Event'!$E$9:$E$258,'Supporting Calendar'!AC1))</f>
        <v/>
      </c>
      <c r="G7" s="118" t="str">
        <f>IF(ISERROR('Supporting Calendar'!AD1),"",INDEX('Todo-Holiday-Event'!$D$9:$D$258,'Supporting Calendar'!AD1))</f>
        <v/>
      </c>
      <c r="H7" s="119" t="str">
        <f>IF(ISERROR('Supporting Calendar'!AD1),"",INDEX('Todo-Holiday-Event'!$E$9:$E$258,'Supporting Calendar'!AD1))</f>
        <v/>
      </c>
      <c r="I7" s="118" t="str">
        <f>IF(ISERROR('Supporting Calendar'!AE1),"",INDEX('Todo-Holiday-Event'!$D$9:$D$258,'Supporting Calendar'!AE1))</f>
        <v/>
      </c>
      <c r="J7" s="119" t="str">
        <f>IF(ISERROR('Supporting Calendar'!AE1),"",INDEX('Todo-Holiday-Event'!$E$9:$E$258,'Supporting Calendar'!AE1))</f>
        <v/>
      </c>
      <c r="K7" s="118" t="str">
        <f>IF(ISERROR('Supporting Calendar'!AF1),"",INDEX('Todo-Holiday-Event'!$D$9:$D$258,'Supporting Calendar'!AF1))</f>
        <v/>
      </c>
      <c r="L7" s="119" t="str">
        <f>IF(ISERROR('Supporting Calendar'!AF1),"",INDEX('Todo-Holiday-Event'!$E$9:$E$258,'Supporting Calendar'!AF1))</f>
        <v/>
      </c>
      <c r="M7" s="118" t="str">
        <f>IF(ISERROR('Supporting Calendar'!AG1),"",INDEX('Todo-Holiday-Event'!$D$9:$D$258,'Supporting Calendar'!AG1))</f>
        <v/>
      </c>
      <c r="N7" s="119" t="str">
        <f>IF(ISERROR('Supporting Calendar'!AG1),"",INDEX('Todo-Holiday-Event'!$E$9:$E$258,'Supporting Calendar'!AG1))</f>
        <v/>
      </c>
      <c r="O7" s="118" t="str">
        <f>IF(ISERROR('Supporting Calendar'!AH1),"",INDEX('Todo-Holiday-Event'!$D$9:$D$258,'Supporting Calendar'!AH1))</f>
        <v/>
      </c>
      <c r="P7" s="119" t="str">
        <f>IF(ISERROR('Supporting Calendar'!AH1),"",INDEX('Todo-Holiday-Event'!$E$9:$E$258,'Supporting Calendar'!AH1))</f>
        <v/>
      </c>
      <c r="AH7" s="78"/>
    </row>
    <row r="8" spans="1:34" s="76" customFormat="1" ht="15" customHeight="1" x14ac:dyDescent="0.25">
      <c r="A8" s="123"/>
      <c r="C8" s="118" t="str">
        <f ca="1">IF(ISERROR('Supporting Calendar'!AB2),"",INDEX('Todo-Holiday-Event'!$D$9:$D$258,'Supporting Calendar'!AB2))</f>
        <v/>
      </c>
      <c r="D8" s="119" t="str">
        <f ca="1">IF(ISERROR('Supporting Calendar'!AB2),"",INDEX('Todo-Holiday-Event'!$E$9:$E$258,'Supporting Calendar'!AB2))</f>
        <v/>
      </c>
      <c r="E8" s="118" t="str">
        <f ca="1">IF(ISERROR('Supporting Calendar'!AC2),"",INDEX('Todo-Holiday-Event'!$D$9:$D$258,'Supporting Calendar'!AC2))</f>
        <v/>
      </c>
      <c r="F8" s="119" t="str">
        <f ca="1">IF(ISERROR('Supporting Calendar'!AC2),"",INDEX('Todo-Holiday-Event'!$E$9:$E$258,'Supporting Calendar'!AC2))</f>
        <v/>
      </c>
      <c r="G8" s="118" t="str">
        <f ca="1">IF(ISERROR('Supporting Calendar'!AD2),"",INDEX('Todo-Holiday-Event'!$D$9:$D$258,'Supporting Calendar'!AD2))</f>
        <v/>
      </c>
      <c r="H8" s="119" t="str">
        <f ca="1">IF(ISERROR('Supporting Calendar'!AD2),"",INDEX('Todo-Holiday-Event'!$E$9:$E$258,'Supporting Calendar'!AD2))</f>
        <v/>
      </c>
      <c r="I8" s="118" t="str">
        <f ca="1">IF(ISERROR('Supporting Calendar'!AE2),"",INDEX('Todo-Holiday-Event'!$D$9:$D$258,'Supporting Calendar'!AE2))</f>
        <v/>
      </c>
      <c r="J8" s="119" t="str">
        <f ca="1">IF(ISERROR('Supporting Calendar'!AE2),"",INDEX('Todo-Holiday-Event'!$E$9:$E$258,'Supporting Calendar'!AE2))</f>
        <v/>
      </c>
      <c r="K8" s="118" t="str">
        <f ca="1">IF(ISERROR('Supporting Calendar'!AF2),"",INDEX('Todo-Holiday-Event'!$D$9:$D$258,'Supporting Calendar'!AF2))</f>
        <v/>
      </c>
      <c r="L8" s="119" t="str">
        <f ca="1">IF(ISERROR('Supporting Calendar'!AF2),"",INDEX('Todo-Holiday-Event'!$E$9:$E$258,'Supporting Calendar'!AF2))</f>
        <v/>
      </c>
      <c r="M8" s="118" t="str">
        <f ca="1">IF(ISERROR('Supporting Calendar'!AG2),"",INDEX('Todo-Holiday-Event'!$D$9:$D$258,'Supporting Calendar'!AG2))</f>
        <v/>
      </c>
      <c r="N8" s="119" t="str">
        <f ca="1">IF(ISERROR('Supporting Calendar'!AG2),"",INDEX('Todo-Holiday-Event'!$E$9:$E$258,'Supporting Calendar'!AG2))</f>
        <v/>
      </c>
      <c r="O8" s="118" t="str">
        <f ca="1">IF(ISERROR('Supporting Calendar'!AH2),"",INDEX('Todo-Holiday-Event'!$D$9:$D$258,'Supporting Calendar'!AH2))</f>
        <v/>
      </c>
      <c r="P8" s="119" t="str">
        <f ca="1">IF(ISERROR('Supporting Calendar'!AH2),"",INDEX('Todo-Holiday-Event'!$E$9:$E$258,'Supporting Calendar'!AH2))</f>
        <v/>
      </c>
      <c r="AH8" s="78"/>
    </row>
    <row r="9" spans="1:34" s="76" customFormat="1" ht="15" customHeight="1" x14ac:dyDescent="0.25">
      <c r="A9" s="123"/>
      <c r="C9" s="118" t="str">
        <f ca="1">IF(ISERROR('Supporting Calendar'!AB3),"",INDEX('Todo-Holiday-Event'!$D$9:$D$258,'Supporting Calendar'!AB3))</f>
        <v/>
      </c>
      <c r="D9" s="119" t="str">
        <f ca="1">IF(ISERROR('Supporting Calendar'!AB3),"",INDEX('Todo-Holiday-Event'!$E$9:$E$258,'Supporting Calendar'!AB3))</f>
        <v/>
      </c>
      <c r="E9" s="118" t="str">
        <f ca="1">IF(ISERROR('Supporting Calendar'!AC3),"",INDEX('Todo-Holiday-Event'!$D$9:$D$258,'Supporting Calendar'!AC3))</f>
        <v/>
      </c>
      <c r="F9" s="119" t="str">
        <f ca="1">IF(ISERROR('Supporting Calendar'!AC3),"",INDEX('Todo-Holiday-Event'!$E$9:$E$258,'Supporting Calendar'!AC3))</f>
        <v/>
      </c>
      <c r="G9" s="118" t="str">
        <f ca="1">IF(ISERROR('Supporting Calendar'!AD3),"",INDEX('Todo-Holiday-Event'!$D$9:$D$258,'Supporting Calendar'!AD3))</f>
        <v/>
      </c>
      <c r="H9" s="119" t="str">
        <f ca="1">IF(ISERROR('Supporting Calendar'!AD3),"",INDEX('Todo-Holiday-Event'!$E$9:$E$258,'Supporting Calendar'!AD3))</f>
        <v/>
      </c>
      <c r="I9" s="118" t="str">
        <f ca="1">IF(ISERROR('Supporting Calendar'!AE3),"",INDEX('Todo-Holiday-Event'!$D$9:$D$258,'Supporting Calendar'!AE3))</f>
        <v/>
      </c>
      <c r="J9" s="119" t="str">
        <f ca="1">IF(ISERROR('Supporting Calendar'!AE3),"",INDEX('Todo-Holiday-Event'!$E$9:$E$258,'Supporting Calendar'!AE3))</f>
        <v/>
      </c>
      <c r="K9" s="118" t="str">
        <f ca="1">IF(ISERROR('Supporting Calendar'!AF3),"",INDEX('Todo-Holiday-Event'!$D$9:$D$258,'Supporting Calendar'!AF3))</f>
        <v/>
      </c>
      <c r="L9" s="119" t="str">
        <f ca="1">IF(ISERROR('Supporting Calendar'!AF3),"",INDEX('Todo-Holiday-Event'!$E$9:$E$258,'Supporting Calendar'!AF3))</f>
        <v/>
      </c>
      <c r="M9" s="118" t="str">
        <f ca="1">IF(ISERROR('Supporting Calendar'!AG3),"",INDEX('Todo-Holiday-Event'!$D$9:$D$258,'Supporting Calendar'!AG3))</f>
        <v/>
      </c>
      <c r="N9" s="119" t="str">
        <f ca="1">IF(ISERROR('Supporting Calendar'!AG3),"",INDEX('Todo-Holiday-Event'!$E$9:$E$258,'Supporting Calendar'!AG3))</f>
        <v/>
      </c>
      <c r="O9" s="118" t="str">
        <f ca="1">IF(ISERROR('Supporting Calendar'!AH3),"",INDEX('Todo-Holiday-Event'!$D$9:$D$258,'Supporting Calendar'!AH3))</f>
        <v/>
      </c>
      <c r="P9" s="119" t="str">
        <f ca="1">IF(ISERROR('Supporting Calendar'!AH3),"",INDEX('Todo-Holiday-Event'!$E$9:$E$258,'Supporting Calendar'!AH3))</f>
        <v/>
      </c>
      <c r="AH9" s="78"/>
    </row>
    <row r="10" spans="1:34" s="76" customFormat="1" ht="15" customHeight="1" x14ac:dyDescent="0.25">
      <c r="A10" s="123"/>
      <c r="C10" s="120" t="str">
        <f ca="1">IF(ISERROR('Supporting Calendar'!AB4),"",INDEX('Todo-Holiday-Event'!$D$9:$D$258,'Supporting Calendar'!AB4))</f>
        <v/>
      </c>
      <c r="D10" s="121" t="str">
        <f ca="1">IF(ISERROR('Supporting Calendar'!AB4),"",INDEX('Todo-Holiday-Event'!$E$9:$E$258,'Supporting Calendar'!AB4))</f>
        <v/>
      </c>
      <c r="E10" s="120" t="str">
        <f ca="1">IF(ISERROR('Supporting Calendar'!AC4),"",INDEX('Todo-Holiday-Event'!$D$9:$D$258,'Supporting Calendar'!AC4))</f>
        <v/>
      </c>
      <c r="F10" s="121" t="str">
        <f ca="1">IF(ISERROR('Supporting Calendar'!AC4),"",INDEX('Todo-Holiday-Event'!$E$9:$E$258,'Supporting Calendar'!AC4))</f>
        <v/>
      </c>
      <c r="G10" s="120" t="str">
        <f ca="1">IF(ISERROR('Supporting Calendar'!AD4),"",INDEX('Todo-Holiday-Event'!$D$9:$D$258,'Supporting Calendar'!AD4))</f>
        <v/>
      </c>
      <c r="H10" s="121" t="str">
        <f ca="1">IF(ISERROR('Supporting Calendar'!AD4),"",INDEX('Todo-Holiday-Event'!$E$9:$E$258,'Supporting Calendar'!AD4))</f>
        <v/>
      </c>
      <c r="I10" s="120" t="str">
        <f ca="1">IF(ISERROR('Supporting Calendar'!AE4),"",INDEX('Todo-Holiday-Event'!$D$9:$D$258,'Supporting Calendar'!AE4))</f>
        <v/>
      </c>
      <c r="J10" s="121" t="str">
        <f ca="1">IF(ISERROR('Supporting Calendar'!AE4),"",INDEX('Todo-Holiday-Event'!$E$9:$E$258,'Supporting Calendar'!AE4))</f>
        <v/>
      </c>
      <c r="K10" s="120" t="str">
        <f ca="1">IF(ISERROR('Supporting Calendar'!AF4),"",INDEX('Todo-Holiday-Event'!$D$9:$D$258,'Supporting Calendar'!AF4))</f>
        <v/>
      </c>
      <c r="L10" s="121" t="str">
        <f ca="1">IF(ISERROR('Supporting Calendar'!AF4),"",INDEX('Todo-Holiday-Event'!$E$9:$E$258,'Supporting Calendar'!AF4))</f>
        <v/>
      </c>
      <c r="M10" s="120" t="str">
        <f ca="1">IF(ISERROR('Supporting Calendar'!AG4),"",INDEX('Todo-Holiday-Event'!$D$9:$D$258,'Supporting Calendar'!AG4))</f>
        <v/>
      </c>
      <c r="N10" s="121" t="str">
        <f ca="1">IF(ISERROR('Supporting Calendar'!AG4),"",INDEX('Todo-Holiday-Event'!$E$9:$E$258,'Supporting Calendar'!AG4))</f>
        <v/>
      </c>
      <c r="O10" s="120" t="str">
        <f ca="1">IF(ISERROR('Supporting Calendar'!AH4),"",INDEX('Todo-Holiday-Event'!$D$9:$D$258,'Supporting Calendar'!AH4))</f>
        <v/>
      </c>
      <c r="P10" s="121" t="str">
        <f ca="1">IF(ISERROR('Supporting Calendar'!AH4),"",INDEX('Todo-Holiday-Event'!$E$9:$E$258,'Supporting Calendar'!AH4))</f>
        <v/>
      </c>
      <c r="AH10" s="78"/>
    </row>
    <row r="11" spans="1:34" s="13" customFormat="1" ht="15" customHeight="1" x14ac:dyDescent="0.25">
      <c r="A11" s="123"/>
      <c r="C11" s="117">
        <f>O6+1</f>
        <v>4</v>
      </c>
      <c r="D11" s="122" t="str">
        <f>IF(C11&lt;&gt;"",IF(ISNA(VLOOKUP(DATE($M$31,$O$31,C11),'Todo-Holiday-Event'!$L$9:$M$28,2,FALSE)),IF(ISNA(VLOOKUP(DATE($M$31,$O$31,C11),'Todo-Holiday-Event'!$H$9:$I$28,2,FALSE)),"",VLOOKUP(DATE($M$31,$O$31,C11),'Todo-Holiday-Event'!$H$9:$I$28,2,FALSE)),VLOOKUP(DATE($M$31,$O$31,C11),'Todo-Holiday-Event'!$L$9:$M$28,2,FALSE)),"")</f>
        <v/>
      </c>
      <c r="E11" s="117">
        <f>C11+1</f>
        <v>5</v>
      </c>
      <c r="F11" s="122" t="str">
        <f>IF(E11&lt;&gt;"",IF(ISNA(VLOOKUP(DATE($M$31,$O$31,E11),'Todo-Holiday-Event'!$L$9:$M$28,2,FALSE)),IF(ISNA(VLOOKUP(DATE($M$31,$O$31,E11),'Todo-Holiday-Event'!$H$9:$I$28,2,FALSE)),"",VLOOKUP(DATE($M$31,$O$31,E11),'Todo-Holiday-Event'!$H$9:$I$28,2,FALSE)),VLOOKUP(DATE($M$31,$O$31,E11),'Todo-Holiday-Event'!$L$9:$M$28,2,FALSE)),"")</f>
        <v/>
      </c>
      <c r="G11" s="117">
        <f>E11+1</f>
        <v>6</v>
      </c>
      <c r="H11" s="122" t="str">
        <f>IF(G11&lt;&gt;"",IF(ISNA(VLOOKUP(DATE($M$31,$O$31,G11),'Todo-Holiday-Event'!$L$9:$M$28,2,FALSE)),IF(ISNA(VLOOKUP(DATE($M$31,$O$31,G11),'Todo-Holiday-Event'!$H$9:$I$28,2,FALSE)),"",VLOOKUP(DATE($M$31,$O$31,G11),'Todo-Holiday-Event'!$H$9:$I$28,2,FALSE)),VLOOKUP(DATE($M$31,$O$31,G11),'Todo-Holiday-Event'!$L$9:$M$28,2,FALSE)),"")</f>
        <v/>
      </c>
      <c r="I11" s="117">
        <f>G11+1</f>
        <v>7</v>
      </c>
      <c r="J11" s="122" t="str">
        <f>IF(I11&lt;&gt;"",IF(ISNA(VLOOKUP(DATE($M$31,$O$31,I11),'Todo-Holiday-Event'!$L$9:$M$28,2,FALSE)),IF(ISNA(VLOOKUP(DATE($M$31,$O$31,I11),'Todo-Holiday-Event'!$H$9:$I$28,2,FALSE)),"",VLOOKUP(DATE($M$31,$O$31,I11),'Todo-Holiday-Event'!$H$9:$I$28,2,FALSE)),VLOOKUP(DATE($M$31,$O$31,I11),'Todo-Holiday-Event'!$L$9:$M$28,2,FALSE)),"")</f>
        <v>Jane Doe  Show</v>
      </c>
      <c r="K11" s="117">
        <f>I11+1</f>
        <v>8</v>
      </c>
      <c r="L11" s="122" t="str">
        <f>IF(K11&lt;&gt;"",IF(ISNA(VLOOKUP(DATE($M$31,$O$31,K11),'Todo-Holiday-Event'!$L$9:$M$28,2,FALSE)),IF(ISNA(VLOOKUP(DATE($M$31,$O$31,K11),'Todo-Holiday-Event'!$H$9:$I$28,2,FALSE)),"",VLOOKUP(DATE($M$31,$O$31,K11),'Todo-Holiday-Event'!$H$9:$I$28,2,FALSE)),VLOOKUP(DATE($M$31,$O$31,K11),'Todo-Holiday-Event'!$L$9:$M$28,2,FALSE)),"")</f>
        <v/>
      </c>
      <c r="M11" s="117">
        <f>K11+1</f>
        <v>9</v>
      </c>
      <c r="N11" s="122" t="str">
        <f>IF(M11&lt;&gt;"",IF(ISNA(VLOOKUP(DATE($M$31,$O$31,M11),'Todo-Holiday-Event'!$L$9:$M$28,2,FALSE)),IF(ISNA(VLOOKUP(DATE($M$31,$O$31,M11),'Todo-Holiday-Event'!$H$9:$I$28,2,FALSE)),"",VLOOKUP(DATE($M$31,$O$31,M11),'Todo-Holiday-Event'!$H$9:$I$28,2,FALSE)),VLOOKUP(DATE($M$31,$O$31,M11),'Todo-Holiday-Event'!$L$9:$M$28,2,FALSE)),"")</f>
        <v/>
      </c>
      <c r="O11" s="117">
        <f>M11+1</f>
        <v>10</v>
      </c>
      <c r="P11" s="122" t="str">
        <f>IF(O11&lt;&gt;"",IF(ISNA(VLOOKUP(DATE($M$31,$O$31,O11),'Todo-Holiday-Event'!$L$9:$M$28,2,FALSE)),IF(ISNA(VLOOKUP(DATE($M$31,$O$31,O11),'Todo-Holiday-Event'!$H$9:$I$28,2,FALSE)),"",VLOOKUP(DATE($M$31,$O$31,O11),'Todo-Holiday-Event'!$H$9:$I$28,2,FALSE)),VLOOKUP(DATE($M$31,$O$31,O11),'Todo-Holiday-Event'!$L$9:$M$28,2,FALSE)),"")</f>
        <v/>
      </c>
      <c r="X11" s="70"/>
      <c r="AH11" s="67"/>
    </row>
    <row r="12" spans="1:34" s="76" customFormat="1" ht="15" customHeight="1" x14ac:dyDescent="0.25">
      <c r="A12" s="123"/>
      <c r="C12" s="118" t="str">
        <f>IF(ISERROR('Supporting Calendar'!AB7),"",INDEX('Todo-Holiday-Event'!$D$9:$D$258,'Supporting Calendar'!AB7))</f>
        <v/>
      </c>
      <c r="D12" s="119" t="str">
        <f>IF(ISERROR('Supporting Calendar'!AB7),"",INDEX('Todo-Holiday-Event'!$E$9:$E$258,'Supporting Calendar'!AB7))</f>
        <v/>
      </c>
      <c r="E12" s="118" t="str">
        <f>IF(ISERROR('Supporting Calendar'!AC7),"",INDEX('Todo-Holiday-Event'!$D$9:$D$258,'Supporting Calendar'!AC7))</f>
        <v/>
      </c>
      <c r="F12" s="119" t="str">
        <f>IF(ISERROR('Supporting Calendar'!AC7),"",INDEX('Todo-Holiday-Event'!$E$9:$E$258,'Supporting Calendar'!AC7))</f>
        <v/>
      </c>
      <c r="G12" s="118" t="str">
        <f>IF(ISERROR('Supporting Calendar'!AD7),"",INDEX('Todo-Holiday-Event'!$D$9:$D$258,'Supporting Calendar'!AD7))</f>
        <v/>
      </c>
      <c r="H12" s="119" t="str">
        <f>IF(ISERROR('Supporting Calendar'!AD7),"",INDEX('Todo-Holiday-Event'!$E$9:$E$258,'Supporting Calendar'!AD7))</f>
        <v/>
      </c>
      <c r="I12" s="118">
        <f>IF(ISERROR('Supporting Calendar'!AE7),"",INDEX('Todo-Holiday-Event'!$D$9:$D$258,'Supporting Calendar'!AE7))</f>
        <v>0.375</v>
      </c>
      <c r="J12" s="119" t="str">
        <f>IF(ISERROR('Supporting Calendar'!AE7),"",INDEX('Todo-Holiday-Event'!$E$9:$E$258,'Supporting Calendar'!AE7))</f>
        <v>Meeting with ABC</v>
      </c>
      <c r="K12" s="118" t="str">
        <f>IF(ISERROR('Supporting Calendar'!AF7),"",INDEX('Todo-Holiday-Event'!$D$9:$D$258,'Supporting Calendar'!AF7))</f>
        <v/>
      </c>
      <c r="L12" s="119" t="str">
        <f>IF(ISERROR('Supporting Calendar'!AF7),"",INDEX('Todo-Holiday-Event'!$E$9:$E$258,'Supporting Calendar'!AF7))</f>
        <v/>
      </c>
      <c r="M12" s="118" t="str">
        <f>IF(ISERROR('Supporting Calendar'!AG7),"",INDEX('Todo-Holiday-Event'!$D$9:$D$258,'Supporting Calendar'!AG7))</f>
        <v/>
      </c>
      <c r="N12" s="119" t="str">
        <f>IF(ISERROR('Supporting Calendar'!AG7),"",INDEX('Todo-Holiday-Event'!$E$9:$E$258,'Supporting Calendar'!AG7))</f>
        <v/>
      </c>
      <c r="O12" s="118" t="str">
        <f>IF(ISERROR('Supporting Calendar'!AH7),"",INDEX('Todo-Holiday-Event'!$D$9:$D$258,'Supporting Calendar'!AH7))</f>
        <v/>
      </c>
      <c r="P12" s="119" t="str">
        <f>IF(ISERROR('Supporting Calendar'!AH7),"",INDEX('Todo-Holiday-Event'!$E$9:$E$258,'Supporting Calendar'!AH7))</f>
        <v/>
      </c>
      <c r="X12" s="77"/>
      <c r="AH12" s="78"/>
    </row>
    <row r="13" spans="1:34" s="76" customFormat="1" ht="15" customHeight="1" x14ac:dyDescent="0.25">
      <c r="A13" s="123"/>
      <c r="C13" s="118" t="str">
        <f ca="1">IF(ISERROR('Supporting Calendar'!AB8),"",INDEX('Todo-Holiday-Event'!$D$9:$D$258,'Supporting Calendar'!AB8))</f>
        <v/>
      </c>
      <c r="D13" s="119" t="str">
        <f ca="1">IF(ISERROR('Supporting Calendar'!AB8),"",INDEX('Todo-Holiday-Event'!$E$9:$E$258,'Supporting Calendar'!AB8))</f>
        <v/>
      </c>
      <c r="E13" s="118" t="str">
        <f ca="1">IF(ISERROR('Supporting Calendar'!AC8),"",INDEX('Todo-Holiday-Event'!$D$9:$D$258,'Supporting Calendar'!AC8))</f>
        <v/>
      </c>
      <c r="F13" s="119" t="str">
        <f ca="1">IF(ISERROR('Supporting Calendar'!AC8),"",INDEX('Todo-Holiday-Event'!$E$9:$E$258,'Supporting Calendar'!AC8))</f>
        <v/>
      </c>
      <c r="G13" s="118" t="str">
        <f ca="1">IF(ISERROR('Supporting Calendar'!AD8),"",INDEX('Todo-Holiday-Event'!$D$9:$D$258,'Supporting Calendar'!AD8))</f>
        <v/>
      </c>
      <c r="H13" s="119" t="str">
        <f ca="1">IF(ISERROR('Supporting Calendar'!AD8),"",INDEX('Todo-Holiday-Event'!$E$9:$E$258,'Supporting Calendar'!AD8))</f>
        <v/>
      </c>
      <c r="I13" s="118" t="str">
        <f ca="1">IF(ISERROR('Supporting Calendar'!AE8),"",INDEX('Todo-Holiday-Event'!$D$9:$D$258,'Supporting Calendar'!AE8))</f>
        <v/>
      </c>
      <c r="J13" s="119" t="str">
        <f ca="1">IF(ISERROR('Supporting Calendar'!AE8),"",INDEX('Todo-Holiday-Event'!$E$9:$E$258,'Supporting Calendar'!AE8))</f>
        <v/>
      </c>
      <c r="K13" s="118" t="str">
        <f ca="1">IF(ISERROR('Supporting Calendar'!AF8),"",INDEX('Todo-Holiday-Event'!$D$9:$D$258,'Supporting Calendar'!AF8))</f>
        <v/>
      </c>
      <c r="L13" s="119" t="str">
        <f ca="1">IF(ISERROR('Supporting Calendar'!AF8),"",INDEX('Todo-Holiday-Event'!$E$9:$E$258,'Supporting Calendar'!AF8))</f>
        <v/>
      </c>
      <c r="M13" s="118" t="str">
        <f ca="1">IF(ISERROR('Supporting Calendar'!AG8),"",INDEX('Todo-Holiday-Event'!$D$9:$D$258,'Supporting Calendar'!AG8))</f>
        <v/>
      </c>
      <c r="N13" s="119" t="str">
        <f ca="1">IF(ISERROR('Supporting Calendar'!AG8),"",INDEX('Todo-Holiday-Event'!$E$9:$E$258,'Supporting Calendar'!AG8))</f>
        <v/>
      </c>
      <c r="O13" s="118" t="str">
        <f ca="1">IF(ISERROR('Supporting Calendar'!AH8),"",INDEX('Todo-Holiday-Event'!$D$9:$D$258,'Supporting Calendar'!AH8))</f>
        <v/>
      </c>
      <c r="P13" s="119" t="str">
        <f ca="1">IF(ISERROR('Supporting Calendar'!AH8),"",INDEX('Todo-Holiday-Event'!$E$9:$E$258,'Supporting Calendar'!AH8))</f>
        <v/>
      </c>
      <c r="X13" s="77"/>
      <c r="AH13" s="78"/>
    </row>
    <row r="14" spans="1:34" s="76" customFormat="1" ht="15" customHeight="1" x14ac:dyDescent="0.25">
      <c r="A14" s="123"/>
      <c r="C14" s="118" t="str">
        <f ca="1">IF(ISERROR('Supporting Calendar'!AB9),"",INDEX('Todo-Holiday-Event'!$D$9:$D$258,'Supporting Calendar'!AB9))</f>
        <v/>
      </c>
      <c r="D14" s="119" t="str">
        <f ca="1">IF(ISERROR('Supporting Calendar'!AB9),"",INDEX('Todo-Holiday-Event'!$E$9:$E$258,'Supporting Calendar'!AB9))</f>
        <v/>
      </c>
      <c r="E14" s="118" t="str">
        <f ca="1">IF(ISERROR('Supporting Calendar'!AC9),"",INDEX('Todo-Holiday-Event'!$D$9:$D$258,'Supporting Calendar'!AC9))</f>
        <v/>
      </c>
      <c r="F14" s="119" t="str">
        <f ca="1">IF(ISERROR('Supporting Calendar'!AC9),"",INDEX('Todo-Holiday-Event'!$E$9:$E$258,'Supporting Calendar'!AC9))</f>
        <v/>
      </c>
      <c r="G14" s="118" t="str">
        <f ca="1">IF(ISERROR('Supporting Calendar'!AD9),"",INDEX('Todo-Holiday-Event'!$D$9:$D$258,'Supporting Calendar'!AD9))</f>
        <v/>
      </c>
      <c r="H14" s="119" t="str">
        <f ca="1">IF(ISERROR('Supporting Calendar'!AD9),"",INDEX('Todo-Holiday-Event'!$E$9:$E$258,'Supporting Calendar'!AD9))</f>
        <v/>
      </c>
      <c r="I14" s="118" t="str">
        <f ca="1">IF(ISERROR('Supporting Calendar'!AE9),"",INDEX('Todo-Holiday-Event'!$D$9:$D$258,'Supporting Calendar'!AE9))</f>
        <v/>
      </c>
      <c r="J14" s="119" t="str">
        <f ca="1">IF(ISERROR('Supporting Calendar'!AE9),"",INDEX('Todo-Holiday-Event'!$E$9:$E$258,'Supporting Calendar'!AE9))</f>
        <v/>
      </c>
      <c r="K14" s="118" t="str">
        <f ca="1">IF(ISERROR('Supporting Calendar'!AF9),"",INDEX('Todo-Holiday-Event'!$D$9:$D$258,'Supporting Calendar'!AF9))</f>
        <v/>
      </c>
      <c r="L14" s="119" t="str">
        <f ca="1">IF(ISERROR('Supporting Calendar'!AF9),"",INDEX('Todo-Holiday-Event'!$E$9:$E$258,'Supporting Calendar'!AF9))</f>
        <v/>
      </c>
      <c r="M14" s="118" t="str">
        <f ca="1">IF(ISERROR('Supporting Calendar'!AG9),"",INDEX('Todo-Holiday-Event'!$D$9:$D$258,'Supporting Calendar'!AG9))</f>
        <v/>
      </c>
      <c r="N14" s="119" t="str">
        <f ca="1">IF(ISERROR('Supporting Calendar'!AG9),"",INDEX('Todo-Holiday-Event'!$E$9:$E$258,'Supporting Calendar'!AG9))</f>
        <v/>
      </c>
      <c r="O14" s="118" t="str">
        <f ca="1">IF(ISERROR('Supporting Calendar'!AH9),"",INDEX('Todo-Holiday-Event'!$D$9:$D$258,'Supporting Calendar'!AH9))</f>
        <v/>
      </c>
      <c r="P14" s="119" t="str">
        <f ca="1">IF(ISERROR('Supporting Calendar'!AH9),"",INDEX('Todo-Holiday-Event'!$E$9:$E$258,'Supporting Calendar'!AH9))</f>
        <v/>
      </c>
      <c r="X14" s="77"/>
      <c r="AH14" s="78"/>
    </row>
    <row r="15" spans="1:34" s="76" customFormat="1" ht="15" customHeight="1" x14ac:dyDescent="0.25">
      <c r="A15" s="123"/>
      <c r="C15" s="120" t="str">
        <f ca="1">IF(ISERROR('Supporting Calendar'!AB10),"",INDEX('Todo-Holiday-Event'!$D$9:$D$258,'Supporting Calendar'!AB10))</f>
        <v/>
      </c>
      <c r="D15" s="121" t="str">
        <f ca="1">IF(ISERROR('Supporting Calendar'!AB10),"",INDEX('Todo-Holiday-Event'!$E$9:$E$258,'Supporting Calendar'!AB10))</f>
        <v/>
      </c>
      <c r="E15" s="120" t="str">
        <f ca="1">IF(ISERROR('Supporting Calendar'!AC10),"",INDEX('Todo-Holiday-Event'!$D$9:$D$258,'Supporting Calendar'!AC10))</f>
        <v/>
      </c>
      <c r="F15" s="121" t="str">
        <f ca="1">IF(ISERROR('Supporting Calendar'!AC10),"",INDEX('Todo-Holiday-Event'!$E$9:$E$258,'Supporting Calendar'!AC10))</f>
        <v/>
      </c>
      <c r="G15" s="120" t="str">
        <f ca="1">IF(ISERROR('Supporting Calendar'!AD10),"",INDEX('Todo-Holiday-Event'!$D$9:$D$258,'Supporting Calendar'!AD10))</f>
        <v/>
      </c>
      <c r="H15" s="121" t="str">
        <f ca="1">IF(ISERROR('Supporting Calendar'!AD10),"",INDEX('Todo-Holiday-Event'!$E$9:$E$258,'Supporting Calendar'!AD10))</f>
        <v/>
      </c>
      <c r="I15" s="120" t="str">
        <f ca="1">IF(ISERROR('Supporting Calendar'!AE10),"",INDEX('Todo-Holiday-Event'!$D$9:$D$258,'Supporting Calendar'!AE10))</f>
        <v/>
      </c>
      <c r="J15" s="121" t="str">
        <f ca="1">IF(ISERROR('Supporting Calendar'!AE10),"",INDEX('Todo-Holiday-Event'!$E$9:$E$258,'Supporting Calendar'!AE10))</f>
        <v/>
      </c>
      <c r="K15" s="120" t="str">
        <f ca="1">IF(ISERROR('Supporting Calendar'!AF10),"",INDEX('Todo-Holiday-Event'!$D$9:$D$258,'Supporting Calendar'!AF10))</f>
        <v/>
      </c>
      <c r="L15" s="121" t="str">
        <f ca="1">IF(ISERROR('Supporting Calendar'!AF10),"",INDEX('Todo-Holiday-Event'!$E$9:$E$258,'Supporting Calendar'!AF10))</f>
        <v/>
      </c>
      <c r="M15" s="120" t="str">
        <f ca="1">IF(ISERROR('Supporting Calendar'!AG10),"",INDEX('Todo-Holiday-Event'!$D$9:$D$258,'Supporting Calendar'!AG10))</f>
        <v/>
      </c>
      <c r="N15" s="121" t="str">
        <f ca="1">IF(ISERROR('Supporting Calendar'!AG10),"",INDEX('Todo-Holiday-Event'!$E$9:$E$258,'Supporting Calendar'!AG10))</f>
        <v/>
      </c>
      <c r="O15" s="120" t="str">
        <f ca="1">IF(ISERROR('Supporting Calendar'!AH10),"",INDEX('Todo-Holiday-Event'!$D$9:$D$258,'Supporting Calendar'!AH10))</f>
        <v/>
      </c>
      <c r="P15" s="121" t="str">
        <f ca="1">IF(ISERROR('Supporting Calendar'!AH10),"",INDEX('Todo-Holiday-Event'!$E$9:$E$258,'Supporting Calendar'!AH10))</f>
        <v/>
      </c>
      <c r="X15" s="77"/>
      <c r="AH15" s="78"/>
    </row>
    <row r="16" spans="1:34" s="13" customFormat="1" ht="15" customHeight="1" x14ac:dyDescent="0.25">
      <c r="A16" s="123"/>
      <c r="C16" s="117">
        <f>O11+1</f>
        <v>11</v>
      </c>
      <c r="D16" s="122" t="str">
        <f>IF(C16&lt;&gt;"",IF(ISNA(VLOOKUP(DATE($M$31,$O$31,C16),'Todo-Holiday-Event'!$L$9:$M$28,2,FALSE)),IF(ISNA(VLOOKUP(DATE($M$31,$O$31,C16),'Todo-Holiday-Event'!$H$9:$I$28,2,FALSE)),"",VLOOKUP(DATE($M$31,$O$31,C16),'Todo-Holiday-Event'!$H$9:$I$28,2,FALSE)),VLOOKUP(DATE($M$31,$O$31,C16),'Todo-Holiday-Event'!$L$9:$M$28,2,FALSE)),"")</f>
        <v/>
      </c>
      <c r="E16" s="117">
        <f>C16+1</f>
        <v>12</v>
      </c>
      <c r="F16" s="122" t="str">
        <f>IF(E16&lt;&gt;"",IF(ISNA(VLOOKUP(DATE($M$31,$O$31,E16),'Todo-Holiday-Event'!$L$9:$M$28,2,FALSE)),IF(ISNA(VLOOKUP(DATE($M$31,$O$31,E16),'Todo-Holiday-Event'!$H$9:$I$28,2,FALSE)),"",VLOOKUP(DATE($M$31,$O$31,E16),'Todo-Holiday-Event'!$H$9:$I$28,2,FALSE)),VLOOKUP(DATE($M$31,$O$31,E16),'Todo-Holiday-Event'!$L$9:$M$28,2,FALSE)),"")</f>
        <v/>
      </c>
      <c r="G16" s="117">
        <f>E16+1</f>
        <v>13</v>
      </c>
      <c r="H16" s="122" t="str">
        <f>IF(G16&lt;&gt;"",IF(ISNA(VLOOKUP(DATE($M$31,$O$31,G16),'Todo-Holiday-Event'!$L$9:$M$28,2,FALSE)),IF(ISNA(VLOOKUP(DATE($M$31,$O$31,G16),'Todo-Holiday-Event'!$H$9:$I$28,2,FALSE)),"",VLOOKUP(DATE($M$31,$O$31,G16),'Todo-Holiday-Event'!$H$9:$I$28,2,FALSE)),VLOOKUP(DATE($M$31,$O$31,G16),'Todo-Holiday-Event'!$L$9:$M$28,2,FALSE)),"")</f>
        <v/>
      </c>
      <c r="I16" s="117">
        <f>G16+1</f>
        <v>14</v>
      </c>
      <c r="J16" s="122" t="str">
        <f>IF(I16&lt;&gt;"",IF(ISNA(VLOOKUP(DATE($M$31,$O$31,I16),'Todo-Holiday-Event'!$L$9:$M$28,2,FALSE)),IF(ISNA(VLOOKUP(DATE($M$31,$O$31,I16),'Todo-Holiday-Event'!$H$9:$I$28,2,FALSE)),"",VLOOKUP(DATE($M$31,$O$31,I16),'Todo-Holiday-Event'!$H$9:$I$28,2,FALSE)),VLOOKUP(DATE($M$31,$O$31,I16),'Todo-Holiday-Event'!$L$9:$M$28,2,FALSE)),"")</f>
        <v/>
      </c>
      <c r="K16" s="117">
        <f>I16+1</f>
        <v>15</v>
      </c>
      <c r="L16" s="122" t="str">
        <f>IF(K16&lt;&gt;"",IF(ISNA(VLOOKUP(DATE($M$31,$O$31,K16),'Todo-Holiday-Event'!$L$9:$M$28,2,FALSE)),IF(ISNA(VLOOKUP(DATE($M$31,$O$31,K16),'Todo-Holiday-Event'!$H$9:$I$28,2,FALSE)),"",VLOOKUP(DATE($M$31,$O$31,K16),'Todo-Holiday-Event'!$H$9:$I$28,2,FALSE)),VLOOKUP(DATE($M$31,$O$31,K16),'Todo-Holiday-Event'!$L$9:$M$28,2,FALSE)),"")</f>
        <v/>
      </c>
      <c r="M16" s="117">
        <f>K16+1</f>
        <v>16</v>
      </c>
      <c r="N16" s="122" t="str">
        <f>IF(M16&lt;&gt;"",IF(ISNA(VLOOKUP(DATE($M$31,$O$31,M16),'Todo-Holiday-Event'!$L$9:$M$28,2,FALSE)),IF(ISNA(VLOOKUP(DATE($M$31,$O$31,M16),'Todo-Holiday-Event'!$H$9:$I$28,2,FALSE)),"",VLOOKUP(DATE($M$31,$O$31,M16),'Todo-Holiday-Event'!$H$9:$I$28,2,FALSE)),VLOOKUP(DATE($M$31,$O$31,M16),'Todo-Holiday-Event'!$L$9:$M$28,2,FALSE)),"")</f>
        <v/>
      </c>
      <c r="O16" s="117">
        <f>M16+1</f>
        <v>17</v>
      </c>
      <c r="P16" s="122" t="str">
        <f>IF(O16&lt;&gt;"",IF(ISNA(VLOOKUP(DATE($M$31,$O$31,O16),'Todo-Holiday-Event'!$L$9:$M$28,2,FALSE)),IF(ISNA(VLOOKUP(DATE($M$31,$O$31,O16),'Todo-Holiday-Event'!$H$9:$I$28,2,FALSE)),"",VLOOKUP(DATE($M$31,$O$31,O16),'Todo-Holiday-Event'!$H$9:$I$28,2,FALSE)),VLOOKUP(DATE($M$31,$O$31,O16),'Todo-Holiday-Event'!$L$9:$M$28,2,FALSE)),"")</f>
        <v/>
      </c>
      <c r="X16" s="70"/>
      <c r="AH16" s="67"/>
    </row>
    <row r="17" spans="1:34" s="76" customFormat="1" ht="15" customHeight="1" x14ac:dyDescent="0.25">
      <c r="A17" s="123"/>
      <c r="C17" s="118" t="str">
        <f>IF(ISERROR('Supporting Calendar'!AB13),"",INDEX('Todo-Holiday-Event'!$D$9:$D$258,'Supporting Calendar'!AB13))</f>
        <v/>
      </c>
      <c r="D17" s="119" t="str">
        <f>IF(ISERROR('Supporting Calendar'!AB13),"",INDEX('Todo-Holiday-Event'!$E$9:$E$258,'Supporting Calendar'!AB13))</f>
        <v/>
      </c>
      <c r="E17" s="118" t="str">
        <f>IF(ISERROR('Supporting Calendar'!AC13),"",INDEX('Todo-Holiday-Event'!$D$9:$D$258,'Supporting Calendar'!AC13))</f>
        <v/>
      </c>
      <c r="F17" s="119" t="str">
        <f>IF(ISERROR('Supporting Calendar'!AC13),"",INDEX('Todo-Holiday-Event'!$E$9:$E$258,'Supporting Calendar'!AC13))</f>
        <v/>
      </c>
      <c r="G17" s="118" t="str">
        <f>IF(ISERROR('Supporting Calendar'!AD13),"",INDEX('Todo-Holiday-Event'!$D$9:$D$258,'Supporting Calendar'!AD13))</f>
        <v/>
      </c>
      <c r="H17" s="119" t="str">
        <f>IF(ISERROR('Supporting Calendar'!AD13),"",INDEX('Todo-Holiday-Event'!$E$9:$E$258,'Supporting Calendar'!AD13))</f>
        <v/>
      </c>
      <c r="I17" s="118" t="str">
        <f>IF(ISERROR('Supporting Calendar'!AE13),"",INDEX('Todo-Holiday-Event'!$D$9:$D$258,'Supporting Calendar'!AE13))</f>
        <v/>
      </c>
      <c r="J17" s="119" t="str">
        <f>IF(ISERROR('Supporting Calendar'!AE13),"",INDEX('Todo-Holiday-Event'!$E$9:$E$258,'Supporting Calendar'!AE13))</f>
        <v/>
      </c>
      <c r="K17" s="118" t="str">
        <f>IF(ISERROR('Supporting Calendar'!AF13),"",INDEX('Todo-Holiday-Event'!$D$9:$D$258,'Supporting Calendar'!AF13))</f>
        <v/>
      </c>
      <c r="L17" s="119" t="str">
        <f>IF(ISERROR('Supporting Calendar'!AF13),"",INDEX('Todo-Holiday-Event'!$E$9:$E$258,'Supporting Calendar'!AF13))</f>
        <v/>
      </c>
      <c r="M17" s="118" t="str">
        <f>IF(ISERROR('Supporting Calendar'!AG13),"",INDEX('Todo-Holiday-Event'!$D$9:$D$258,'Supporting Calendar'!AG13))</f>
        <v/>
      </c>
      <c r="N17" s="119" t="str">
        <f>IF(ISERROR('Supporting Calendar'!AG13),"",INDEX('Todo-Holiday-Event'!$E$9:$E$258,'Supporting Calendar'!AG13))</f>
        <v/>
      </c>
      <c r="O17" s="118" t="str">
        <f>IF(ISERROR('Supporting Calendar'!AH13),"",INDEX('Todo-Holiday-Event'!$D$9:$D$258,'Supporting Calendar'!AH13))</f>
        <v/>
      </c>
      <c r="P17" s="119" t="str">
        <f>IF(ISERROR('Supporting Calendar'!AH13),"",INDEX('Todo-Holiday-Event'!$E$9:$E$258,'Supporting Calendar'!AH13))</f>
        <v/>
      </c>
      <c r="X17" s="77"/>
      <c r="AH17" s="78"/>
    </row>
    <row r="18" spans="1:34" s="76" customFormat="1" ht="15" customHeight="1" x14ac:dyDescent="0.25">
      <c r="A18" s="123"/>
      <c r="C18" s="118" t="str">
        <f ca="1">IF(ISERROR('Supporting Calendar'!AB14),"",INDEX('Todo-Holiday-Event'!$D$9:$D$258,'Supporting Calendar'!AB14))</f>
        <v/>
      </c>
      <c r="D18" s="119" t="str">
        <f ca="1">IF(ISERROR('Supporting Calendar'!AB14),"",INDEX('Todo-Holiday-Event'!$E$9:$E$258,'Supporting Calendar'!AB14))</f>
        <v/>
      </c>
      <c r="E18" s="118" t="str">
        <f ca="1">IF(ISERROR('Supporting Calendar'!AC14),"",INDEX('Todo-Holiday-Event'!$D$9:$D$258,'Supporting Calendar'!AC14))</f>
        <v/>
      </c>
      <c r="F18" s="119" t="str">
        <f ca="1">IF(ISERROR('Supporting Calendar'!AC14),"",INDEX('Todo-Holiday-Event'!$E$9:$E$258,'Supporting Calendar'!AC14))</f>
        <v/>
      </c>
      <c r="G18" s="118" t="str">
        <f ca="1">IF(ISERROR('Supporting Calendar'!AD14),"",INDEX('Todo-Holiday-Event'!$D$9:$D$258,'Supporting Calendar'!AD14))</f>
        <v/>
      </c>
      <c r="H18" s="119" t="str">
        <f ca="1">IF(ISERROR('Supporting Calendar'!AD14),"",INDEX('Todo-Holiday-Event'!$E$9:$E$258,'Supporting Calendar'!AD14))</f>
        <v/>
      </c>
      <c r="I18" s="118" t="str">
        <f ca="1">IF(ISERROR('Supporting Calendar'!AE14),"",INDEX('Todo-Holiday-Event'!$D$9:$D$258,'Supporting Calendar'!AE14))</f>
        <v/>
      </c>
      <c r="J18" s="119" t="str">
        <f ca="1">IF(ISERROR('Supporting Calendar'!AE14),"",INDEX('Todo-Holiday-Event'!$E$9:$E$258,'Supporting Calendar'!AE14))</f>
        <v/>
      </c>
      <c r="K18" s="118" t="str">
        <f ca="1">IF(ISERROR('Supporting Calendar'!AF14),"",INDEX('Todo-Holiday-Event'!$D$9:$D$258,'Supporting Calendar'!AF14))</f>
        <v/>
      </c>
      <c r="L18" s="119" t="str">
        <f ca="1">IF(ISERROR('Supporting Calendar'!AF14),"",INDEX('Todo-Holiday-Event'!$E$9:$E$258,'Supporting Calendar'!AF14))</f>
        <v/>
      </c>
      <c r="M18" s="118" t="str">
        <f ca="1">IF(ISERROR('Supporting Calendar'!AG14),"",INDEX('Todo-Holiday-Event'!$D$9:$D$258,'Supporting Calendar'!AG14))</f>
        <v/>
      </c>
      <c r="N18" s="119" t="str">
        <f ca="1">IF(ISERROR('Supporting Calendar'!AG14),"",INDEX('Todo-Holiday-Event'!$E$9:$E$258,'Supporting Calendar'!AG14))</f>
        <v/>
      </c>
      <c r="O18" s="118" t="str">
        <f ca="1">IF(ISERROR('Supporting Calendar'!AH14),"",INDEX('Todo-Holiday-Event'!$D$9:$D$258,'Supporting Calendar'!AH14))</f>
        <v/>
      </c>
      <c r="P18" s="119" t="str">
        <f ca="1">IF(ISERROR('Supporting Calendar'!AH14),"",INDEX('Todo-Holiday-Event'!$E$9:$E$258,'Supporting Calendar'!AH14))</f>
        <v/>
      </c>
      <c r="X18" s="77"/>
      <c r="AH18" s="78"/>
    </row>
    <row r="19" spans="1:34" s="76" customFormat="1" ht="15" customHeight="1" x14ac:dyDescent="0.25">
      <c r="A19" s="123"/>
      <c r="C19" s="118" t="str">
        <f ca="1">IF(ISERROR('Supporting Calendar'!AB15),"",INDEX('Todo-Holiday-Event'!$D$9:$D$258,'Supporting Calendar'!AB15))</f>
        <v/>
      </c>
      <c r="D19" s="119" t="str">
        <f ca="1">IF(ISERROR('Supporting Calendar'!AB15),"",INDEX('Todo-Holiday-Event'!$E$9:$E$258,'Supporting Calendar'!AB15))</f>
        <v/>
      </c>
      <c r="E19" s="118" t="str">
        <f ca="1">IF(ISERROR('Supporting Calendar'!AC15),"",INDEX('Todo-Holiday-Event'!$D$9:$D$258,'Supporting Calendar'!AC15))</f>
        <v/>
      </c>
      <c r="F19" s="119" t="str">
        <f ca="1">IF(ISERROR('Supporting Calendar'!AC15),"",INDEX('Todo-Holiday-Event'!$E$9:$E$258,'Supporting Calendar'!AC15))</f>
        <v/>
      </c>
      <c r="G19" s="118" t="str">
        <f ca="1">IF(ISERROR('Supporting Calendar'!AD15),"",INDEX('Todo-Holiday-Event'!$D$9:$D$258,'Supporting Calendar'!AD15))</f>
        <v/>
      </c>
      <c r="H19" s="119" t="str">
        <f ca="1">IF(ISERROR('Supporting Calendar'!AD15),"",INDEX('Todo-Holiday-Event'!$E$9:$E$258,'Supporting Calendar'!AD15))</f>
        <v/>
      </c>
      <c r="I19" s="118" t="str">
        <f ca="1">IF(ISERROR('Supporting Calendar'!AE15),"",INDEX('Todo-Holiday-Event'!$D$9:$D$258,'Supporting Calendar'!AE15))</f>
        <v/>
      </c>
      <c r="J19" s="119" t="str">
        <f ca="1">IF(ISERROR('Supporting Calendar'!AE15),"",INDEX('Todo-Holiday-Event'!$E$9:$E$258,'Supporting Calendar'!AE15))</f>
        <v/>
      </c>
      <c r="K19" s="118" t="str">
        <f ca="1">IF(ISERROR('Supporting Calendar'!AF15),"",INDEX('Todo-Holiday-Event'!$D$9:$D$258,'Supporting Calendar'!AF15))</f>
        <v/>
      </c>
      <c r="L19" s="119" t="str">
        <f ca="1">IF(ISERROR('Supporting Calendar'!AF15),"",INDEX('Todo-Holiday-Event'!$E$9:$E$258,'Supporting Calendar'!AF15))</f>
        <v/>
      </c>
      <c r="M19" s="118" t="str">
        <f ca="1">IF(ISERROR('Supporting Calendar'!AG15),"",INDEX('Todo-Holiday-Event'!$D$9:$D$258,'Supporting Calendar'!AG15))</f>
        <v/>
      </c>
      <c r="N19" s="119" t="str">
        <f ca="1">IF(ISERROR('Supporting Calendar'!AG15),"",INDEX('Todo-Holiday-Event'!$E$9:$E$258,'Supporting Calendar'!AG15))</f>
        <v/>
      </c>
      <c r="O19" s="118" t="str">
        <f ca="1">IF(ISERROR('Supporting Calendar'!AH15),"",INDEX('Todo-Holiday-Event'!$D$9:$D$258,'Supporting Calendar'!AH15))</f>
        <v/>
      </c>
      <c r="P19" s="119" t="str">
        <f ca="1">IF(ISERROR('Supporting Calendar'!AH15),"",INDEX('Todo-Holiday-Event'!$E$9:$E$258,'Supporting Calendar'!AH15))</f>
        <v/>
      </c>
      <c r="X19" s="77"/>
      <c r="AH19" s="78"/>
    </row>
    <row r="20" spans="1:34" s="76" customFormat="1" ht="15" customHeight="1" x14ac:dyDescent="0.25">
      <c r="A20" s="123"/>
      <c r="C20" s="120" t="str">
        <f ca="1">IF(ISERROR('Supporting Calendar'!AB16),"",INDEX('Todo-Holiday-Event'!$D$9:$D$258,'Supporting Calendar'!AB16))</f>
        <v/>
      </c>
      <c r="D20" s="121" t="str">
        <f ca="1">IF(ISERROR('Supporting Calendar'!AB16),"",INDEX('Todo-Holiday-Event'!$E$9:$E$258,'Supporting Calendar'!AB16))</f>
        <v/>
      </c>
      <c r="E20" s="120" t="str">
        <f ca="1">IF(ISERROR('Supporting Calendar'!AC16),"",INDEX('Todo-Holiday-Event'!$D$9:$D$258,'Supporting Calendar'!AC16))</f>
        <v/>
      </c>
      <c r="F20" s="121" t="str">
        <f ca="1">IF(ISERROR('Supporting Calendar'!AC16),"",INDEX('Todo-Holiday-Event'!$E$9:$E$258,'Supporting Calendar'!AC16))</f>
        <v/>
      </c>
      <c r="G20" s="120" t="str">
        <f ca="1">IF(ISERROR('Supporting Calendar'!AD16),"",INDEX('Todo-Holiday-Event'!$D$9:$D$258,'Supporting Calendar'!AD16))</f>
        <v/>
      </c>
      <c r="H20" s="121" t="str">
        <f ca="1">IF(ISERROR('Supporting Calendar'!AD16),"",INDEX('Todo-Holiday-Event'!$E$9:$E$258,'Supporting Calendar'!AD16))</f>
        <v/>
      </c>
      <c r="I20" s="120" t="str">
        <f ca="1">IF(ISERROR('Supporting Calendar'!AE16),"",INDEX('Todo-Holiday-Event'!$D$9:$D$258,'Supporting Calendar'!AE16))</f>
        <v/>
      </c>
      <c r="J20" s="121" t="str">
        <f ca="1">IF(ISERROR('Supporting Calendar'!AE16),"",INDEX('Todo-Holiday-Event'!$E$9:$E$258,'Supporting Calendar'!AE16))</f>
        <v/>
      </c>
      <c r="K20" s="120" t="str">
        <f ca="1">IF(ISERROR('Supporting Calendar'!AF16),"",INDEX('Todo-Holiday-Event'!$D$9:$D$258,'Supporting Calendar'!AF16))</f>
        <v/>
      </c>
      <c r="L20" s="121" t="str">
        <f ca="1">IF(ISERROR('Supporting Calendar'!AF16),"",INDEX('Todo-Holiday-Event'!$E$9:$E$258,'Supporting Calendar'!AF16))</f>
        <v/>
      </c>
      <c r="M20" s="120" t="str">
        <f ca="1">IF(ISERROR('Supporting Calendar'!AG16),"",INDEX('Todo-Holiday-Event'!$D$9:$D$258,'Supporting Calendar'!AG16))</f>
        <v/>
      </c>
      <c r="N20" s="121" t="str">
        <f ca="1">IF(ISERROR('Supporting Calendar'!AG16),"",INDEX('Todo-Holiday-Event'!$E$9:$E$258,'Supporting Calendar'!AG16))</f>
        <v/>
      </c>
      <c r="O20" s="120" t="str">
        <f ca="1">IF(ISERROR('Supporting Calendar'!AH16),"",INDEX('Todo-Holiday-Event'!$D$9:$D$258,'Supporting Calendar'!AH16))</f>
        <v/>
      </c>
      <c r="P20" s="121" t="str">
        <f ca="1">IF(ISERROR('Supporting Calendar'!AH16),"",INDEX('Todo-Holiday-Event'!$E$9:$E$258,'Supporting Calendar'!AH16))</f>
        <v/>
      </c>
      <c r="X20" s="77"/>
      <c r="AH20" s="78"/>
    </row>
    <row r="21" spans="1:34" s="13" customFormat="1" ht="15" customHeight="1" x14ac:dyDescent="0.25">
      <c r="A21" s="123"/>
      <c r="C21" s="117">
        <f>O16+1</f>
        <v>18</v>
      </c>
      <c r="D21" s="122" t="str">
        <f>IF(C21&lt;&gt;"",IF(ISNA(VLOOKUP(DATE($M$31,$O$31,C21),'Todo-Holiday-Event'!$L$9:$M$28,2,FALSE)),IF(ISNA(VLOOKUP(DATE($M$31,$O$31,C21),'Todo-Holiday-Event'!$H$9:$I$28,2,FALSE)),"",VLOOKUP(DATE($M$31,$O$31,C21),'Todo-Holiday-Event'!$H$9:$I$28,2,FALSE)),VLOOKUP(DATE($M$31,$O$31,C21),'Todo-Holiday-Event'!$L$9:$M$28,2,FALSE)),"")</f>
        <v/>
      </c>
      <c r="E21" s="117">
        <f>C21+1</f>
        <v>19</v>
      </c>
      <c r="F21" s="122" t="str">
        <f>IF(E21&lt;&gt;"",IF(ISNA(VLOOKUP(DATE($M$31,$O$31,E21),'Todo-Holiday-Event'!$L$9:$M$28,2,FALSE)),IF(ISNA(VLOOKUP(DATE($M$31,$O$31,E21),'Todo-Holiday-Event'!$H$9:$I$28,2,FALSE)),"",VLOOKUP(DATE($M$31,$O$31,E21),'Todo-Holiday-Event'!$H$9:$I$28,2,FALSE)),VLOOKUP(DATE($M$31,$O$31,E21),'Todo-Holiday-Event'!$L$9:$M$28,2,FALSE)),"")</f>
        <v/>
      </c>
      <c r="G21" s="117">
        <f>E21+1</f>
        <v>20</v>
      </c>
      <c r="H21" s="122" t="str">
        <f>IF(G21&lt;&gt;"",IF(ISNA(VLOOKUP(DATE($M$31,$O$31,G21),'Todo-Holiday-Event'!$L$9:$M$28,2,FALSE)),IF(ISNA(VLOOKUP(DATE($M$31,$O$31,G21),'Todo-Holiday-Event'!$H$9:$I$28,2,FALSE)),"",VLOOKUP(DATE($M$31,$O$31,G21),'Todo-Holiday-Event'!$H$9:$I$28,2,FALSE)),VLOOKUP(DATE($M$31,$O$31,G21),'Todo-Holiday-Event'!$L$9:$M$28,2,FALSE)),"")</f>
        <v/>
      </c>
      <c r="I21" s="117">
        <f>G21+1</f>
        <v>21</v>
      </c>
      <c r="J21" s="122" t="str">
        <f>IF(I21&lt;&gt;"",IF(ISNA(VLOOKUP(DATE($M$31,$O$31,I21),'Todo-Holiday-Event'!$L$9:$M$28,2,FALSE)),IF(ISNA(VLOOKUP(DATE($M$31,$O$31,I21),'Todo-Holiday-Event'!$H$9:$I$28,2,FALSE)),"",VLOOKUP(DATE($M$31,$O$31,I21),'Todo-Holiday-Event'!$H$9:$I$28,2,FALSE)),VLOOKUP(DATE($M$31,$O$31,I21),'Todo-Holiday-Event'!$L$9:$M$28,2,FALSE)),"")</f>
        <v/>
      </c>
      <c r="K21" s="117">
        <f>I21+1</f>
        <v>22</v>
      </c>
      <c r="L21" s="122" t="str">
        <f>IF(K21&lt;&gt;"",IF(ISNA(VLOOKUP(DATE($M$31,$O$31,K21),'Todo-Holiday-Event'!$L$9:$M$28,2,FALSE)),IF(ISNA(VLOOKUP(DATE($M$31,$O$31,K21),'Todo-Holiday-Event'!$H$9:$I$28,2,FALSE)),"",VLOOKUP(DATE($M$31,$O$31,K21),'Todo-Holiday-Event'!$H$9:$I$28,2,FALSE)),VLOOKUP(DATE($M$31,$O$31,K21),'Todo-Holiday-Event'!$L$9:$M$28,2,FALSE)),"")</f>
        <v/>
      </c>
      <c r="M21" s="117">
        <f>K21+1</f>
        <v>23</v>
      </c>
      <c r="N21" s="122" t="str">
        <f>IF(M21&lt;&gt;"",IF(ISNA(VLOOKUP(DATE($M$31,$O$31,M21),'Todo-Holiday-Event'!$L$9:$M$28,2,FALSE)),IF(ISNA(VLOOKUP(DATE($M$31,$O$31,M21),'Todo-Holiday-Event'!$H$9:$I$28,2,FALSE)),"",VLOOKUP(DATE($M$31,$O$31,M21),'Todo-Holiday-Event'!$H$9:$I$28,2,FALSE)),VLOOKUP(DATE($M$31,$O$31,M21),'Todo-Holiday-Event'!$L$9:$M$28,2,FALSE)),"")</f>
        <v/>
      </c>
      <c r="O21" s="117">
        <f>M21+1</f>
        <v>24</v>
      </c>
      <c r="P21" s="122" t="str">
        <f>IF(O21&lt;&gt;"",IF(ISNA(VLOOKUP(DATE($M$31,$O$31,O21),'Todo-Holiday-Event'!$L$9:$M$28,2,FALSE)),IF(ISNA(VLOOKUP(DATE($M$31,$O$31,O21),'Todo-Holiday-Event'!$H$9:$I$28,2,FALSE)),"",VLOOKUP(DATE($M$31,$O$31,O21),'Todo-Holiday-Event'!$H$9:$I$28,2,FALSE)),VLOOKUP(DATE($M$31,$O$31,O21),'Todo-Holiday-Event'!$L$9:$M$28,2,FALSE)),"")</f>
        <v/>
      </c>
      <c r="X21" s="70"/>
      <c r="AH21" s="67"/>
    </row>
    <row r="22" spans="1:34" s="76" customFormat="1" ht="15" customHeight="1" x14ac:dyDescent="0.25">
      <c r="A22" s="123"/>
      <c r="C22" s="118">
        <f>IF(ISERROR('Supporting Calendar'!AB19),"",INDEX('Todo-Holiday-Event'!$D$9:$D$258,'Supporting Calendar'!AB19))</f>
        <v>0.70833333333333337</v>
      </c>
      <c r="D22" s="119" t="str">
        <f>IF(ISERROR('Supporting Calendar'!AB19),"",INDEX('Todo-Holiday-Event'!$E$9:$E$258,'Supporting Calendar'!AB19))</f>
        <v>Shopping</v>
      </c>
      <c r="E22" s="118" t="str">
        <f>IF(ISERROR('Supporting Calendar'!AC19),"",INDEX('Todo-Holiday-Event'!$D$9:$D$258,'Supporting Calendar'!AC19))</f>
        <v/>
      </c>
      <c r="F22" s="119" t="str">
        <f>IF(ISERROR('Supporting Calendar'!AC19),"",INDEX('Todo-Holiday-Event'!$E$9:$E$258,'Supporting Calendar'!AC19))</f>
        <v/>
      </c>
      <c r="G22" s="118" t="str">
        <f>IF(ISERROR('Supporting Calendar'!AD19),"",INDEX('Todo-Holiday-Event'!$D$9:$D$258,'Supporting Calendar'!AD19))</f>
        <v/>
      </c>
      <c r="H22" s="119" t="str">
        <f>IF(ISERROR('Supporting Calendar'!AD19),"",INDEX('Todo-Holiday-Event'!$E$9:$E$258,'Supporting Calendar'!AD19))</f>
        <v/>
      </c>
      <c r="I22" s="118" t="str">
        <f>IF(ISERROR('Supporting Calendar'!AE19),"",INDEX('Todo-Holiday-Event'!$D$9:$D$258,'Supporting Calendar'!AE19))</f>
        <v/>
      </c>
      <c r="J22" s="119" t="str">
        <f>IF(ISERROR('Supporting Calendar'!AE19),"",INDEX('Todo-Holiday-Event'!$E$9:$E$258,'Supporting Calendar'!AE19))</f>
        <v/>
      </c>
      <c r="K22" s="118" t="str">
        <f>IF(ISERROR('Supporting Calendar'!AF19),"",INDEX('Todo-Holiday-Event'!$D$9:$D$258,'Supporting Calendar'!AF19))</f>
        <v/>
      </c>
      <c r="L22" s="119" t="str">
        <f>IF(ISERROR('Supporting Calendar'!AF19),"",INDEX('Todo-Holiday-Event'!$E$9:$E$258,'Supporting Calendar'!AF19))</f>
        <v/>
      </c>
      <c r="M22" s="118" t="str">
        <f>IF(ISERROR('Supporting Calendar'!AG19),"",INDEX('Todo-Holiday-Event'!$D$9:$D$258,'Supporting Calendar'!AG19))</f>
        <v/>
      </c>
      <c r="N22" s="119" t="str">
        <f>IF(ISERROR('Supporting Calendar'!AG19),"",INDEX('Todo-Holiday-Event'!$E$9:$E$258,'Supporting Calendar'!AG19))</f>
        <v/>
      </c>
      <c r="O22" s="118" t="str">
        <f>IF(ISERROR('Supporting Calendar'!AH19),"",INDEX('Todo-Holiday-Event'!$D$9:$D$258,'Supporting Calendar'!AH19))</f>
        <v/>
      </c>
      <c r="P22" s="119" t="str">
        <f>IF(ISERROR('Supporting Calendar'!AH19),"",INDEX('Todo-Holiday-Event'!$E$9:$E$258,'Supporting Calendar'!AH19))</f>
        <v/>
      </c>
      <c r="X22" s="77"/>
    </row>
    <row r="23" spans="1:34" s="76" customFormat="1" ht="15" customHeight="1" x14ac:dyDescent="0.25">
      <c r="A23" s="123"/>
      <c r="C23" s="118" t="str">
        <f ca="1">IF(ISERROR('Supporting Calendar'!AB20),"",INDEX('Todo-Holiday-Event'!$D$9:$D$258,'Supporting Calendar'!AB20))</f>
        <v/>
      </c>
      <c r="D23" s="119" t="str">
        <f ca="1">IF(ISERROR('Supporting Calendar'!AB20),"",INDEX('Todo-Holiday-Event'!$E$9:$E$258,'Supporting Calendar'!AB20))</f>
        <v/>
      </c>
      <c r="E23" s="118" t="str">
        <f ca="1">IF(ISERROR('Supporting Calendar'!AC20),"",INDEX('Todo-Holiday-Event'!$D$9:$D$258,'Supporting Calendar'!AC20))</f>
        <v/>
      </c>
      <c r="F23" s="119" t="str">
        <f ca="1">IF(ISERROR('Supporting Calendar'!AC20),"",INDEX('Todo-Holiday-Event'!$E$9:$E$258,'Supporting Calendar'!AC20))</f>
        <v/>
      </c>
      <c r="G23" s="118" t="str">
        <f ca="1">IF(ISERROR('Supporting Calendar'!AD20),"",INDEX('Todo-Holiday-Event'!$D$9:$D$258,'Supporting Calendar'!AD20))</f>
        <v/>
      </c>
      <c r="H23" s="119" t="str">
        <f ca="1">IF(ISERROR('Supporting Calendar'!AD20),"",INDEX('Todo-Holiday-Event'!$E$9:$E$258,'Supporting Calendar'!AD20))</f>
        <v/>
      </c>
      <c r="I23" s="118" t="str">
        <f ca="1">IF(ISERROR('Supporting Calendar'!AE20),"",INDEX('Todo-Holiday-Event'!$D$9:$D$258,'Supporting Calendar'!AE20))</f>
        <v/>
      </c>
      <c r="J23" s="119" t="str">
        <f ca="1">IF(ISERROR('Supporting Calendar'!AE20),"",INDEX('Todo-Holiday-Event'!$E$9:$E$258,'Supporting Calendar'!AE20))</f>
        <v/>
      </c>
      <c r="K23" s="118" t="str">
        <f ca="1">IF(ISERROR('Supporting Calendar'!AF20),"",INDEX('Todo-Holiday-Event'!$D$9:$D$258,'Supporting Calendar'!AF20))</f>
        <v/>
      </c>
      <c r="L23" s="119" t="str">
        <f ca="1">IF(ISERROR('Supporting Calendar'!AF20),"",INDEX('Todo-Holiday-Event'!$E$9:$E$258,'Supporting Calendar'!AF20))</f>
        <v/>
      </c>
      <c r="M23" s="118" t="str">
        <f ca="1">IF(ISERROR('Supporting Calendar'!AG20),"",INDEX('Todo-Holiday-Event'!$D$9:$D$258,'Supporting Calendar'!AG20))</f>
        <v/>
      </c>
      <c r="N23" s="119" t="str">
        <f ca="1">IF(ISERROR('Supporting Calendar'!AG20),"",INDEX('Todo-Holiday-Event'!$E$9:$E$258,'Supporting Calendar'!AG20))</f>
        <v/>
      </c>
      <c r="O23" s="118" t="str">
        <f ca="1">IF(ISERROR('Supporting Calendar'!AH20),"",INDEX('Todo-Holiday-Event'!$D$9:$D$258,'Supporting Calendar'!AH20))</f>
        <v/>
      </c>
      <c r="P23" s="119" t="str">
        <f ca="1">IF(ISERROR('Supporting Calendar'!AH20),"",INDEX('Todo-Holiday-Event'!$E$9:$E$258,'Supporting Calendar'!AH20))</f>
        <v/>
      </c>
      <c r="X23" s="77"/>
    </row>
    <row r="24" spans="1:34" s="76" customFormat="1" ht="15" customHeight="1" x14ac:dyDescent="0.25">
      <c r="A24" s="123"/>
      <c r="C24" s="118" t="str">
        <f ca="1">IF(ISERROR('Supporting Calendar'!AB21),"",INDEX('Todo-Holiday-Event'!$D$9:$D$258,'Supporting Calendar'!AB21))</f>
        <v/>
      </c>
      <c r="D24" s="119" t="str">
        <f ca="1">IF(ISERROR('Supporting Calendar'!AB21),"",INDEX('Todo-Holiday-Event'!$E$9:$E$258,'Supporting Calendar'!AB21))</f>
        <v/>
      </c>
      <c r="E24" s="118" t="str">
        <f ca="1">IF(ISERROR('Supporting Calendar'!AC21),"",INDEX('Todo-Holiday-Event'!$D$9:$D$258,'Supporting Calendar'!AC21))</f>
        <v/>
      </c>
      <c r="F24" s="119" t="str">
        <f ca="1">IF(ISERROR('Supporting Calendar'!AC21),"",INDEX('Todo-Holiday-Event'!$E$9:$E$258,'Supporting Calendar'!AC21))</f>
        <v/>
      </c>
      <c r="G24" s="118" t="str">
        <f ca="1">IF(ISERROR('Supporting Calendar'!AD21),"",INDEX('Todo-Holiday-Event'!$D$9:$D$258,'Supporting Calendar'!AD21))</f>
        <v/>
      </c>
      <c r="H24" s="119" t="str">
        <f ca="1">IF(ISERROR('Supporting Calendar'!AD21),"",INDEX('Todo-Holiday-Event'!$E$9:$E$258,'Supporting Calendar'!AD21))</f>
        <v/>
      </c>
      <c r="I24" s="118" t="str">
        <f ca="1">IF(ISERROR('Supporting Calendar'!AE21),"",INDEX('Todo-Holiday-Event'!$D$9:$D$258,'Supporting Calendar'!AE21))</f>
        <v/>
      </c>
      <c r="J24" s="119" t="str">
        <f ca="1">IF(ISERROR('Supporting Calendar'!AE21),"",INDEX('Todo-Holiday-Event'!$E$9:$E$258,'Supporting Calendar'!AE21))</f>
        <v/>
      </c>
      <c r="K24" s="118" t="str">
        <f ca="1">IF(ISERROR('Supporting Calendar'!AF21),"",INDEX('Todo-Holiday-Event'!$D$9:$D$258,'Supporting Calendar'!AF21))</f>
        <v/>
      </c>
      <c r="L24" s="119" t="str">
        <f ca="1">IF(ISERROR('Supporting Calendar'!AF21),"",INDEX('Todo-Holiday-Event'!$E$9:$E$258,'Supporting Calendar'!AF21))</f>
        <v/>
      </c>
      <c r="M24" s="118" t="str">
        <f ca="1">IF(ISERROR('Supporting Calendar'!AG21),"",INDEX('Todo-Holiday-Event'!$D$9:$D$258,'Supporting Calendar'!AG21))</f>
        <v/>
      </c>
      <c r="N24" s="119" t="str">
        <f ca="1">IF(ISERROR('Supporting Calendar'!AG21),"",INDEX('Todo-Holiday-Event'!$E$9:$E$258,'Supporting Calendar'!AG21))</f>
        <v/>
      </c>
      <c r="O24" s="118" t="str">
        <f ca="1">IF(ISERROR('Supporting Calendar'!AH21),"",INDEX('Todo-Holiday-Event'!$D$9:$D$258,'Supporting Calendar'!AH21))</f>
        <v/>
      </c>
      <c r="P24" s="119" t="str">
        <f ca="1">IF(ISERROR('Supporting Calendar'!AH21),"",INDEX('Todo-Holiday-Event'!$E$9:$E$258,'Supporting Calendar'!AH21))</f>
        <v/>
      </c>
      <c r="X24" s="77"/>
    </row>
    <row r="25" spans="1:34" s="76" customFormat="1" ht="15" customHeight="1" x14ac:dyDescent="0.25">
      <c r="A25" s="123"/>
      <c r="C25" s="120" t="str">
        <f ca="1">IF(ISERROR('Supporting Calendar'!AB22),"",INDEX('Todo-Holiday-Event'!$D$9:$D$258,'Supporting Calendar'!AB22))</f>
        <v/>
      </c>
      <c r="D25" s="121" t="str">
        <f ca="1">IF(ISERROR('Supporting Calendar'!AB22),"",INDEX('Todo-Holiday-Event'!$E$9:$E$258,'Supporting Calendar'!AB22))</f>
        <v/>
      </c>
      <c r="E25" s="120" t="str">
        <f ca="1">IF(ISERROR('Supporting Calendar'!AC22),"",INDEX('Todo-Holiday-Event'!$D$9:$D$258,'Supporting Calendar'!AC22))</f>
        <v/>
      </c>
      <c r="F25" s="121" t="str">
        <f ca="1">IF(ISERROR('Supporting Calendar'!AC22),"",INDEX('Todo-Holiday-Event'!$E$9:$E$258,'Supporting Calendar'!AC22))</f>
        <v/>
      </c>
      <c r="G25" s="120" t="str">
        <f ca="1">IF(ISERROR('Supporting Calendar'!AD22),"",INDEX('Todo-Holiday-Event'!$D$9:$D$258,'Supporting Calendar'!AD22))</f>
        <v/>
      </c>
      <c r="H25" s="121" t="str">
        <f ca="1">IF(ISERROR('Supporting Calendar'!AD22),"",INDEX('Todo-Holiday-Event'!$E$9:$E$258,'Supporting Calendar'!AD22))</f>
        <v/>
      </c>
      <c r="I25" s="120" t="str">
        <f ca="1">IF(ISERROR('Supporting Calendar'!AE22),"",INDEX('Todo-Holiday-Event'!$D$9:$D$258,'Supporting Calendar'!AE22))</f>
        <v/>
      </c>
      <c r="J25" s="121" t="str">
        <f ca="1">IF(ISERROR('Supporting Calendar'!AE22),"",INDEX('Todo-Holiday-Event'!$E$9:$E$258,'Supporting Calendar'!AE22))</f>
        <v/>
      </c>
      <c r="K25" s="120" t="str">
        <f ca="1">IF(ISERROR('Supporting Calendar'!AF22),"",INDEX('Todo-Holiday-Event'!$D$9:$D$258,'Supporting Calendar'!AF22))</f>
        <v/>
      </c>
      <c r="L25" s="121" t="str">
        <f ca="1">IF(ISERROR('Supporting Calendar'!AF22),"",INDEX('Todo-Holiday-Event'!$E$9:$E$258,'Supporting Calendar'!AF22))</f>
        <v/>
      </c>
      <c r="M25" s="120" t="str">
        <f ca="1">IF(ISERROR('Supporting Calendar'!AG22),"",INDEX('Todo-Holiday-Event'!$D$9:$D$258,'Supporting Calendar'!AG22))</f>
        <v/>
      </c>
      <c r="N25" s="121" t="str">
        <f ca="1">IF(ISERROR('Supporting Calendar'!AG22),"",INDEX('Todo-Holiday-Event'!$E$9:$E$258,'Supporting Calendar'!AG22))</f>
        <v/>
      </c>
      <c r="O25" s="120" t="str">
        <f ca="1">IF(ISERROR('Supporting Calendar'!AH22),"",INDEX('Todo-Holiday-Event'!$D$9:$D$258,'Supporting Calendar'!AH22))</f>
        <v/>
      </c>
      <c r="P25" s="121" t="str">
        <f ca="1">IF(ISERROR('Supporting Calendar'!AH22),"",INDEX('Todo-Holiday-Event'!$E$9:$E$258,'Supporting Calendar'!AH22))</f>
        <v/>
      </c>
      <c r="X25" s="77"/>
    </row>
    <row r="26" spans="1:34" s="13" customFormat="1" ht="15" customHeight="1" x14ac:dyDescent="0.25">
      <c r="A26" s="123"/>
      <c r="C26" s="117">
        <f>IF(O21&lt;&gt;"",IF(DAY(EOMONTH(DATE($M$31,$O$31,1),0))=O21,"",O21+1),"")</f>
        <v>25</v>
      </c>
      <c r="D26" s="122" t="str">
        <f>IF(C26&lt;&gt;"",IF(ISNA(VLOOKUP(DATE($M$31,$O$31,C26),'Todo-Holiday-Event'!$L$9:$M$28,2,FALSE)),IF(ISNA(VLOOKUP(DATE($M$31,$O$31,C26),'Todo-Holiday-Event'!$H$9:$I$28,2,FALSE)),"",VLOOKUP(DATE($M$31,$O$31,C26),'Todo-Holiday-Event'!$H$9:$I$28,2,FALSE)),VLOOKUP(DATE($M$31,$O$31,C26),'Todo-Holiday-Event'!$L$9:$M$28,2,FALSE)),"")</f>
        <v/>
      </c>
      <c r="E26" s="117">
        <f>IF(C26&lt;&gt;"",IF(DAY(EOMONTH(DATE($M$31,$O$31,1),0))=C26,"",C26+1),"")</f>
        <v>26</v>
      </c>
      <c r="F26" s="122" t="str">
        <f>IF(E26&lt;&gt;"",IF(ISNA(VLOOKUP(DATE($M$31,$O$31,E26),'Todo-Holiday-Event'!$L$9:$M$28,2,FALSE)),IF(ISNA(VLOOKUP(DATE($M$31,$O$31,E26),'Todo-Holiday-Event'!$H$9:$I$28,2,FALSE)),"",VLOOKUP(DATE($M$31,$O$31,E26),'Todo-Holiday-Event'!$H$9:$I$28,2,FALSE)),VLOOKUP(DATE($M$31,$O$31,E26),'Todo-Holiday-Event'!$L$9:$M$28,2,FALSE)),"")</f>
        <v/>
      </c>
      <c r="G26" s="117">
        <f>IF(E26&lt;&gt;"",IF(DAY(EOMONTH(DATE($M$31,$O$31,1),0))=E26,"",E26+1),"")</f>
        <v>27</v>
      </c>
      <c r="H26" s="122" t="str">
        <f>IF(G26&lt;&gt;"",IF(ISNA(VLOOKUP(DATE($M$31,$O$31,G26),'Todo-Holiday-Event'!$L$9:$M$28,2,FALSE)),IF(ISNA(VLOOKUP(DATE($M$31,$O$31,G26),'Todo-Holiday-Event'!$H$9:$I$28,2,FALSE)),"",VLOOKUP(DATE($M$31,$O$31,G26),'Todo-Holiday-Event'!$H$9:$I$28,2,FALSE)),VLOOKUP(DATE($M$31,$O$31,G26),'Todo-Holiday-Event'!$L$9:$M$28,2,FALSE)),"")</f>
        <v/>
      </c>
      <c r="I26" s="117">
        <f>IF(G26&lt;&gt;"",IF(DAY(EOMONTH(DATE($M$31,$O$31,1),0))=G26,"",G26+1),"")</f>
        <v>28</v>
      </c>
      <c r="J26" s="122" t="str">
        <f>IF(I26&lt;&gt;"",IF(ISNA(VLOOKUP(DATE($M$31,$O$31,I26),'Todo-Holiday-Event'!$L$9:$M$28,2,FALSE)),IF(ISNA(VLOOKUP(DATE($M$31,$O$31,I26),'Todo-Holiday-Event'!$H$9:$I$28,2,FALSE)),"",VLOOKUP(DATE($M$31,$O$31,I26),'Todo-Holiday-Event'!$H$9:$I$28,2,FALSE)),VLOOKUP(DATE($M$31,$O$31,I26),'Todo-Holiday-Event'!$L$9:$M$28,2,FALSE)),"")</f>
        <v/>
      </c>
      <c r="K26" s="117">
        <f>IF(I26&lt;&gt;"",IF(DAY(EOMONTH(DATE($M$31,$O$31,1),0))=I26,"",I26+1),"")</f>
        <v>29</v>
      </c>
      <c r="L26" s="122" t="str">
        <f>IF(K26&lt;&gt;"",IF(ISNA(VLOOKUP(DATE($M$31,$O$31,K26),'Todo-Holiday-Event'!$L$9:$M$28,2,FALSE)),IF(ISNA(VLOOKUP(DATE($M$31,$O$31,K26),'Todo-Holiday-Event'!$H$9:$I$28,2,FALSE)),"",VLOOKUP(DATE($M$31,$O$31,K26),'Todo-Holiday-Event'!$H$9:$I$28,2,FALSE)),VLOOKUP(DATE($M$31,$O$31,K26),'Todo-Holiday-Event'!$L$9:$M$28,2,FALSE)),"")</f>
        <v/>
      </c>
      <c r="M26" s="117">
        <f>IF(K26&lt;&gt;"",IF(DAY(EOMONTH(DATE($M$31,$O$31,1),0))=K26,"",K26+1),"")</f>
        <v>30</v>
      </c>
      <c r="N26" s="122" t="str">
        <f>IF(M26&lt;&gt;"",IF(ISNA(VLOOKUP(DATE($M$31,$O$31,M26),'Todo-Holiday-Event'!$L$9:$M$28,2,FALSE)),IF(ISNA(VLOOKUP(DATE($M$31,$O$31,M26),'Todo-Holiday-Event'!$H$9:$I$28,2,FALSE)),"",VLOOKUP(DATE($M$31,$O$31,M26),'Todo-Holiday-Event'!$H$9:$I$28,2,FALSE)),VLOOKUP(DATE($M$31,$O$31,M26),'Todo-Holiday-Event'!$L$9:$M$28,2,FALSE)),"")</f>
        <v/>
      </c>
      <c r="O26" s="117">
        <f>IF(M26&lt;&gt;"",IF(DAY(EOMONTH(DATE($M$31,$O$31,1),0))=M26,"",M26+1),"")</f>
        <v>31</v>
      </c>
      <c r="P26" s="122" t="str">
        <f>IF(O26&lt;&gt;"",IF(ISNA(VLOOKUP(DATE($M$31,$O$31,O26),'Todo-Holiday-Event'!$L$9:$M$28,2,FALSE)),IF(ISNA(VLOOKUP(DATE($M$31,$O$31,O26),'Todo-Holiday-Event'!$H$9:$I$28,2,FALSE)),"",VLOOKUP(DATE($M$31,$O$31,O26),'Todo-Holiday-Event'!$H$9:$I$28,2,FALSE)),VLOOKUP(DATE($M$31,$O$31,O26),'Todo-Holiday-Event'!$L$9:$M$28,2,FALSE)),"")</f>
        <v/>
      </c>
      <c r="X26" s="70"/>
    </row>
    <row r="27" spans="1:34" s="76" customFormat="1" ht="15" customHeight="1" x14ac:dyDescent="0.25">
      <c r="A27" s="123"/>
      <c r="C27" s="118" t="str">
        <f>IF(ISERROR('Supporting Calendar'!AB25),"",INDEX('Todo-Holiday-Event'!$D$9:$D$258,'Supporting Calendar'!AB25))</f>
        <v/>
      </c>
      <c r="D27" s="119" t="str">
        <f>IF(ISERROR('Supporting Calendar'!AB25),"",INDEX('Todo-Holiday-Event'!$E$9:$E$258,'Supporting Calendar'!AB25))</f>
        <v/>
      </c>
      <c r="E27" s="118" t="str">
        <f>IF(ISERROR('Supporting Calendar'!AC25),"",INDEX('Todo-Holiday-Event'!$D$9:$D$258,'Supporting Calendar'!AC25))</f>
        <v/>
      </c>
      <c r="F27" s="119" t="str">
        <f>IF(ISERROR('Supporting Calendar'!AC25),"",INDEX('Todo-Holiday-Event'!$E$9:$E$258,'Supporting Calendar'!AC25))</f>
        <v/>
      </c>
      <c r="G27" s="118" t="str">
        <f>IF(ISERROR('Supporting Calendar'!AD25),"",INDEX('Todo-Holiday-Event'!$D$9:$D$258,'Supporting Calendar'!AD25))</f>
        <v/>
      </c>
      <c r="H27" s="119" t="str">
        <f>IF(ISERROR('Supporting Calendar'!AD25),"",INDEX('Todo-Holiday-Event'!$E$9:$E$258,'Supporting Calendar'!AD25))</f>
        <v/>
      </c>
      <c r="I27" s="118" t="str">
        <f>IF(ISERROR('Supporting Calendar'!AE25),"",INDEX('Todo-Holiday-Event'!$D$9:$D$258,'Supporting Calendar'!AE25))</f>
        <v/>
      </c>
      <c r="J27" s="119" t="str">
        <f>IF(ISERROR('Supporting Calendar'!AE25),"",INDEX('Todo-Holiday-Event'!$E$9:$E$258,'Supporting Calendar'!AE25))</f>
        <v/>
      </c>
      <c r="K27" s="118" t="str">
        <f>IF(ISERROR('Supporting Calendar'!AF25),"",INDEX('Todo-Holiday-Event'!$D$9:$D$258,'Supporting Calendar'!AF25))</f>
        <v/>
      </c>
      <c r="L27" s="119" t="str">
        <f>IF(ISERROR('Supporting Calendar'!AF25),"",INDEX('Todo-Holiday-Event'!$E$9:$E$258,'Supporting Calendar'!AF25))</f>
        <v/>
      </c>
      <c r="M27" s="118" t="str">
        <f>IF(ISERROR('Supporting Calendar'!AG25),"",INDEX('Todo-Holiday-Event'!$D$9:$D$258,'Supporting Calendar'!AG25))</f>
        <v/>
      </c>
      <c r="N27" s="119" t="str">
        <f>IF(ISERROR('Supporting Calendar'!AG25),"",INDEX('Todo-Holiday-Event'!$E$9:$E$258,'Supporting Calendar'!AG25))</f>
        <v/>
      </c>
      <c r="O27" s="118" t="str">
        <f>IF(ISERROR('Supporting Calendar'!AH25),"",INDEX('Todo-Holiday-Event'!$D$9:$D$258,'Supporting Calendar'!AH25))</f>
        <v/>
      </c>
      <c r="P27" s="119" t="str">
        <f>IF(ISERROR('Supporting Calendar'!AH25),"",INDEX('Todo-Holiday-Event'!$E$9:$E$258,'Supporting Calendar'!AH25))</f>
        <v/>
      </c>
      <c r="X27" s="77"/>
    </row>
    <row r="28" spans="1:34" s="76" customFormat="1" ht="15" customHeight="1" x14ac:dyDescent="0.25">
      <c r="A28" s="123"/>
      <c r="C28" s="118" t="str">
        <f ca="1">IF(ISERROR('Supporting Calendar'!AB26),"",INDEX('Todo-Holiday-Event'!$D$9:$D$258,'Supporting Calendar'!AB26))</f>
        <v/>
      </c>
      <c r="D28" s="119" t="str">
        <f ca="1">IF(ISERROR('Supporting Calendar'!AB26),"",INDEX('Todo-Holiday-Event'!$E$9:$E$258,'Supporting Calendar'!AB26))</f>
        <v/>
      </c>
      <c r="E28" s="118" t="str">
        <f ca="1">IF(ISERROR('Supporting Calendar'!AC26),"",INDEX('Todo-Holiday-Event'!$D$9:$D$258,'Supporting Calendar'!AC26))</f>
        <v/>
      </c>
      <c r="F28" s="119" t="str">
        <f ca="1">IF(ISERROR('Supporting Calendar'!AC26),"",INDEX('Todo-Holiday-Event'!$E$9:$E$258,'Supporting Calendar'!AC26))</f>
        <v/>
      </c>
      <c r="G28" s="118" t="str">
        <f ca="1">IF(ISERROR('Supporting Calendar'!AD26),"",INDEX('Todo-Holiday-Event'!$D$9:$D$258,'Supporting Calendar'!AD26))</f>
        <v/>
      </c>
      <c r="H28" s="119" t="str">
        <f ca="1">IF(ISERROR('Supporting Calendar'!AD26),"",INDEX('Todo-Holiday-Event'!$E$9:$E$258,'Supporting Calendar'!AD26))</f>
        <v/>
      </c>
      <c r="I28" s="118" t="str">
        <f ca="1">IF(ISERROR('Supporting Calendar'!AE26),"",INDEX('Todo-Holiday-Event'!$D$9:$D$258,'Supporting Calendar'!AE26))</f>
        <v/>
      </c>
      <c r="J28" s="119" t="str">
        <f ca="1">IF(ISERROR('Supporting Calendar'!AE26),"",INDEX('Todo-Holiday-Event'!$E$9:$E$258,'Supporting Calendar'!AE26))</f>
        <v/>
      </c>
      <c r="K28" s="118" t="str">
        <f ca="1">IF(ISERROR('Supporting Calendar'!AF26),"",INDEX('Todo-Holiday-Event'!$D$9:$D$258,'Supporting Calendar'!AF26))</f>
        <v/>
      </c>
      <c r="L28" s="119" t="str">
        <f ca="1">IF(ISERROR('Supporting Calendar'!AF26),"",INDEX('Todo-Holiday-Event'!$E$9:$E$258,'Supporting Calendar'!AF26))</f>
        <v/>
      </c>
      <c r="M28" s="118" t="str">
        <f ca="1">IF(ISERROR('Supporting Calendar'!AG26),"",INDEX('Todo-Holiday-Event'!$D$9:$D$258,'Supporting Calendar'!AG26))</f>
        <v/>
      </c>
      <c r="N28" s="119" t="str">
        <f ca="1">IF(ISERROR('Supporting Calendar'!AG26),"",INDEX('Todo-Holiday-Event'!$E$9:$E$258,'Supporting Calendar'!AG26))</f>
        <v/>
      </c>
      <c r="O28" s="118" t="str">
        <f ca="1">IF(ISERROR('Supporting Calendar'!AH26),"",INDEX('Todo-Holiday-Event'!$D$9:$D$258,'Supporting Calendar'!AH26))</f>
        <v/>
      </c>
      <c r="P28" s="119" t="str">
        <f ca="1">IF(ISERROR('Supporting Calendar'!AH26),"",INDEX('Todo-Holiday-Event'!$E$9:$E$258,'Supporting Calendar'!AH26))</f>
        <v/>
      </c>
      <c r="X28" s="77"/>
    </row>
    <row r="29" spans="1:34" s="76" customFormat="1" ht="15" customHeight="1" x14ac:dyDescent="0.25">
      <c r="A29" s="123"/>
      <c r="C29" s="118" t="str">
        <f ca="1">IF(ISERROR('Supporting Calendar'!AB27),"",INDEX('Todo-Holiday-Event'!$D$9:$D$258,'Supporting Calendar'!AB27))</f>
        <v/>
      </c>
      <c r="D29" s="119" t="str">
        <f ca="1">IF(ISERROR('Supporting Calendar'!AB27),"",INDEX('Todo-Holiday-Event'!$E$9:$E$258,'Supporting Calendar'!AB27))</f>
        <v/>
      </c>
      <c r="E29" s="118" t="str">
        <f ca="1">IF(ISERROR('Supporting Calendar'!AC27),"",INDEX('Todo-Holiday-Event'!$D$9:$D$258,'Supporting Calendar'!AC27))</f>
        <v/>
      </c>
      <c r="F29" s="119" t="str">
        <f ca="1">IF(ISERROR('Supporting Calendar'!AC27),"",INDEX('Todo-Holiday-Event'!$E$9:$E$258,'Supporting Calendar'!AC27))</f>
        <v/>
      </c>
      <c r="G29" s="118" t="str">
        <f ca="1">IF(ISERROR('Supporting Calendar'!AD27),"",INDEX('Todo-Holiday-Event'!$D$9:$D$258,'Supporting Calendar'!AD27))</f>
        <v/>
      </c>
      <c r="H29" s="119" t="str">
        <f ca="1">IF(ISERROR('Supporting Calendar'!AD27),"",INDEX('Todo-Holiday-Event'!$E$9:$E$258,'Supporting Calendar'!AD27))</f>
        <v/>
      </c>
      <c r="I29" s="118" t="str">
        <f ca="1">IF(ISERROR('Supporting Calendar'!AE27),"",INDEX('Todo-Holiday-Event'!$D$9:$D$258,'Supporting Calendar'!AE27))</f>
        <v/>
      </c>
      <c r="J29" s="119" t="str">
        <f ca="1">IF(ISERROR('Supporting Calendar'!AE27),"",INDEX('Todo-Holiday-Event'!$E$9:$E$258,'Supporting Calendar'!AE27))</f>
        <v/>
      </c>
      <c r="K29" s="118" t="str">
        <f ca="1">IF(ISERROR('Supporting Calendar'!AF27),"",INDEX('Todo-Holiday-Event'!$D$9:$D$258,'Supporting Calendar'!AF27))</f>
        <v/>
      </c>
      <c r="L29" s="119" t="str">
        <f ca="1">IF(ISERROR('Supporting Calendar'!AF27),"",INDEX('Todo-Holiday-Event'!$E$9:$E$258,'Supporting Calendar'!AF27))</f>
        <v/>
      </c>
      <c r="M29" s="118" t="str">
        <f ca="1">IF(ISERROR('Supporting Calendar'!AG27),"",INDEX('Todo-Holiday-Event'!$D$9:$D$258,'Supporting Calendar'!AG27))</f>
        <v/>
      </c>
      <c r="N29" s="119" t="str">
        <f ca="1">IF(ISERROR('Supporting Calendar'!AG27),"",INDEX('Todo-Holiday-Event'!$E$9:$E$258,'Supporting Calendar'!AG27))</f>
        <v/>
      </c>
      <c r="O29" s="118" t="str">
        <f ca="1">IF(ISERROR('Supporting Calendar'!AH27),"",INDEX('Todo-Holiday-Event'!$D$9:$D$258,'Supporting Calendar'!AH27))</f>
        <v/>
      </c>
      <c r="P29" s="119" t="str">
        <f ca="1">IF(ISERROR('Supporting Calendar'!AH27),"",INDEX('Todo-Holiday-Event'!$E$9:$E$258,'Supporting Calendar'!AH27))</f>
        <v/>
      </c>
      <c r="X29" s="77"/>
    </row>
    <row r="30" spans="1:34" s="76" customFormat="1" ht="15" customHeight="1" x14ac:dyDescent="0.25">
      <c r="A30" s="123"/>
      <c r="C30" s="120" t="str">
        <f ca="1">IF(ISERROR('Supporting Calendar'!AB28),"",INDEX('Todo-Holiday-Event'!$D$9:$D$258,'Supporting Calendar'!AB28))</f>
        <v/>
      </c>
      <c r="D30" s="121" t="str">
        <f ca="1">IF(ISERROR('Supporting Calendar'!AB28),"",INDEX('Todo-Holiday-Event'!$E$9:$E$258,'Supporting Calendar'!AB28))</f>
        <v/>
      </c>
      <c r="E30" s="120" t="str">
        <f ca="1">IF(ISERROR('Supporting Calendar'!AC28),"",INDEX('Todo-Holiday-Event'!$D$9:$D$258,'Supporting Calendar'!AC28))</f>
        <v/>
      </c>
      <c r="F30" s="121" t="str">
        <f ca="1">IF(ISERROR('Supporting Calendar'!AC28),"",INDEX('Todo-Holiday-Event'!$E$9:$E$258,'Supporting Calendar'!AC28))</f>
        <v/>
      </c>
      <c r="G30" s="120" t="str">
        <f ca="1">IF(ISERROR('Supporting Calendar'!AD28),"",INDEX('Todo-Holiday-Event'!$D$9:$D$258,'Supporting Calendar'!AD28))</f>
        <v/>
      </c>
      <c r="H30" s="121" t="str">
        <f ca="1">IF(ISERROR('Supporting Calendar'!AD28),"",INDEX('Todo-Holiday-Event'!$E$9:$E$258,'Supporting Calendar'!AD28))</f>
        <v/>
      </c>
      <c r="I30" s="120" t="str">
        <f ca="1">IF(ISERROR('Supporting Calendar'!AE28),"",INDEX('Todo-Holiday-Event'!$D$9:$D$258,'Supporting Calendar'!AE28))</f>
        <v/>
      </c>
      <c r="J30" s="121" t="str">
        <f ca="1">IF(ISERROR('Supporting Calendar'!AE28),"",INDEX('Todo-Holiday-Event'!$E$9:$E$258,'Supporting Calendar'!AE28))</f>
        <v/>
      </c>
      <c r="K30" s="120" t="str">
        <f ca="1">IF(ISERROR('Supporting Calendar'!AF28),"",INDEX('Todo-Holiday-Event'!$D$9:$D$258,'Supporting Calendar'!AF28))</f>
        <v/>
      </c>
      <c r="L30" s="121" t="str">
        <f ca="1">IF(ISERROR('Supporting Calendar'!AF28),"",INDEX('Todo-Holiday-Event'!$E$9:$E$258,'Supporting Calendar'!AF28))</f>
        <v/>
      </c>
      <c r="M30" s="120" t="str">
        <f ca="1">IF(ISERROR('Supporting Calendar'!AG28),"",INDEX('Todo-Holiday-Event'!$D$9:$D$258,'Supporting Calendar'!AG28))</f>
        <v/>
      </c>
      <c r="N30" s="121" t="str">
        <f ca="1">IF(ISERROR('Supporting Calendar'!AG28),"",INDEX('Todo-Holiday-Event'!$E$9:$E$258,'Supporting Calendar'!AG28))</f>
        <v/>
      </c>
      <c r="O30" s="120" t="str">
        <f ca="1">IF(ISERROR('Supporting Calendar'!AH28),"",INDEX('Todo-Holiday-Event'!$D$9:$D$258,'Supporting Calendar'!AH28))</f>
        <v/>
      </c>
      <c r="P30" s="121" t="str">
        <f ca="1">IF(ISERROR('Supporting Calendar'!AH28),"",INDEX('Todo-Holiday-Event'!$E$9:$E$258,'Supporting Calendar'!AH28))</f>
        <v/>
      </c>
      <c r="X30" s="77"/>
    </row>
    <row r="31" spans="1:34" s="13" customFormat="1" ht="15" customHeight="1" x14ac:dyDescent="0.25">
      <c r="A31" s="123"/>
      <c r="C31" s="117" t="str">
        <f>IF(O26&lt;&gt;"",IF(DAY(EOMONTH(DATE($M$31,$O$31,1),0))=O26,"",O26+1),"")</f>
        <v/>
      </c>
      <c r="D31" s="122" t="str">
        <f>IF(C31&lt;&gt;"",IF(ISNA(VLOOKUP(DATE($M$31,$O$31,C31),'Todo-Holiday-Event'!$L$9:$M$28,2,FALSE)),IF(ISNA(VLOOKUP(DATE($M$31,$O$31,C31),'Todo-Holiday-Event'!$H$9:$I$28,2,FALSE)),"",VLOOKUP(DATE($M$31,$O$31,C31),'Todo-Holiday-Event'!$H$9:$I$28,2,FALSE)),VLOOKUP(DATE($M$31,$O$31,C31),'Todo-Holiday-Event'!$L$9:$M$28,2,FALSE)),"")</f>
        <v/>
      </c>
      <c r="E31" s="117" t="str">
        <f>IF(C31&lt;&gt;"",IF(DAY(EOMONTH(DATE($M$31,$O$31,1),0))=C31,"",C31+1),"")</f>
        <v/>
      </c>
      <c r="F31" s="122" t="str">
        <f>IF(E31&lt;&gt;"",IF(ISNA(VLOOKUP(DATE($M$31,$O$31,E31),'Todo-Holiday-Event'!$L$9:$M$28,2,FALSE)),IF(ISNA(VLOOKUP(DATE($M$31,$O$31,E31),'Todo-Holiday-Event'!$H$9:$I$28,2,FALSE)),"",VLOOKUP(DATE($M$31,$O$31,E31),'Todo-Holiday-Event'!$H$9:$I$28,2,FALSE)),VLOOKUP(DATE($M$31,$O$31,E31),'Todo-Holiday-Event'!$L$9:$M$28,2,FALSE)),"")</f>
        <v/>
      </c>
      <c r="G31" s="194" t="s">
        <v>25</v>
      </c>
      <c r="H31" s="136"/>
      <c r="I31" s="137"/>
      <c r="J31" s="138"/>
      <c r="K31" s="139"/>
      <c r="L31" s="138"/>
      <c r="M31" s="129">
        <f>IF(O33+O32&gt;24,M33+2,IF(O33+O32&gt;12,M33+1,M33))</f>
        <v>2019</v>
      </c>
      <c r="N31" s="130"/>
      <c r="O31" s="129">
        <f>IF(O33+O32&gt;24,O33+O32-24,IF(O33+O32&gt;12,O33+O32-12,O33+O32))</f>
        <v>8</v>
      </c>
      <c r="P31" s="131"/>
      <c r="X31" s="70"/>
    </row>
    <row r="32" spans="1:34" s="76" customFormat="1" ht="15" customHeight="1" x14ac:dyDescent="0.25">
      <c r="A32" s="123"/>
      <c r="C32" s="118" t="str">
        <f>IF(ISERROR('Supporting Calendar'!AB31),"",INDEX('Todo-Holiday-Event'!$D$9:$D$258,'Supporting Calendar'!AB31))</f>
        <v/>
      </c>
      <c r="D32" s="119" t="str">
        <f>IF(ISERROR('Supporting Calendar'!AB31),"",INDEX('Todo-Holiday-Event'!$E$9:$E$258,'Supporting Calendar'!AB31))</f>
        <v/>
      </c>
      <c r="E32" s="118" t="str">
        <f>IF(ISERROR('Supporting Calendar'!AC31),"",INDEX('Todo-Holiday-Event'!$D$9:$D$258,'Supporting Calendar'!AC31))</f>
        <v/>
      </c>
      <c r="F32" s="119" t="str">
        <f>IF(ISERROR('Supporting Calendar'!AC31),"",INDEX('Todo-Holiday-Event'!$E$9:$E$258,'Supporting Calendar'!AC31))</f>
        <v/>
      </c>
      <c r="G32" s="140"/>
      <c r="H32" s="141"/>
      <c r="I32" s="141"/>
      <c r="J32" s="141"/>
      <c r="K32" s="141"/>
      <c r="L32" s="141"/>
      <c r="M32" s="132"/>
      <c r="N32" s="132"/>
      <c r="O32" s="133">
        <f>'Layout 1'!O32</f>
        <v>6</v>
      </c>
      <c r="P32" s="134"/>
      <c r="X32" s="77"/>
    </row>
    <row r="33" spans="1:32" s="76" customFormat="1" ht="15" customHeight="1" x14ac:dyDescent="0.25">
      <c r="A33" s="123"/>
      <c r="C33" s="118" t="str">
        <f ca="1">IF(ISERROR('Supporting Calendar'!AB32),"",INDEX('Todo-Holiday-Event'!$D$9:$D$258,'Supporting Calendar'!AB32))</f>
        <v/>
      </c>
      <c r="D33" s="119" t="str">
        <f ca="1">IF(ISERROR('Supporting Calendar'!AB32),"",INDEX('Todo-Holiday-Event'!$E$9:$E$258,'Supporting Calendar'!AB32))</f>
        <v/>
      </c>
      <c r="E33" s="118" t="str">
        <f ca="1">IF(ISERROR('Supporting Calendar'!AC32),"",INDEX('Todo-Holiday-Event'!$D$9:$D$258,'Supporting Calendar'!AC32))</f>
        <v/>
      </c>
      <c r="F33" s="119" t="str">
        <f ca="1">IF(ISERROR('Supporting Calendar'!AC32),"",INDEX('Todo-Holiday-Event'!$E$9:$E$258,'Supporting Calendar'!AC32))</f>
        <v/>
      </c>
      <c r="G33" s="140"/>
      <c r="H33" s="141"/>
      <c r="I33" s="141"/>
      <c r="J33" s="141"/>
      <c r="K33" s="141"/>
      <c r="L33" s="141"/>
      <c r="M33" s="135">
        <f>'Todo-Holiday-Event'!E6</f>
        <v>2019</v>
      </c>
      <c r="N33" s="132"/>
      <c r="O33" s="135">
        <f>INDEX(MonthRef,MATCH(StartMonth,Months,0),0)</f>
        <v>2</v>
      </c>
      <c r="P33" s="134"/>
      <c r="X33" s="77"/>
    </row>
    <row r="34" spans="1:32" s="76" customFormat="1" ht="15" customHeight="1" x14ac:dyDescent="0.25">
      <c r="A34" s="123"/>
      <c r="C34" s="118" t="str">
        <f ca="1">IF(ISERROR('Supporting Calendar'!AB33),"",INDEX('Todo-Holiday-Event'!$D$9:$D$258,'Supporting Calendar'!AB33))</f>
        <v/>
      </c>
      <c r="D34" s="119" t="str">
        <f ca="1">IF(ISERROR('Supporting Calendar'!AB33),"",INDEX('Todo-Holiday-Event'!$E$9:$E$258,'Supporting Calendar'!AB33))</f>
        <v/>
      </c>
      <c r="E34" s="118" t="str">
        <f ca="1">IF(ISERROR('Supporting Calendar'!AC33),"",INDEX('Todo-Holiday-Event'!$D$9:$D$258,'Supporting Calendar'!AC33))</f>
        <v/>
      </c>
      <c r="F34" s="119" t="str">
        <f ca="1">IF(ISERROR('Supporting Calendar'!AC33),"",INDEX('Todo-Holiday-Event'!$E$9:$E$258,'Supporting Calendar'!AC33))</f>
        <v/>
      </c>
      <c r="G34" s="140"/>
      <c r="H34" s="141"/>
      <c r="I34" s="141"/>
      <c r="J34" s="141"/>
      <c r="K34" s="141"/>
      <c r="L34" s="141"/>
      <c r="M34" s="132"/>
      <c r="N34" s="132"/>
      <c r="O34" s="132"/>
      <c r="P34" s="134"/>
      <c r="X34" s="77"/>
    </row>
    <row r="35" spans="1:32" s="76" customFormat="1" ht="15" customHeight="1" x14ac:dyDescent="0.25">
      <c r="A35" s="123"/>
      <c r="C35" s="120" t="str">
        <f ca="1">IF(ISERROR('Supporting Calendar'!AB34),"",INDEX('Todo-Holiday-Event'!$D$9:$D$258,'Supporting Calendar'!AB34))</f>
        <v/>
      </c>
      <c r="D35" s="121" t="str">
        <f ca="1">IF(ISERROR('Supporting Calendar'!AB34),"",INDEX('Todo-Holiday-Event'!$E$9:$E$258,'Supporting Calendar'!AB34))</f>
        <v/>
      </c>
      <c r="E35" s="120" t="str">
        <f ca="1">IF(ISERROR('Supporting Calendar'!AC34),"",INDEX('Todo-Holiday-Event'!$D$9:$D$258,'Supporting Calendar'!AC34))</f>
        <v/>
      </c>
      <c r="F35" s="121" t="str">
        <f ca="1">IF(ISERROR('Supporting Calendar'!AC34),"",INDEX('Todo-Holiday-Event'!$E$9:$E$258,'Supporting Calendar'!AC34))</f>
        <v/>
      </c>
      <c r="G35" s="140"/>
      <c r="H35" s="141"/>
      <c r="I35" s="141"/>
      <c r="J35" s="141"/>
      <c r="K35" s="141"/>
      <c r="L35" s="141"/>
      <c r="M35" s="132"/>
      <c r="N35" s="132"/>
      <c r="O35" s="132"/>
      <c r="P35" s="134"/>
      <c r="X35" s="77"/>
    </row>
    <row r="36" spans="1:32" ht="19.5" customHeight="1" x14ac:dyDescent="0.3">
      <c r="A36" s="124"/>
      <c r="C36" s="82" t="s">
        <v>62</v>
      </c>
    </row>
    <row r="37" spans="1:32" s="59" customFormat="1" ht="30" hidden="1" customHeight="1" x14ac:dyDescent="0.3">
      <c r="D37" s="81"/>
      <c r="F37" s="81"/>
      <c r="H37" s="81"/>
      <c r="J37" s="81"/>
      <c r="L37" s="81"/>
      <c r="N37" s="81"/>
      <c r="P37" s="81"/>
      <c r="Q37" s="57"/>
      <c r="R37" s="57"/>
      <c r="S37" s="57"/>
      <c r="T37" s="57"/>
      <c r="U37" s="57"/>
      <c r="V37" s="57"/>
      <c r="W37" s="57"/>
      <c r="X37" s="58"/>
      <c r="Z37" s="60"/>
      <c r="AA37" s="60"/>
      <c r="AB37" s="60"/>
      <c r="AC37" s="60"/>
      <c r="AD37" s="60"/>
      <c r="AE37" s="60"/>
      <c r="AF37" s="60"/>
    </row>
    <row r="38" spans="1:32" s="59" customFormat="1" ht="30" hidden="1" customHeight="1" x14ac:dyDescent="0.3">
      <c r="D38" s="81"/>
      <c r="F38" s="81"/>
      <c r="H38" s="81"/>
      <c r="J38" s="81"/>
      <c r="L38" s="81"/>
      <c r="N38" s="81"/>
      <c r="P38" s="81"/>
      <c r="Q38" s="57"/>
      <c r="R38" s="57"/>
      <c r="S38" s="57"/>
      <c r="T38" s="57"/>
      <c r="U38" s="57"/>
      <c r="V38" s="57"/>
      <c r="W38" s="57"/>
      <c r="X38" s="58"/>
      <c r="Z38" s="60"/>
      <c r="AA38" s="60"/>
      <c r="AB38" s="60"/>
      <c r="AC38" s="60"/>
      <c r="AD38" s="60"/>
      <c r="AE38" s="60"/>
      <c r="AF38" s="60"/>
    </row>
    <row r="39" spans="1:32" s="59" customFormat="1" ht="30" hidden="1" customHeight="1" x14ac:dyDescent="0.3">
      <c r="D39" s="81"/>
      <c r="F39" s="81"/>
      <c r="H39" s="81"/>
      <c r="J39" s="81"/>
      <c r="L39" s="81"/>
      <c r="N39" s="81"/>
      <c r="P39" s="81"/>
      <c r="Q39" s="57"/>
      <c r="R39" s="57"/>
      <c r="S39" s="57"/>
      <c r="T39" s="57"/>
      <c r="U39" s="57"/>
      <c r="V39" s="57"/>
      <c r="W39" s="57"/>
      <c r="X39" s="58"/>
      <c r="Z39" s="60"/>
      <c r="AA39" s="60"/>
      <c r="AB39" s="60"/>
      <c r="AC39" s="60"/>
      <c r="AD39" s="60"/>
      <c r="AE39" s="60"/>
      <c r="AF39" s="60"/>
    </row>
    <row r="40" spans="1:32" s="59" customFormat="1" ht="30" hidden="1" customHeight="1" x14ac:dyDescent="0.3">
      <c r="D40" s="81"/>
      <c r="F40" s="81"/>
      <c r="H40" s="81"/>
      <c r="J40" s="81"/>
      <c r="L40" s="81"/>
      <c r="N40" s="81"/>
      <c r="P40" s="81"/>
      <c r="Q40" s="57"/>
      <c r="R40" s="57"/>
      <c r="S40" s="57"/>
      <c r="T40" s="57"/>
      <c r="U40" s="57"/>
      <c r="V40" s="57"/>
      <c r="W40" s="57"/>
      <c r="X40" s="58"/>
      <c r="Z40" s="60"/>
      <c r="AA40" s="60"/>
      <c r="AB40" s="60"/>
      <c r="AC40" s="60"/>
      <c r="AD40" s="60"/>
      <c r="AE40" s="60"/>
      <c r="AF40" s="60"/>
    </row>
    <row r="41" spans="1:32" s="59" customFormat="1" ht="30" hidden="1" customHeight="1" x14ac:dyDescent="0.3">
      <c r="D41" s="81"/>
      <c r="F41" s="81"/>
      <c r="H41" s="81"/>
      <c r="J41" s="81"/>
      <c r="L41" s="81"/>
      <c r="N41" s="81"/>
      <c r="P41" s="81"/>
      <c r="Q41" s="57"/>
      <c r="R41" s="57"/>
      <c r="S41" s="57"/>
      <c r="T41" s="57"/>
      <c r="U41" s="57"/>
      <c r="V41" s="57"/>
      <c r="W41" s="57"/>
      <c r="X41" s="58"/>
      <c r="Z41" s="60"/>
      <c r="AA41" s="60"/>
      <c r="AB41" s="60"/>
      <c r="AC41" s="60"/>
      <c r="AD41" s="60"/>
      <c r="AE41" s="60"/>
      <c r="AF41" s="60"/>
    </row>
    <row r="42" spans="1:32" s="59" customFormat="1" ht="30" hidden="1" customHeight="1" x14ac:dyDescent="0.3">
      <c r="D42" s="81"/>
      <c r="F42" s="81"/>
      <c r="H42" s="81"/>
      <c r="J42" s="81"/>
      <c r="L42" s="81"/>
      <c r="N42" s="81"/>
      <c r="P42" s="81"/>
      <c r="Q42" s="57"/>
      <c r="R42" s="57"/>
      <c r="S42" s="57"/>
      <c r="T42" s="57"/>
      <c r="U42" s="57"/>
      <c r="V42" s="57"/>
      <c r="W42" s="57"/>
      <c r="X42" s="58"/>
      <c r="Z42" s="60"/>
      <c r="AA42" s="60"/>
      <c r="AB42" s="60"/>
      <c r="AC42" s="60"/>
      <c r="AD42" s="60"/>
      <c r="AE42" s="60"/>
      <c r="AF42" s="60"/>
    </row>
    <row r="43" spans="1:32" s="59" customFormat="1" ht="30" hidden="1" customHeight="1" x14ac:dyDescent="0.3">
      <c r="D43" s="81"/>
      <c r="F43" s="81"/>
      <c r="H43" s="81"/>
      <c r="J43" s="81"/>
      <c r="L43" s="81"/>
      <c r="N43" s="81"/>
      <c r="P43" s="81"/>
      <c r="Q43" s="57"/>
      <c r="R43" s="57"/>
      <c r="S43" s="57"/>
      <c r="T43" s="57"/>
      <c r="U43" s="57"/>
      <c r="V43" s="57"/>
      <c r="W43" s="57"/>
      <c r="X43" s="58"/>
      <c r="Z43" s="60"/>
      <c r="AA43" s="60"/>
      <c r="AB43" s="60"/>
      <c r="AC43" s="60"/>
      <c r="AD43" s="60"/>
      <c r="AE43" s="60"/>
      <c r="AF43" s="60"/>
    </row>
    <row r="44" spans="1:32" s="59" customFormat="1" ht="17.25" hidden="1" customHeight="1" x14ac:dyDescent="0.3">
      <c r="D44" s="81"/>
      <c r="F44" s="81"/>
      <c r="H44" s="81"/>
      <c r="J44" s="81"/>
      <c r="L44" s="81"/>
      <c r="N44" s="81"/>
      <c r="P44" s="81"/>
      <c r="Q44" s="57"/>
      <c r="R44" s="57"/>
      <c r="S44" s="57"/>
      <c r="T44" s="57"/>
      <c r="U44" s="57"/>
      <c r="V44" s="57"/>
      <c r="W44" s="57"/>
      <c r="X44" s="58"/>
      <c r="Z44" s="60"/>
      <c r="AA44" s="60"/>
      <c r="AB44" s="60"/>
      <c r="AC44" s="60"/>
      <c r="AD44" s="60"/>
      <c r="AE44" s="60"/>
      <c r="AF44" s="60"/>
    </row>
    <row r="45" spans="1:32" ht="17.25" hidden="1" customHeight="1" x14ac:dyDescent="0.3"/>
    <row r="46" spans="1:32" ht="17.25" hidden="1" customHeight="1" x14ac:dyDescent="0.3"/>
    <row r="47" spans="1:32" ht="17.25" hidden="1" customHeight="1" x14ac:dyDescent="0.3"/>
    <row r="48" spans="1:32" ht="17.25" hidden="1" customHeight="1" x14ac:dyDescent="0.3"/>
    <row r="49" ht="17.25" hidden="1" customHeight="1" x14ac:dyDescent="0.3"/>
    <row r="50" ht="17.25" hidden="1" customHeight="1" x14ac:dyDescent="0.3"/>
    <row r="51" ht="17.25" hidden="1" customHeight="1" x14ac:dyDescent="0.3"/>
    <row r="52" ht="17.25" hidden="1" customHeight="1" x14ac:dyDescent="0.3"/>
    <row r="53" ht="17.25" hidden="1" customHeight="1" x14ac:dyDescent="0.3"/>
    <row r="54" ht="17.25" hidden="1" customHeight="1" x14ac:dyDescent="0.3"/>
    <row r="55" ht="17.25" hidden="1" customHeight="1" x14ac:dyDescent="0.3"/>
    <row r="56" ht="17.25" hidden="1" customHeight="1" x14ac:dyDescent="0.3"/>
    <row r="57" ht="17.25" hidden="1" customHeight="1" x14ac:dyDescent="0.3"/>
    <row r="58" ht="17.25" hidden="1" customHeight="1" x14ac:dyDescent="0.3"/>
    <row r="59" ht="17.25" hidden="1" customHeight="1" x14ac:dyDescent="0.3"/>
    <row r="60" ht="17.25" hidden="1" customHeight="1" x14ac:dyDescent="0.3"/>
    <row r="61" ht="17.25" hidden="1" customHeight="1" x14ac:dyDescent="0.3"/>
    <row r="62" ht="17.25" hidden="1" customHeight="1" x14ac:dyDescent="0.3"/>
    <row r="63" ht="17.25" hidden="1" customHeight="1" x14ac:dyDescent="0.3"/>
    <row r="64" ht="17.25" hidden="1" customHeight="1" x14ac:dyDescent="0.3"/>
    <row r="65" ht="17.25" hidden="1" customHeight="1" x14ac:dyDescent="0.3"/>
    <row r="66" ht="17.25" hidden="1" customHeight="1" x14ac:dyDescent="0.3"/>
    <row r="67" ht="17.25" hidden="1" customHeight="1" x14ac:dyDescent="0.3"/>
    <row r="68" ht="17.25" hidden="1" customHeight="1" x14ac:dyDescent="0.3"/>
    <row r="69" ht="17.25" hidden="1" customHeight="1" x14ac:dyDescent="0.3"/>
    <row r="70" ht="17.25" hidden="1" customHeight="1" x14ac:dyDescent="0.3"/>
    <row r="71" ht="17.25" hidden="1" customHeight="1" x14ac:dyDescent="0.3"/>
    <row r="72" ht="17.25" hidden="1" customHeight="1" x14ac:dyDescent="0.3"/>
    <row r="73" ht="17.25" hidden="1" customHeight="1" x14ac:dyDescent="0.3"/>
    <row r="74" ht="17.25" hidden="1" customHeight="1" x14ac:dyDescent="0.3"/>
    <row r="75" ht="17.25" hidden="1" customHeight="1" x14ac:dyDescent="0.3"/>
    <row r="76" ht="17.25" hidden="1" customHeight="1" x14ac:dyDescent="0.3"/>
    <row r="77" ht="17.25" hidden="1" customHeight="1" x14ac:dyDescent="0.3"/>
    <row r="78" ht="17.25" hidden="1" customHeight="1" x14ac:dyDescent="0.3"/>
    <row r="79" ht="17.25" hidden="1" customHeight="1" x14ac:dyDescent="0.3"/>
    <row r="80" ht="17.25" hidden="1" customHeight="1" x14ac:dyDescent="0.3"/>
    <row r="81" ht="17.25" hidden="1" customHeight="1" x14ac:dyDescent="0.3"/>
    <row r="82" ht="17.25" hidden="1" customHeight="1" x14ac:dyDescent="0.3"/>
    <row r="83" ht="17.25" hidden="1" customHeight="1" x14ac:dyDescent="0.3"/>
    <row r="84" ht="17.25" hidden="1" customHeight="1" x14ac:dyDescent="0.3"/>
    <row r="85" ht="17.25" hidden="1" customHeight="1" x14ac:dyDescent="0.3"/>
    <row r="86" ht="17.25" hidden="1" customHeight="1" x14ac:dyDescent="0.3"/>
    <row r="87" ht="17.25" hidden="1" customHeight="1" x14ac:dyDescent="0.3"/>
    <row r="88" ht="17.25" hidden="1" customHeight="1" x14ac:dyDescent="0.3"/>
    <row r="89" ht="17.25" hidden="1" customHeight="1" x14ac:dyDescent="0.3"/>
    <row r="90" ht="17.25" hidden="1" customHeight="1" x14ac:dyDescent="0.3"/>
    <row r="91" ht="17.25" hidden="1" customHeight="1" x14ac:dyDescent="0.3"/>
    <row r="92" ht="17.25" hidden="1" customHeight="1" x14ac:dyDescent="0.3"/>
    <row r="93" ht="17.25" hidden="1" customHeight="1" x14ac:dyDescent="0.3"/>
    <row r="94" ht="17.25" hidden="1" customHeight="1" x14ac:dyDescent="0.3"/>
    <row r="95" ht="17.25" hidden="1" customHeight="1" x14ac:dyDescent="0.3"/>
    <row r="96" ht="17.25" hidden="1" customHeight="1" x14ac:dyDescent="0.3"/>
    <row r="97" ht="17.25" hidden="1" customHeight="1" x14ac:dyDescent="0.3"/>
    <row r="98" ht="17.25" hidden="1" customHeight="1" x14ac:dyDescent="0.3"/>
    <row r="99" ht="17.25" hidden="1" customHeight="1" x14ac:dyDescent="0.3"/>
    <row r="100" ht="17.25" hidden="1" customHeight="1" x14ac:dyDescent="0.3"/>
    <row r="101" ht="17.25" hidden="1" customHeight="1" x14ac:dyDescent="0.3"/>
    <row r="102" ht="17.25" hidden="1" customHeight="1" x14ac:dyDescent="0.3"/>
    <row r="103" ht="17.25" hidden="1" customHeight="1" x14ac:dyDescent="0.3"/>
    <row r="104" ht="17.25" hidden="1" customHeight="1" x14ac:dyDescent="0.3"/>
    <row r="105" ht="17.25" hidden="1" customHeight="1" x14ac:dyDescent="0.3"/>
    <row r="106" ht="17.25" hidden="1" customHeight="1" x14ac:dyDescent="0.3"/>
    <row r="107" ht="17.25" hidden="1" customHeight="1" x14ac:dyDescent="0.3"/>
    <row r="108" ht="17.25" hidden="1" customHeight="1" x14ac:dyDescent="0.3"/>
    <row r="109" ht="17.25" hidden="1" customHeight="1" x14ac:dyDescent="0.3"/>
    <row r="110" ht="17.25" hidden="1" customHeight="1" x14ac:dyDescent="0.3"/>
    <row r="111" ht="17.25" hidden="1" customHeight="1" x14ac:dyDescent="0.3"/>
    <row r="112" ht="17.25" hidden="1" customHeight="1" x14ac:dyDescent="0.3"/>
    <row r="113" ht="17.25" hidden="1" customHeight="1" x14ac:dyDescent="0.3"/>
    <row r="114" ht="17.25" hidden="1" customHeight="1" x14ac:dyDescent="0.3"/>
    <row r="115" ht="17.25" hidden="1" customHeight="1" x14ac:dyDescent="0.3"/>
    <row r="116" ht="17.25" hidden="1" customHeight="1" x14ac:dyDescent="0.3"/>
    <row r="117" ht="17.25" hidden="1" customHeight="1" x14ac:dyDescent="0.3"/>
    <row r="118" ht="17.25" hidden="1" customHeight="1" x14ac:dyDescent="0.3"/>
    <row r="119" ht="17.25" hidden="1" customHeight="1" x14ac:dyDescent="0.3"/>
    <row r="120" ht="17.25" hidden="1" customHeight="1" x14ac:dyDescent="0.3"/>
    <row r="121" ht="17.25" hidden="1" customHeight="1" x14ac:dyDescent="0.3"/>
    <row r="122" ht="17.25" hidden="1" customHeight="1" x14ac:dyDescent="0.3"/>
    <row r="123" ht="17.25" hidden="1" customHeight="1" x14ac:dyDescent="0.3"/>
    <row r="124" ht="17.25" hidden="1" customHeight="1" x14ac:dyDescent="0.3"/>
    <row r="125" ht="17.25" hidden="1" customHeight="1" x14ac:dyDescent="0.3"/>
    <row r="126" ht="17.25" hidden="1" customHeight="1" x14ac:dyDescent="0.3"/>
    <row r="127" ht="17.25" hidden="1" customHeight="1" x14ac:dyDescent="0.3"/>
    <row r="128" ht="17.25" hidden="1" customHeight="1" x14ac:dyDescent="0.3"/>
    <row r="129" ht="17.25" hidden="1" customHeight="1" x14ac:dyDescent="0.3"/>
    <row r="130" ht="17.25" hidden="1" customHeight="1" x14ac:dyDescent="0.3"/>
    <row r="131" ht="17.25" hidden="1" customHeight="1" x14ac:dyDescent="0.3"/>
    <row r="132" ht="17.25" hidden="1" customHeight="1" x14ac:dyDescent="0.3"/>
    <row r="133" ht="17.25" hidden="1" customHeight="1" x14ac:dyDescent="0.3"/>
    <row r="134" ht="17.25" hidden="1" customHeight="1" x14ac:dyDescent="0.3"/>
    <row r="135" ht="17.25" hidden="1" customHeight="1" x14ac:dyDescent="0.3"/>
    <row r="136" ht="17.25" hidden="1" customHeight="1" x14ac:dyDescent="0.3"/>
    <row r="137" ht="17.25" hidden="1" customHeight="1" x14ac:dyDescent="0.3"/>
    <row r="138" ht="17.25" hidden="1" customHeight="1" x14ac:dyDescent="0.3"/>
    <row r="139" ht="17.25" hidden="1" customHeight="1" x14ac:dyDescent="0.3"/>
    <row r="140" ht="17.25" hidden="1" customHeight="1" x14ac:dyDescent="0.3"/>
    <row r="141" ht="17.25" hidden="1" customHeight="1" x14ac:dyDescent="0.3"/>
    <row r="142" ht="17.25" hidden="1" customHeight="1" x14ac:dyDescent="0.3"/>
    <row r="143" ht="17.25" hidden="1" customHeight="1" x14ac:dyDescent="0.3"/>
    <row r="144" ht="17.25" hidden="1" customHeight="1" x14ac:dyDescent="0.3"/>
    <row r="145" ht="17.25" hidden="1" customHeight="1" x14ac:dyDescent="0.3"/>
    <row r="146" ht="17.25" hidden="1" customHeight="1" x14ac:dyDescent="0.3"/>
    <row r="147" ht="17.25" hidden="1" customHeight="1" x14ac:dyDescent="0.3"/>
    <row r="148" ht="17.25" hidden="1" customHeight="1" x14ac:dyDescent="0.3"/>
    <row r="149" ht="17.25" hidden="1" customHeight="1" x14ac:dyDescent="0.3"/>
    <row r="150" ht="17.25" hidden="1" customHeight="1" x14ac:dyDescent="0.3"/>
    <row r="151" ht="17.25" hidden="1" customHeight="1" x14ac:dyDescent="0.3"/>
    <row r="152" ht="17.25" hidden="1" customHeight="1" x14ac:dyDescent="0.3"/>
    <row r="153" ht="17.25" hidden="1" customHeight="1" x14ac:dyDescent="0.3"/>
    <row r="154" ht="17.25" hidden="1" customHeight="1" x14ac:dyDescent="0.3"/>
    <row r="155" ht="17.25" hidden="1" customHeight="1" x14ac:dyDescent="0.3"/>
    <row r="156" ht="17.25" hidden="1" customHeight="1" x14ac:dyDescent="0.3"/>
    <row r="157" ht="17.25" hidden="1" customHeight="1" x14ac:dyDescent="0.3"/>
    <row r="158" ht="17.25" hidden="1" customHeight="1" x14ac:dyDescent="0.3"/>
    <row r="159" ht="17.25" hidden="1" customHeight="1" x14ac:dyDescent="0.3"/>
    <row r="160" ht="17.25" hidden="1" customHeight="1" x14ac:dyDescent="0.3"/>
    <row r="161" ht="17.25" hidden="1" customHeight="1" x14ac:dyDescent="0.3"/>
    <row r="162" ht="17.25" hidden="1" customHeight="1" x14ac:dyDescent="0.3"/>
    <row r="163" ht="17.25" hidden="1" customHeight="1" x14ac:dyDescent="0.3"/>
    <row r="164" ht="17.25" hidden="1" customHeight="1" x14ac:dyDescent="0.3"/>
    <row r="165" ht="17.25" hidden="1" customHeight="1" x14ac:dyDescent="0.3"/>
    <row r="166" ht="17.25" hidden="1" customHeight="1" x14ac:dyDescent="0.3"/>
    <row r="167" ht="17.25" hidden="1" customHeight="1" x14ac:dyDescent="0.3"/>
    <row r="168" ht="17.25" hidden="1" customHeight="1" x14ac:dyDescent="0.3"/>
    <row r="169" ht="17.25" hidden="1" customHeight="1" x14ac:dyDescent="0.3"/>
    <row r="170" ht="17.25" hidden="1" customHeight="1" x14ac:dyDescent="0.3"/>
    <row r="171" ht="17.25" hidden="1" customHeight="1" x14ac:dyDescent="0.3"/>
    <row r="172" ht="17.25" hidden="1" customHeight="1" x14ac:dyDescent="0.3"/>
    <row r="173" ht="17.25" hidden="1" customHeight="1" x14ac:dyDescent="0.3"/>
    <row r="174" ht="17.25" hidden="1" customHeight="1" x14ac:dyDescent="0.3"/>
    <row r="175" ht="17.25" hidden="1" customHeight="1" x14ac:dyDescent="0.3"/>
    <row r="176" ht="17.25" hidden="1" customHeight="1" x14ac:dyDescent="0.3"/>
    <row r="177" ht="17.25" hidden="1" customHeight="1" x14ac:dyDescent="0.3"/>
    <row r="178" ht="17.25" hidden="1" customHeight="1" x14ac:dyDescent="0.3"/>
    <row r="179" ht="17.25" hidden="1" customHeight="1" x14ac:dyDescent="0.3"/>
    <row r="180" ht="17.25" hidden="1" customHeight="1" x14ac:dyDescent="0.3"/>
    <row r="181" ht="17.25" hidden="1" customHeight="1" x14ac:dyDescent="0.3"/>
    <row r="182" ht="17.25" hidden="1" customHeight="1" x14ac:dyDescent="0.3"/>
    <row r="183" ht="17.25" hidden="1" customHeight="1" x14ac:dyDescent="0.3"/>
    <row r="184" ht="17.25" hidden="1" customHeight="1" x14ac:dyDescent="0.3"/>
    <row r="185" ht="17.25" hidden="1" customHeight="1" x14ac:dyDescent="0.3"/>
    <row r="186" ht="17.25" hidden="1" customHeight="1" x14ac:dyDescent="0.3"/>
    <row r="187" ht="17.25" hidden="1" customHeight="1" x14ac:dyDescent="0.3"/>
    <row r="188" ht="17.25" hidden="1" customHeight="1" x14ac:dyDescent="0.3"/>
    <row r="189" ht="17.25" hidden="1" customHeight="1" x14ac:dyDescent="0.3"/>
    <row r="190" ht="17.25" hidden="1" customHeight="1" x14ac:dyDescent="0.3"/>
    <row r="191" ht="17.25" hidden="1" customHeight="1" x14ac:dyDescent="0.3"/>
    <row r="192" ht="17.25" hidden="1" customHeight="1" x14ac:dyDescent="0.3"/>
    <row r="193" ht="17.25" hidden="1" customHeight="1" x14ac:dyDescent="0.3"/>
    <row r="194" ht="17.25" hidden="1" customHeight="1" x14ac:dyDescent="0.3"/>
    <row r="195" ht="17.25" hidden="1" customHeight="1" x14ac:dyDescent="0.3"/>
    <row r="196" ht="17.25" hidden="1" customHeight="1" x14ac:dyDescent="0.3"/>
    <row r="197" ht="17.25" hidden="1" customHeight="1" x14ac:dyDescent="0.3"/>
    <row r="198" ht="17.25" hidden="1" customHeight="1" x14ac:dyDescent="0.3"/>
    <row r="199" ht="17.25" hidden="1" customHeight="1" x14ac:dyDescent="0.3"/>
    <row r="200" ht="17.25" hidden="1" customHeight="1" x14ac:dyDescent="0.3"/>
    <row r="201" ht="17.25" hidden="1" customHeight="1" x14ac:dyDescent="0.3"/>
    <row r="202" ht="17.25" hidden="1" customHeight="1" x14ac:dyDescent="0.3"/>
    <row r="203" ht="17.25" hidden="1" customHeight="1" x14ac:dyDescent="0.3"/>
    <row r="204" ht="17.25" hidden="1" customHeight="1" x14ac:dyDescent="0.3"/>
    <row r="205" ht="17.25" hidden="1" customHeight="1" x14ac:dyDescent="0.3"/>
    <row r="206" ht="17.25" hidden="1" customHeight="1" x14ac:dyDescent="0.3"/>
    <row r="207" ht="17.25" hidden="1" customHeight="1" x14ac:dyDescent="0.3"/>
    <row r="208" ht="17.25" hidden="1" customHeight="1" x14ac:dyDescent="0.3"/>
    <row r="209" ht="17.25" hidden="1" customHeight="1" x14ac:dyDescent="0.3"/>
    <row r="210" ht="17.25" hidden="1" customHeight="1" x14ac:dyDescent="0.3"/>
    <row r="211" ht="17.25" hidden="1" customHeight="1" x14ac:dyDescent="0.3"/>
    <row r="212" ht="17.25" hidden="1" customHeight="1" x14ac:dyDescent="0.3"/>
    <row r="213" ht="17.25" hidden="1" customHeight="1" x14ac:dyDescent="0.3"/>
    <row r="214" ht="17.25" hidden="1" customHeight="1" x14ac:dyDescent="0.3"/>
    <row r="215" ht="17.25" hidden="1" customHeight="1" x14ac:dyDescent="0.3"/>
    <row r="216" ht="17.25" hidden="1" customHeight="1" x14ac:dyDescent="0.3"/>
    <row r="217" ht="17.25" hidden="1" customHeight="1" x14ac:dyDescent="0.3"/>
    <row r="218" ht="17.25" hidden="1" customHeight="1" x14ac:dyDescent="0.3"/>
    <row r="219" ht="17.25" hidden="1" customHeight="1" x14ac:dyDescent="0.3"/>
    <row r="220" ht="17.25" hidden="1" customHeight="1" x14ac:dyDescent="0.3"/>
    <row r="221" ht="17.25" hidden="1" customHeight="1" x14ac:dyDescent="0.3"/>
    <row r="222" ht="17.25" hidden="1" customHeight="1" x14ac:dyDescent="0.3"/>
    <row r="223" ht="17.25" hidden="1" customHeight="1" x14ac:dyDescent="0.3"/>
    <row r="224" ht="17.25" hidden="1" customHeight="1" x14ac:dyDescent="0.3"/>
    <row r="225" ht="17.25" hidden="1" customHeight="1" x14ac:dyDescent="0.3"/>
    <row r="226" ht="17.25" hidden="1" customHeight="1" x14ac:dyDescent="0.3"/>
    <row r="227" ht="17.25" hidden="1" customHeight="1" x14ac:dyDescent="0.3"/>
    <row r="228" ht="17.25" hidden="1" customHeight="1" x14ac:dyDescent="0.3"/>
    <row r="229" ht="17.25" hidden="1" customHeight="1" x14ac:dyDescent="0.3"/>
    <row r="230" ht="17.25" hidden="1" customHeight="1" x14ac:dyDescent="0.3"/>
    <row r="231" ht="17.25" hidden="1" customHeight="1" x14ac:dyDescent="0.3"/>
    <row r="232" ht="17.25" hidden="1" customHeight="1" x14ac:dyDescent="0.3"/>
    <row r="233" ht="17.25" hidden="1" customHeight="1" x14ac:dyDescent="0.3"/>
    <row r="234" ht="17.25" hidden="1" customHeight="1" x14ac:dyDescent="0.3"/>
    <row r="235" ht="17.25" hidden="1" customHeight="1" x14ac:dyDescent="0.3"/>
    <row r="236" ht="17.25" hidden="1" customHeight="1" x14ac:dyDescent="0.3"/>
    <row r="237" ht="17.25" hidden="1" customHeight="1" x14ac:dyDescent="0.3"/>
    <row r="238" ht="17.25" hidden="1" customHeight="1" x14ac:dyDescent="0.3"/>
    <row r="239" ht="17.25" hidden="1" customHeight="1" x14ac:dyDescent="0.3"/>
    <row r="240" ht="17.25" hidden="1" customHeight="1" x14ac:dyDescent="0.3"/>
    <row r="241" ht="17.25" hidden="1" customHeight="1" x14ac:dyDescent="0.3"/>
    <row r="242" ht="17.25" hidden="1" customHeight="1" x14ac:dyDescent="0.3"/>
    <row r="243" ht="17.25" hidden="1" customHeight="1" x14ac:dyDescent="0.3"/>
    <row r="244" ht="17.25" hidden="1" customHeight="1" x14ac:dyDescent="0.3"/>
    <row r="245" ht="17.25" hidden="1" customHeight="1" x14ac:dyDescent="0.3"/>
    <row r="246" ht="17.25" hidden="1" customHeight="1" x14ac:dyDescent="0.3"/>
    <row r="247" ht="17.25" hidden="1" customHeight="1" x14ac:dyDescent="0.3"/>
    <row r="248" ht="17.25" hidden="1" customHeight="1" x14ac:dyDescent="0.3"/>
    <row r="249" ht="17.25" hidden="1" customHeight="1" x14ac:dyDescent="0.3"/>
    <row r="250" ht="17.25" hidden="1" customHeight="1" x14ac:dyDescent="0.3"/>
    <row r="251" ht="17.25" hidden="1" customHeight="1" x14ac:dyDescent="0.3"/>
    <row r="252" ht="17.25" hidden="1" customHeight="1" x14ac:dyDescent="0.3"/>
    <row r="253" ht="17.25" hidden="1" customHeight="1" x14ac:dyDescent="0.3"/>
    <row r="254" ht="17.25" hidden="1" customHeight="1" x14ac:dyDescent="0.3"/>
    <row r="255" ht="17.25" hidden="1" customHeight="1" x14ac:dyDescent="0.3"/>
    <row r="256" ht="17.25" hidden="1" customHeight="1" x14ac:dyDescent="0.3"/>
    <row r="257" ht="17.25" hidden="1" customHeight="1" x14ac:dyDescent="0.3"/>
    <row r="258" ht="17.25" hidden="1" customHeight="1" x14ac:dyDescent="0.3"/>
    <row r="259" ht="17.25" hidden="1" customHeight="1" x14ac:dyDescent="0.3"/>
    <row r="260" ht="17.25" hidden="1" customHeight="1" x14ac:dyDescent="0.3"/>
    <row r="261" ht="17.25" hidden="1" customHeight="1" x14ac:dyDescent="0.3"/>
    <row r="262" ht="17.25" hidden="1" customHeight="1" x14ac:dyDescent="0.3"/>
    <row r="263" ht="17.25" hidden="1" customHeight="1" x14ac:dyDescent="0.3"/>
    <row r="264" ht="17.25" hidden="1" customHeight="1" x14ac:dyDescent="0.3"/>
    <row r="265" ht="17.25" hidden="1" customHeight="1" x14ac:dyDescent="0.3"/>
    <row r="266" ht="17.25" hidden="1" customHeight="1" x14ac:dyDescent="0.3"/>
    <row r="267" ht="17.25" hidden="1" customHeight="1" x14ac:dyDescent="0.3"/>
    <row r="268" ht="17.25" hidden="1" customHeight="1" x14ac:dyDescent="0.3"/>
    <row r="269" ht="17.25" hidden="1" customHeight="1" x14ac:dyDescent="0.3"/>
    <row r="270" ht="17.25" hidden="1" customHeight="1" x14ac:dyDescent="0.3"/>
    <row r="271" ht="17.25" hidden="1" customHeight="1" x14ac:dyDescent="0.3"/>
    <row r="272" ht="17.25" hidden="1" customHeight="1" x14ac:dyDescent="0.3"/>
    <row r="273" ht="17.25" hidden="1" customHeight="1" x14ac:dyDescent="0.3"/>
    <row r="274" ht="17.25" hidden="1" customHeight="1" x14ac:dyDescent="0.3"/>
    <row r="275" ht="17.25" hidden="1" customHeight="1" x14ac:dyDescent="0.3"/>
    <row r="276" ht="17.25" hidden="1" customHeight="1" x14ac:dyDescent="0.3"/>
    <row r="277" ht="17.25" hidden="1" customHeight="1" x14ac:dyDescent="0.3"/>
    <row r="278" ht="17.25" hidden="1" customHeight="1" x14ac:dyDescent="0.3"/>
    <row r="279" ht="17.25" hidden="1" customHeight="1" x14ac:dyDescent="0.3"/>
    <row r="280" ht="17.25" hidden="1" customHeight="1" x14ac:dyDescent="0.3"/>
    <row r="281" ht="17.25" hidden="1" customHeight="1" x14ac:dyDescent="0.3"/>
    <row r="282" ht="17.25" hidden="1" customHeight="1" x14ac:dyDescent="0.3"/>
    <row r="283" ht="17.25" hidden="1" customHeight="1" x14ac:dyDescent="0.3"/>
    <row r="284" ht="17.25" hidden="1" customHeight="1" x14ac:dyDescent="0.3"/>
    <row r="285" ht="17.25" hidden="1" customHeight="1" x14ac:dyDescent="0.3"/>
    <row r="286" ht="17.25" hidden="1" customHeight="1" x14ac:dyDescent="0.3"/>
    <row r="287" ht="17.25" hidden="1" customHeight="1" x14ac:dyDescent="0.3"/>
    <row r="288" ht="17.25" hidden="1" customHeight="1" x14ac:dyDescent="0.3"/>
    <row r="289" ht="17.25" hidden="1" customHeight="1" x14ac:dyDescent="0.3"/>
    <row r="290" ht="17.25" hidden="1" customHeight="1" x14ac:dyDescent="0.3"/>
    <row r="291" ht="17.25" hidden="1" customHeight="1" x14ac:dyDescent="0.3"/>
    <row r="292" ht="17.25" hidden="1" customHeight="1" x14ac:dyDescent="0.3"/>
    <row r="293" ht="17.25" hidden="1" customHeight="1" x14ac:dyDescent="0.3"/>
    <row r="294" ht="17.25" hidden="1" customHeight="1" x14ac:dyDescent="0.3"/>
    <row r="295" ht="17.25" hidden="1" customHeight="1" x14ac:dyDescent="0.3"/>
    <row r="296" ht="17.25" hidden="1" customHeight="1" x14ac:dyDescent="0.3"/>
    <row r="297" ht="17.25" hidden="1" customHeight="1" x14ac:dyDescent="0.3"/>
    <row r="298" ht="17.25" hidden="1" customHeight="1" x14ac:dyDescent="0.3"/>
    <row r="299" ht="17.25" hidden="1" customHeight="1" x14ac:dyDescent="0.3"/>
    <row r="300" ht="17.25" hidden="1" customHeight="1" x14ac:dyDescent="0.3"/>
    <row r="301" ht="17.25" hidden="1" customHeight="1" x14ac:dyDescent="0.3"/>
    <row r="302" ht="17.25" hidden="1" customHeight="1" x14ac:dyDescent="0.3"/>
    <row r="303" ht="17.25" hidden="1" customHeight="1" x14ac:dyDescent="0.3"/>
    <row r="304" ht="17.25" hidden="1" customHeight="1" x14ac:dyDescent="0.3"/>
    <row r="305" ht="17.25" hidden="1" customHeight="1" x14ac:dyDescent="0.3"/>
    <row r="306" ht="15.6" hidden="1" x14ac:dyDescent="0.3"/>
    <row r="307" ht="15.6" hidden="1" x14ac:dyDescent="0.3"/>
    <row r="308" ht="15.6" hidden="1" x14ac:dyDescent="0.3"/>
    <row r="309" ht="15.6" hidden="1" x14ac:dyDescent="0.3"/>
    <row r="310" ht="15.6" hidden="1" x14ac:dyDescent="0.3"/>
    <row r="311" ht="15.6" hidden="1" x14ac:dyDescent="0.3"/>
    <row r="312" ht="15.6" hidden="1" x14ac:dyDescent="0.3"/>
    <row r="313" ht="15.6" hidden="1" x14ac:dyDescent="0.3"/>
    <row r="314" ht="15.6" hidden="1" x14ac:dyDescent="0.3"/>
    <row r="315" ht="15.6" hidden="1" x14ac:dyDescent="0.3"/>
    <row r="316" ht="15.6" hidden="1" x14ac:dyDescent="0.3"/>
    <row r="317" ht="15.6" hidden="1" x14ac:dyDescent="0.3"/>
  </sheetData>
  <sheetProtection formatCells="0" formatColumns="0" formatRows="0"/>
  <mergeCells count="8">
    <mergeCell ref="A2:P3"/>
    <mergeCell ref="C5:D5"/>
    <mergeCell ref="E5:F5"/>
    <mergeCell ref="G5:H5"/>
    <mergeCell ref="I5:J5"/>
    <mergeCell ref="K5:L5"/>
    <mergeCell ref="M5:N5"/>
    <mergeCell ref="O5:P5"/>
  </mergeCells>
  <conditionalFormatting sqref="C6">
    <cfRule type="expression" dxfId="165" priority="17">
      <formula>OR(D6&lt;&gt;"",#REF!&lt;&gt;"")</formula>
    </cfRule>
  </conditionalFormatting>
  <conditionalFormatting sqref="D6">
    <cfRule type="expression" dxfId="164" priority="18">
      <formula>MATCH(D6,Event,0)</formula>
    </cfRule>
    <cfRule type="expression" dxfId="163" priority="19">
      <formula>MATCH(D6,Holiday,0)</formula>
    </cfRule>
  </conditionalFormatting>
  <conditionalFormatting sqref="C11 C16 C21 C26 C31">
    <cfRule type="expression" dxfId="162" priority="13">
      <formula>OR(D11&lt;&gt;"",#REF!&lt;&gt;"")</formula>
    </cfRule>
  </conditionalFormatting>
  <conditionalFormatting sqref="D11 D16 D21 D26 D31">
    <cfRule type="expression" dxfId="161" priority="14">
      <formula>MATCH(D11,Event,0)</formula>
    </cfRule>
    <cfRule type="expression" dxfId="160" priority="15">
      <formula>MATCH(D11,Holiday,0)</formula>
    </cfRule>
  </conditionalFormatting>
  <conditionalFormatting sqref="E6">
    <cfRule type="expression" dxfId="159" priority="10">
      <formula>OR(F6&lt;&gt;"",#REF!&lt;&gt;"")</formula>
    </cfRule>
  </conditionalFormatting>
  <conditionalFormatting sqref="F6">
    <cfRule type="expression" dxfId="158" priority="11">
      <formula>MATCH(F6,Event,0)</formula>
    </cfRule>
    <cfRule type="expression" dxfId="157" priority="12">
      <formula>MATCH(F6,Holiday,0)</formula>
    </cfRule>
  </conditionalFormatting>
  <conditionalFormatting sqref="E11 E16 E21 E26 E31">
    <cfRule type="expression" dxfId="156" priority="7">
      <formula>OR(F11&lt;&gt;"",#REF!&lt;&gt;"")</formula>
    </cfRule>
  </conditionalFormatting>
  <conditionalFormatting sqref="F11 F16 F21 F26 F31">
    <cfRule type="expression" dxfId="155" priority="8">
      <formula>MATCH(F11,Event,0)</formula>
    </cfRule>
    <cfRule type="expression" dxfId="154" priority="9">
      <formula>MATCH(F11,Holiday,0)</formula>
    </cfRule>
  </conditionalFormatting>
  <conditionalFormatting sqref="G6 I6 K6 M6 O6">
    <cfRule type="expression" dxfId="153" priority="4">
      <formula>OR(H6&lt;&gt;"",#REF!&lt;&gt;"")</formula>
    </cfRule>
  </conditionalFormatting>
  <conditionalFormatting sqref="H6 J6 L6 N6 P6">
    <cfRule type="expression" dxfId="152" priority="5">
      <formula>MATCH(H6,Event,0)</formula>
    </cfRule>
    <cfRule type="expression" dxfId="151" priority="6">
      <formula>MATCH(H6,Holiday,0)</formula>
    </cfRule>
  </conditionalFormatting>
  <conditionalFormatting sqref="G11 I11 K11 M11 O11 G16 I16 K16 M16 O16 G21 I21 K21 M21 O21 G26 I26 K26 M26 O26">
    <cfRule type="expression" dxfId="150" priority="1">
      <formula>OR(H11&lt;&gt;"",#REF!&lt;&gt;"")</formula>
    </cfRule>
  </conditionalFormatting>
  <conditionalFormatting sqref="H11 J11 L11 N11 P11 H16 J16 L16 N16 P16 H21 J21 L21 N21 P21 H26 J26 L26 N26 P26">
    <cfRule type="expression" dxfId="149" priority="2">
      <formula>MATCH(H11,Event,0)</formula>
    </cfRule>
    <cfRule type="expression" dxfId="148" priority="3">
      <formula>MATCH(H11,Holiday,0)</formula>
    </cfRule>
  </conditionalFormatting>
  <printOptions horizontalCentered="1"/>
  <pageMargins left="0.34" right="0.26" top="0.44" bottom="0.36" header="0.28000000000000003" footer="0.25"/>
  <pageSetup paperSize="9" scale="99" orientation="landscape"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V317"/>
  <sheetViews>
    <sheetView showGridLines="0" topLeftCell="B1" zoomScaleNormal="100" zoomScalePageLayoutView="50" workbookViewId="0">
      <selection activeCell="A2" sqref="A2:P3"/>
    </sheetView>
  </sheetViews>
  <sheetFormatPr defaultColWidth="0" defaultRowHeight="15.45" customHeight="1" zeroHeight="1" x14ac:dyDescent="0.3"/>
  <cols>
    <col min="1" max="1" width="10.77734375" style="51" hidden="1" customWidth="1"/>
    <col min="2" max="2" width="2.109375" style="51" customWidth="1"/>
    <col min="3" max="3" width="4.6640625" style="51" customWidth="1"/>
    <col min="4" max="4" width="15.6640625" style="79" customWidth="1"/>
    <col min="5" max="5" width="4.6640625" style="51" customWidth="1"/>
    <col min="6" max="6" width="15.6640625" style="79" customWidth="1"/>
    <col min="7" max="7" width="4.6640625" style="51" customWidth="1"/>
    <col min="8" max="8" width="15.6640625" style="79" customWidth="1"/>
    <col min="9" max="9" width="4.6640625" style="51" customWidth="1"/>
    <col min="10" max="10" width="15.6640625" style="79" customWidth="1"/>
    <col min="11" max="11" width="4.6640625" style="51" customWidth="1"/>
    <col min="12" max="12" width="15.6640625" style="79" customWidth="1"/>
    <col min="13" max="13" width="4.6640625" style="51" customWidth="1"/>
    <col min="14" max="14" width="15.6640625" style="79" customWidth="1"/>
    <col min="15" max="15" width="4.6640625" style="51" customWidth="1"/>
    <col min="16" max="16" width="15.6640625" style="79" customWidth="1"/>
    <col min="17" max="17" width="8.77734375" style="49" customWidth="1"/>
    <col min="18" max="21" width="8.77734375" style="49" hidden="1" customWidth="1"/>
    <col min="22" max="23" width="2.33203125" style="49" hidden="1" customWidth="1"/>
    <col min="24" max="24" width="2.77734375" style="50" hidden="1" customWidth="1"/>
    <col min="25" max="25" width="4.6640625" style="51" hidden="1" customWidth="1"/>
    <col min="26" max="32" width="4.6640625" style="56" hidden="1" customWidth="1"/>
    <col min="33" max="33" width="2.77734375" style="51" hidden="1" customWidth="1"/>
    <col min="34" max="256" width="0" style="51" hidden="1" customWidth="1"/>
    <col min="257" max="16384" width="9.109375" style="51" hidden="1"/>
  </cols>
  <sheetData>
    <row r="1" spans="1:34" ht="15.6" x14ac:dyDescent="0.3"/>
    <row r="2" spans="1:34" s="63" customFormat="1" ht="25.05" customHeight="1" x14ac:dyDescent="0.5">
      <c r="A2" s="246" t="str">
        <f>UPPER(TEXT(DATE(M31,O31,K16),"mmmm yyyy"))</f>
        <v>AUGUST YYYY</v>
      </c>
      <c r="B2" s="247"/>
      <c r="C2" s="247"/>
      <c r="D2" s="247"/>
      <c r="E2" s="247"/>
      <c r="F2" s="247"/>
      <c r="G2" s="247"/>
      <c r="H2" s="247"/>
      <c r="I2" s="247"/>
      <c r="J2" s="247"/>
      <c r="K2" s="247"/>
      <c r="L2" s="247"/>
      <c r="M2" s="247"/>
      <c r="N2" s="247"/>
      <c r="O2" s="247"/>
      <c r="P2" s="247"/>
      <c r="Q2" s="61"/>
      <c r="R2" s="61"/>
      <c r="S2" s="61"/>
      <c r="T2" s="61"/>
      <c r="U2" s="61"/>
      <c r="V2" s="61"/>
      <c r="W2" s="61"/>
      <c r="X2" s="62"/>
      <c r="Z2" s="64"/>
      <c r="AA2" s="64"/>
      <c r="AB2" s="64"/>
      <c r="AC2" s="64"/>
      <c r="AD2" s="64"/>
      <c r="AE2" s="64"/>
      <c r="AF2" s="64"/>
    </row>
    <row r="3" spans="1:34" s="63" customFormat="1" ht="25.05" customHeight="1" x14ac:dyDescent="0.5">
      <c r="A3" s="247"/>
      <c r="B3" s="247"/>
      <c r="C3" s="247"/>
      <c r="D3" s="247"/>
      <c r="E3" s="247"/>
      <c r="F3" s="247"/>
      <c r="G3" s="247"/>
      <c r="H3" s="247"/>
      <c r="I3" s="247"/>
      <c r="J3" s="247"/>
      <c r="K3" s="247"/>
      <c r="L3" s="247"/>
      <c r="M3" s="247"/>
      <c r="N3" s="247"/>
      <c r="O3" s="247"/>
      <c r="P3" s="247"/>
      <c r="Q3" s="61"/>
      <c r="R3" s="61"/>
      <c r="S3" s="61"/>
      <c r="T3" s="61"/>
      <c r="U3" s="61"/>
      <c r="V3" s="61"/>
      <c r="W3" s="61"/>
      <c r="X3" s="62"/>
      <c r="Z3" s="64"/>
      <c r="AA3" s="64"/>
      <c r="AB3" s="64"/>
      <c r="AC3" s="64"/>
      <c r="AD3" s="64"/>
      <c r="AE3" s="64"/>
      <c r="AF3" s="64"/>
    </row>
    <row r="4" spans="1:34" ht="17.25" customHeight="1" x14ac:dyDescent="0.3">
      <c r="Z4" s="52"/>
      <c r="AA4" s="52"/>
      <c r="AB4" s="52"/>
      <c r="AC4" s="52"/>
      <c r="AD4" s="52"/>
      <c r="AE4" s="52"/>
      <c r="AF4" s="52"/>
    </row>
    <row r="5" spans="1:34" s="53" customFormat="1" ht="30" customHeight="1" x14ac:dyDescent="0.25">
      <c r="A5" s="157"/>
      <c r="C5" s="248" t="s">
        <v>18</v>
      </c>
      <c r="D5" s="249"/>
      <c r="E5" s="250" t="s">
        <v>19</v>
      </c>
      <c r="F5" s="250"/>
      <c r="G5" s="250" t="s">
        <v>20</v>
      </c>
      <c r="H5" s="250"/>
      <c r="I5" s="250" t="s">
        <v>21</v>
      </c>
      <c r="J5" s="250"/>
      <c r="K5" s="250" t="s">
        <v>22</v>
      </c>
      <c r="L5" s="250"/>
      <c r="M5" s="250" t="s">
        <v>23</v>
      </c>
      <c r="N5" s="250"/>
      <c r="O5" s="250" t="s">
        <v>24</v>
      </c>
      <c r="P5" s="250"/>
      <c r="Q5" s="54"/>
      <c r="R5" s="54"/>
      <c r="S5" s="54"/>
      <c r="T5" s="54"/>
      <c r="U5" s="54"/>
      <c r="V5" s="54"/>
      <c r="W5" s="54"/>
      <c r="X5" s="55"/>
    </row>
    <row r="6" spans="1:34" s="13" customFormat="1" ht="15" customHeight="1" x14ac:dyDescent="0.25">
      <c r="A6" s="157"/>
      <c r="C6" s="142" t="str">
        <f>IF(WEEKDAY(DATE($M$31,$O$31,1))=1,1,"")</f>
        <v/>
      </c>
      <c r="D6" s="143" t="str">
        <f>IF(C6&lt;&gt;"",IF(ISNA(VLOOKUP(DATE($M$31,$O$31,C6),'Todo-Holiday-Event'!$L$9:$M$28,2,FALSE)),IF(ISNA(VLOOKUP(DATE($M$31,$O$31,C6),'Todo-Holiday-Event'!$H$9:$I$28,2,FALSE)),"",VLOOKUP(DATE($M$31,$O$31,C6),'Todo-Holiday-Event'!$H$9:$I$28,2,FALSE)),VLOOKUP(DATE($M$31,$O$31,C6),'Todo-Holiday-Event'!$L$9:$M$28,2,FALSE)),"")</f>
        <v/>
      </c>
      <c r="E6" s="142" t="str">
        <f>IF(C6&lt;&gt;"",C6+1,IF(WEEKDAY(DATE($M$31,$O$31,1))=2,1,""))</f>
        <v/>
      </c>
      <c r="F6" s="143" t="str">
        <f>IF(E6&lt;&gt;"",IF(ISNA(VLOOKUP(DATE($M$31,$O$31,E6),'Todo-Holiday-Event'!$L$9:$M$28,2,FALSE)),IF(ISNA(VLOOKUP(DATE($M$31,$O$31,E6),'Todo-Holiday-Event'!$H$9:$I$28,2,FALSE)),"",VLOOKUP(DATE($M$31,$O$31,E6),'Todo-Holiday-Event'!$H$9:$I$28,2,FALSE)),VLOOKUP(DATE($M$31,$O$31,E6),'Todo-Holiday-Event'!$L$9:$M$28,2,FALSE)),"")</f>
        <v/>
      </c>
      <c r="G6" s="142" t="str">
        <f>IF(E6&lt;&gt;"",E6+1,IF(WEEKDAY(DATE($M$31,$O$31,1))=3,1,""))</f>
        <v/>
      </c>
      <c r="H6" s="143" t="str">
        <f>IF(G6&lt;&gt;"",IF(ISNA(VLOOKUP(DATE($M$31,$O$31,G6),'Todo-Holiday-Event'!$L$9:$M$28,2,FALSE)),IF(ISNA(VLOOKUP(DATE($M$31,$O$31,G6),'Todo-Holiday-Event'!$H$9:$I$28,2,FALSE)),"",VLOOKUP(DATE($M$31,$O$31,G6),'Todo-Holiday-Event'!$H$9:$I$28,2,FALSE)),VLOOKUP(DATE($M$31,$O$31,G6),'Todo-Holiday-Event'!$L$9:$M$28,2,FALSE)),"")</f>
        <v/>
      </c>
      <c r="I6" s="142" t="str">
        <f>IF(G6&lt;&gt;"",G6+1,IF(WEEKDAY(DATE($M$31,$O$31,1))=4,1,""))</f>
        <v/>
      </c>
      <c r="J6" s="143" t="str">
        <f>IF(I6&lt;&gt;"",IF(ISNA(VLOOKUP(DATE($M$31,$O$31,I6),'Todo-Holiday-Event'!$L$9:$M$28,2,FALSE)),IF(ISNA(VLOOKUP(DATE($M$31,$O$31,I6),'Todo-Holiday-Event'!$H$9:$I$28,2,FALSE)),"",VLOOKUP(DATE($M$31,$O$31,I6),'Todo-Holiday-Event'!$H$9:$I$28,2,FALSE)),VLOOKUP(DATE($M$31,$O$31,I6),'Todo-Holiday-Event'!$L$9:$M$28,2,FALSE)),"")</f>
        <v/>
      </c>
      <c r="K6" s="142">
        <f>IF(I6&lt;&gt;"",I6+1,IF(WEEKDAY(DATE($M$31,$O$31,1))=5,1,""))</f>
        <v>1</v>
      </c>
      <c r="L6" s="143" t="str">
        <f>IF(K6&lt;&gt;"",IF(ISNA(VLOOKUP(DATE($M$31,$O$31,K6),'Todo-Holiday-Event'!$L$9:$M$28,2,FALSE)),IF(ISNA(VLOOKUP(DATE($M$31,$O$31,K6),'Todo-Holiday-Event'!$H$9:$I$28,2,FALSE)),"",VLOOKUP(DATE($M$31,$O$31,K6),'Todo-Holiday-Event'!$H$9:$I$28,2,FALSE)),VLOOKUP(DATE($M$31,$O$31,K6),'Todo-Holiday-Event'!$L$9:$M$28,2,FALSE)),"")</f>
        <v/>
      </c>
      <c r="M6" s="142">
        <f>IF(K6&lt;&gt;"",K6+1,IF(WEEKDAY(DATE($M$31,$O$31,1))=6,1,""))</f>
        <v>2</v>
      </c>
      <c r="N6" s="143" t="str">
        <f>IF(M6&lt;&gt;"",IF(ISNA(VLOOKUP(DATE($M$31,$O$31,M6),'Todo-Holiday-Event'!$L$9:$M$28,2,FALSE)),IF(ISNA(VLOOKUP(DATE($M$31,$O$31,M6),'Todo-Holiday-Event'!$H$9:$I$28,2,FALSE)),"",VLOOKUP(DATE($M$31,$O$31,M6),'Todo-Holiday-Event'!$H$9:$I$28,2,FALSE)),VLOOKUP(DATE($M$31,$O$31,M6),'Todo-Holiday-Event'!$L$9:$M$28,2,FALSE)),"")</f>
        <v/>
      </c>
      <c r="O6" s="142">
        <f>IF(M6&lt;&gt;"",M6+1,IF(WEEKDAY(DATE($M$31,$O$31,1))=7,1,""))</f>
        <v>3</v>
      </c>
      <c r="P6" s="143" t="str">
        <f>IF(O6&lt;&gt;"",IF(ISNA(VLOOKUP(DATE($M$31,$O$31,O6),'Todo-Holiday-Event'!$L$9:$M$28,2,FALSE)),IF(ISNA(VLOOKUP(DATE($M$31,$O$31,O6),'Todo-Holiday-Event'!$H$9:$I$28,2,FALSE)),"",VLOOKUP(DATE($M$31,$O$31,O6),'Todo-Holiday-Event'!$H$9:$I$28,2,FALSE)),VLOOKUP(DATE($M$31,$O$31,O6),'Todo-Holiday-Event'!$L$9:$M$28,2,FALSE)),"")</f>
        <v/>
      </c>
      <c r="Q6" s="74"/>
      <c r="R6" s="74"/>
      <c r="S6" s="74"/>
      <c r="T6" s="74"/>
      <c r="U6" s="74"/>
      <c r="V6" s="75"/>
      <c r="W6" s="75"/>
      <c r="X6" s="70"/>
    </row>
    <row r="7" spans="1:34" s="76" customFormat="1" ht="15" customHeight="1" x14ac:dyDescent="0.25">
      <c r="A7" s="157"/>
      <c r="C7" s="241" t="str">
        <f>IF(ISERROR('Supporting Calendar'!AB1),"",INDEX('Todo-Holiday-Event'!$E$9:$E$258,'Supporting Calendar'!AB1))</f>
        <v/>
      </c>
      <c r="D7" s="242"/>
      <c r="E7" s="241" t="str">
        <f>IF(ISERROR('Supporting Calendar'!AC1),"",INDEX('Todo-Holiday-Event'!$E$9:$E$258,'Supporting Calendar'!AC1))</f>
        <v/>
      </c>
      <c r="F7" s="242"/>
      <c r="G7" s="241" t="str">
        <f>IF(ISERROR('Supporting Calendar'!AD1),"",INDEX('Todo-Holiday-Event'!$E$9:$E$258,'Supporting Calendar'!AD1))</f>
        <v/>
      </c>
      <c r="H7" s="242"/>
      <c r="I7" s="241" t="str">
        <f>IF(ISERROR('Supporting Calendar'!AE1),"",INDEX('Todo-Holiday-Event'!$E$9:$E$258,'Supporting Calendar'!AE1))</f>
        <v/>
      </c>
      <c r="J7" s="242"/>
      <c r="K7" s="241" t="str">
        <f>IF(ISERROR('Supporting Calendar'!AF1),"",INDEX('Todo-Holiday-Event'!$E$9:$E$258,'Supporting Calendar'!AF1))</f>
        <v/>
      </c>
      <c r="L7" s="242"/>
      <c r="M7" s="241" t="str">
        <f>IF(ISERROR('Supporting Calendar'!AG1),"",INDEX('Todo-Holiday-Event'!$E$9:$E$258,'Supporting Calendar'!AG1))</f>
        <v/>
      </c>
      <c r="N7" s="242"/>
      <c r="O7" s="241" t="str">
        <f>IF(ISERROR('Supporting Calendar'!AH1),"",INDEX('Todo-Holiday-Event'!$E$9:$E$258,'Supporting Calendar'!AH1))</f>
        <v/>
      </c>
      <c r="P7" s="242"/>
      <c r="AH7" s="78"/>
    </row>
    <row r="8" spans="1:34" s="76" customFormat="1" ht="15" customHeight="1" x14ac:dyDescent="0.25">
      <c r="A8" s="157"/>
      <c r="C8" s="243" t="str">
        <f ca="1">IF(ISERROR('Supporting Calendar'!AB2),"",INDEX('Todo-Holiday-Event'!$E$9:$E$258,'Supporting Calendar'!AB2))</f>
        <v/>
      </c>
      <c r="D8" s="242"/>
      <c r="E8" s="243" t="str">
        <f ca="1">IF(ISERROR('Supporting Calendar'!AC2),"",INDEX('Todo-Holiday-Event'!$E$9:$E$258,'Supporting Calendar'!AC2))</f>
        <v/>
      </c>
      <c r="F8" s="242"/>
      <c r="G8" s="243" t="str">
        <f ca="1">IF(ISERROR('Supporting Calendar'!AD2),"",INDEX('Todo-Holiday-Event'!$E$9:$E$258,'Supporting Calendar'!AD2))</f>
        <v/>
      </c>
      <c r="H8" s="242"/>
      <c r="I8" s="243" t="str">
        <f ca="1">IF(ISERROR('Supporting Calendar'!AE2),"",INDEX('Todo-Holiday-Event'!$E$9:$E$258,'Supporting Calendar'!AE2))</f>
        <v/>
      </c>
      <c r="J8" s="242"/>
      <c r="K8" s="243" t="str">
        <f ca="1">IF(ISERROR('Supporting Calendar'!AF2),"",INDEX('Todo-Holiday-Event'!$E$9:$E$258,'Supporting Calendar'!AF2))</f>
        <v/>
      </c>
      <c r="L8" s="242"/>
      <c r="M8" s="243" t="str">
        <f ca="1">IF(ISERROR('Supporting Calendar'!AG2),"",INDEX('Todo-Holiday-Event'!$E$9:$E$258,'Supporting Calendar'!AG2))</f>
        <v/>
      </c>
      <c r="N8" s="242"/>
      <c r="O8" s="243" t="str">
        <f ca="1">IF(ISERROR('Supporting Calendar'!AH2),"",INDEX('Todo-Holiday-Event'!$E$9:$E$258,'Supporting Calendar'!AH2))</f>
        <v/>
      </c>
      <c r="P8" s="242"/>
      <c r="AH8" s="78"/>
    </row>
    <row r="9" spans="1:34" s="76" customFormat="1" ht="15" customHeight="1" x14ac:dyDescent="0.25">
      <c r="A9" s="157"/>
      <c r="C9" s="243" t="str">
        <f ca="1">IF(ISERROR('Supporting Calendar'!AB3),"",INDEX('Todo-Holiday-Event'!$E$9:$E$258,'Supporting Calendar'!AB3))</f>
        <v/>
      </c>
      <c r="D9" s="242"/>
      <c r="E9" s="243" t="str">
        <f ca="1">IF(ISERROR('Supporting Calendar'!AC3),"",INDEX('Todo-Holiday-Event'!$E$9:$E$258,'Supporting Calendar'!AC3))</f>
        <v/>
      </c>
      <c r="F9" s="242"/>
      <c r="G9" s="243" t="str">
        <f ca="1">IF(ISERROR('Supporting Calendar'!AD3),"",INDEX('Todo-Holiday-Event'!$E$9:$E$258,'Supporting Calendar'!AD3))</f>
        <v/>
      </c>
      <c r="H9" s="242"/>
      <c r="I9" s="243" t="str">
        <f ca="1">IF(ISERROR('Supporting Calendar'!AE3),"",INDEX('Todo-Holiday-Event'!$E$9:$E$258,'Supporting Calendar'!AE3))</f>
        <v/>
      </c>
      <c r="J9" s="242"/>
      <c r="K9" s="243" t="str">
        <f ca="1">IF(ISERROR('Supporting Calendar'!AF3),"",INDEX('Todo-Holiday-Event'!$E$9:$E$258,'Supporting Calendar'!AF3))</f>
        <v/>
      </c>
      <c r="L9" s="242"/>
      <c r="M9" s="243" t="str">
        <f ca="1">IF(ISERROR('Supporting Calendar'!AG3),"",INDEX('Todo-Holiday-Event'!$E$9:$E$258,'Supporting Calendar'!AG3))</f>
        <v/>
      </c>
      <c r="N9" s="242"/>
      <c r="O9" s="243" t="str">
        <f ca="1">IF(ISERROR('Supporting Calendar'!AH3),"",INDEX('Todo-Holiday-Event'!$E$9:$E$258,'Supporting Calendar'!AH3))</f>
        <v/>
      </c>
      <c r="P9" s="242"/>
      <c r="AH9" s="78"/>
    </row>
    <row r="10" spans="1:34" s="76" customFormat="1" ht="15" customHeight="1" x14ac:dyDescent="0.25">
      <c r="A10" s="157"/>
      <c r="C10" s="244" t="str">
        <f ca="1">IF(ISERROR('Supporting Calendar'!AB4),"",INDEX('Todo-Holiday-Event'!$E$9:$E$258,'Supporting Calendar'!AB4))</f>
        <v/>
      </c>
      <c r="D10" s="245"/>
      <c r="E10" s="244" t="str">
        <f ca="1">IF(ISERROR('Supporting Calendar'!AC4),"",INDEX('Todo-Holiday-Event'!$E$9:$E$258,'Supporting Calendar'!AC4))</f>
        <v/>
      </c>
      <c r="F10" s="245"/>
      <c r="G10" s="244" t="str">
        <f ca="1">IF(ISERROR('Supporting Calendar'!AD4),"",INDEX('Todo-Holiday-Event'!$E$9:$E$258,'Supporting Calendar'!AD4))</f>
        <v/>
      </c>
      <c r="H10" s="245"/>
      <c r="I10" s="244" t="str">
        <f ca="1">IF(ISERROR('Supporting Calendar'!AE4),"",INDEX('Todo-Holiday-Event'!$E$9:$E$258,'Supporting Calendar'!AE4))</f>
        <v/>
      </c>
      <c r="J10" s="245"/>
      <c r="K10" s="244" t="str">
        <f ca="1">IF(ISERROR('Supporting Calendar'!AF4),"",INDEX('Todo-Holiday-Event'!$E$9:$E$258,'Supporting Calendar'!AF4))</f>
        <v/>
      </c>
      <c r="L10" s="245"/>
      <c r="M10" s="244" t="str">
        <f ca="1">IF(ISERROR('Supporting Calendar'!AG4),"",INDEX('Todo-Holiday-Event'!$E$9:$E$258,'Supporting Calendar'!AG4))</f>
        <v/>
      </c>
      <c r="N10" s="245"/>
      <c r="O10" s="244" t="str">
        <f ca="1">IF(ISERROR('Supporting Calendar'!AH4),"",INDEX('Todo-Holiday-Event'!$E$9:$E$258,'Supporting Calendar'!AH4))</f>
        <v/>
      </c>
      <c r="P10" s="245"/>
      <c r="AH10" s="78"/>
    </row>
    <row r="11" spans="1:34" s="13" customFormat="1" ht="15" customHeight="1" x14ac:dyDescent="0.25">
      <c r="A11" s="157"/>
      <c r="C11" s="142">
        <f>O6+1</f>
        <v>4</v>
      </c>
      <c r="D11" s="143" t="str">
        <f>IF(C11&lt;&gt;"",IF(ISNA(VLOOKUP(DATE($M$31,$O$31,C11),'Todo-Holiday-Event'!$L$9:$M$28,2,FALSE)),IF(ISNA(VLOOKUP(DATE($M$31,$O$31,C11),'Todo-Holiday-Event'!$H$9:$I$28,2,FALSE)),"",VLOOKUP(DATE($M$31,$O$31,C11),'Todo-Holiday-Event'!$H$9:$I$28,2,FALSE)),VLOOKUP(DATE($M$31,$O$31,C11),'Todo-Holiday-Event'!$L$9:$M$28,2,FALSE)),"")</f>
        <v/>
      </c>
      <c r="E11" s="142">
        <f>C11+1</f>
        <v>5</v>
      </c>
      <c r="F11" s="143" t="str">
        <f>IF(E11&lt;&gt;"",IF(ISNA(VLOOKUP(DATE($M$31,$O$31,E11),'Todo-Holiday-Event'!$L$9:$M$28,2,FALSE)),IF(ISNA(VLOOKUP(DATE($M$31,$O$31,E11),'Todo-Holiday-Event'!$H$9:$I$28,2,FALSE)),"",VLOOKUP(DATE($M$31,$O$31,E11),'Todo-Holiday-Event'!$H$9:$I$28,2,FALSE)),VLOOKUP(DATE($M$31,$O$31,E11),'Todo-Holiday-Event'!$L$9:$M$28,2,FALSE)),"")</f>
        <v/>
      </c>
      <c r="G11" s="142">
        <f>E11+1</f>
        <v>6</v>
      </c>
      <c r="H11" s="143" t="str">
        <f>IF(G11&lt;&gt;"",IF(ISNA(VLOOKUP(DATE($M$31,$O$31,G11),'Todo-Holiday-Event'!$L$9:$M$28,2,FALSE)),IF(ISNA(VLOOKUP(DATE($M$31,$O$31,G11),'Todo-Holiday-Event'!$H$9:$I$28,2,FALSE)),"",VLOOKUP(DATE($M$31,$O$31,G11),'Todo-Holiday-Event'!$H$9:$I$28,2,FALSE)),VLOOKUP(DATE($M$31,$O$31,G11),'Todo-Holiday-Event'!$L$9:$M$28,2,FALSE)),"")</f>
        <v/>
      </c>
      <c r="I11" s="142">
        <f>G11+1</f>
        <v>7</v>
      </c>
      <c r="J11" s="143" t="str">
        <f>IF(I11&lt;&gt;"",IF(ISNA(VLOOKUP(DATE($M$31,$O$31,I11),'Todo-Holiday-Event'!$L$9:$M$28,2,FALSE)),IF(ISNA(VLOOKUP(DATE($M$31,$O$31,I11),'Todo-Holiday-Event'!$H$9:$I$28,2,FALSE)),"",VLOOKUP(DATE($M$31,$O$31,I11),'Todo-Holiday-Event'!$H$9:$I$28,2,FALSE)),VLOOKUP(DATE($M$31,$O$31,I11),'Todo-Holiday-Event'!$L$9:$M$28,2,FALSE)),"")</f>
        <v>Jane Doe  Show</v>
      </c>
      <c r="K11" s="142">
        <f>I11+1</f>
        <v>8</v>
      </c>
      <c r="L11" s="143" t="str">
        <f>IF(K11&lt;&gt;"",IF(ISNA(VLOOKUP(DATE($M$31,$O$31,K11),'Todo-Holiday-Event'!$L$9:$M$28,2,FALSE)),IF(ISNA(VLOOKUP(DATE($M$31,$O$31,K11),'Todo-Holiday-Event'!$H$9:$I$28,2,FALSE)),"",VLOOKUP(DATE($M$31,$O$31,K11),'Todo-Holiday-Event'!$H$9:$I$28,2,FALSE)),VLOOKUP(DATE($M$31,$O$31,K11),'Todo-Holiday-Event'!$L$9:$M$28,2,FALSE)),"")</f>
        <v/>
      </c>
      <c r="M11" s="142">
        <f>K11+1</f>
        <v>9</v>
      </c>
      <c r="N11" s="143" t="str">
        <f>IF(M11&lt;&gt;"",IF(ISNA(VLOOKUP(DATE($M$31,$O$31,M11),'Todo-Holiday-Event'!$L$9:$M$28,2,FALSE)),IF(ISNA(VLOOKUP(DATE($M$31,$O$31,M11),'Todo-Holiday-Event'!$H$9:$I$28,2,FALSE)),"",VLOOKUP(DATE($M$31,$O$31,M11),'Todo-Holiday-Event'!$H$9:$I$28,2,FALSE)),VLOOKUP(DATE($M$31,$O$31,M11),'Todo-Holiday-Event'!$L$9:$M$28,2,FALSE)),"")</f>
        <v/>
      </c>
      <c r="O11" s="142">
        <f>M11+1</f>
        <v>10</v>
      </c>
      <c r="P11" s="143" t="str">
        <f>IF(O11&lt;&gt;"",IF(ISNA(VLOOKUP(DATE($M$31,$O$31,O11),'Todo-Holiday-Event'!$L$9:$M$28,2,FALSE)),IF(ISNA(VLOOKUP(DATE($M$31,$O$31,O11),'Todo-Holiday-Event'!$H$9:$I$28,2,FALSE)),"",VLOOKUP(DATE($M$31,$O$31,O11),'Todo-Holiday-Event'!$H$9:$I$28,2,FALSE)),VLOOKUP(DATE($M$31,$O$31,O11),'Todo-Holiday-Event'!$L$9:$M$28,2,FALSE)),"")</f>
        <v/>
      </c>
      <c r="X11" s="70"/>
      <c r="AH11" s="67"/>
    </row>
    <row r="12" spans="1:34" s="76" customFormat="1" ht="15" customHeight="1" x14ac:dyDescent="0.25">
      <c r="A12" s="157"/>
      <c r="C12" s="251" t="str">
        <f>IF(ISERROR('Supporting Calendar'!AB7),"",INDEX('Todo-Holiday-Event'!$E$9:$E$258,'Supporting Calendar'!AB7))</f>
        <v/>
      </c>
      <c r="D12" s="252"/>
      <c r="E12" s="251" t="str">
        <f>IF(ISERROR('Supporting Calendar'!AC7),"",INDEX('Todo-Holiday-Event'!$E$9:$E$258,'Supporting Calendar'!AC7))</f>
        <v/>
      </c>
      <c r="F12" s="252"/>
      <c r="G12" s="251" t="str">
        <f>IF(ISERROR('Supporting Calendar'!AD7),"",INDEX('Todo-Holiday-Event'!$E$9:$E$258,'Supporting Calendar'!AD7))</f>
        <v/>
      </c>
      <c r="H12" s="252"/>
      <c r="I12" s="251" t="str">
        <f>IF(ISERROR('Supporting Calendar'!AE7),"",INDEX('Todo-Holiday-Event'!$E$9:$E$258,'Supporting Calendar'!AE7))</f>
        <v>Meeting with ABC</v>
      </c>
      <c r="J12" s="252"/>
      <c r="K12" s="251" t="str">
        <f>IF(ISERROR('Supporting Calendar'!AF7),"",INDEX('Todo-Holiday-Event'!$E$9:$E$258,'Supporting Calendar'!AF7))</f>
        <v/>
      </c>
      <c r="L12" s="252"/>
      <c r="M12" s="251" t="str">
        <f>IF(ISERROR('Supporting Calendar'!AG7),"",INDEX('Todo-Holiday-Event'!$E$9:$E$258,'Supporting Calendar'!AG7))</f>
        <v/>
      </c>
      <c r="N12" s="252"/>
      <c r="O12" s="251" t="str">
        <f>IF(ISERROR('Supporting Calendar'!AH7),"",INDEX('Todo-Holiday-Event'!$E$9:$E$258,'Supporting Calendar'!AH7))</f>
        <v/>
      </c>
      <c r="P12" s="252"/>
      <c r="X12" s="77"/>
      <c r="AH12" s="78"/>
    </row>
    <row r="13" spans="1:34" s="76" customFormat="1" ht="15" customHeight="1" x14ac:dyDescent="0.25">
      <c r="A13" s="157"/>
      <c r="C13" s="253" t="str">
        <f ca="1">IF(ISERROR('Supporting Calendar'!AB8),"",INDEX('Todo-Holiday-Event'!$E$9:$E$258,'Supporting Calendar'!AB8))</f>
        <v/>
      </c>
      <c r="D13" s="252"/>
      <c r="E13" s="253" t="str">
        <f ca="1">IF(ISERROR('Supporting Calendar'!AC8),"",INDEX('Todo-Holiday-Event'!$E$9:$E$258,'Supporting Calendar'!AC8))</f>
        <v/>
      </c>
      <c r="F13" s="252"/>
      <c r="G13" s="253" t="str">
        <f ca="1">IF(ISERROR('Supporting Calendar'!AD8),"",INDEX('Todo-Holiday-Event'!$E$9:$E$258,'Supporting Calendar'!AD8))</f>
        <v/>
      </c>
      <c r="H13" s="252"/>
      <c r="I13" s="253" t="str">
        <f ca="1">IF(ISERROR('Supporting Calendar'!AE8),"",INDEX('Todo-Holiday-Event'!$E$9:$E$258,'Supporting Calendar'!AE8))</f>
        <v/>
      </c>
      <c r="J13" s="252"/>
      <c r="K13" s="253" t="str">
        <f ca="1">IF(ISERROR('Supporting Calendar'!AF8),"",INDEX('Todo-Holiday-Event'!$E$9:$E$258,'Supporting Calendar'!AF8))</f>
        <v/>
      </c>
      <c r="L13" s="252"/>
      <c r="M13" s="253" t="str">
        <f ca="1">IF(ISERROR('Supporting Calendar'!AG8),"",INDEX('Todo-Holiday-Event'!$E$9:$E$258,'Supporting Calendar'!AG8))</f>
        <v/>
      </c>
      <c r="N13" s="252"/>
      <c r="O13" s="253" t="str">
        <f ca="1">IF(ISERROR('Supporting Calendar'!AH8),"",INDEX('Todo-Holiday-Event'!$E$9:$E$258,'Supporting Calendar'!AH8))</f>
        <v/>
      </c>
      <c r="P13" s="252"/>
      <c r="X13" s="77"/>
      <c r="AH13" s="78"/>
    </row>
    <row r="14" spans="1:34" s="76" customFormat="1" ht="15" customHeight="1" x14ac:dyDescent="0.25">
      <c r="A14" s="157"/>
      <c r="C14" s="253" t="str">
        <f ca="1">IF(ISERROR('Supporting Calendar'!AB9),"",INDEX('Todo-Holiday-Event'!$E$9:$E$258,'Supporting Calendar'!AB9))</f>
        <v/>
      </c>
      <c r="D14" s="252"/>
      <c r="E14" s="253" t="str">
        <f ca="1">IF(ISERROR('Supporting Calendar'!AC9),"",INDEX('Todo-Holiday-Event'!$E$9:$E$258,'Supporting Calendar'!AC9))</f>
        <v/>
      </c>
      <c r="F14" s="252"/>
      <c r="G14" s="253" t="str">
        <f ca="1">IF(ISERROR('Supporting Calendar'!AD9),"",INDEX('Todo-Holiday-Event'!$E$9:$E$258,'Supporting Calendar'!AD9))</f>
        <v/>
      </c>
      <c r="H14" s="252"/>
      <c r="I14" s="253" t="str">
        <f ca="1">IF(ISERROR('Supporting Calendar'!AE9),"",INDEX('Todo-Holiday-Event'!$E$9:$E$258,'Supporting Calendar'!AE9))</f>
        <v/>
      </c>
      <c r="J14" s="252"/>
      <c r="K14" s="253" t="str">
        <f ca="1">IF(ISERROR('Supporting Calendar'!AF9),"",INDEX('Todo-Holiday-Event'!$E$9:$E$258,'Supporting Calendar'!AF9))</f>
        <v/>
      </c>
      <c r="L14" s="252"/>
      <c r="M14" s="253" t="str">
        <f ca="1">IF(ISERROR('Supporting Calendar'!AG9),"",INDEX('Todo-Holiday-Event'!$E$9:$E$258,'Supporting Calendar'!AG9))</f>
        <v/>
      </c>
      <c r="N14" s="252"/>
      <c r="O14" s="253" t="str">
        <f ca="1">IF(ISERROR('Supporting Calendar'!AH9),"",INDEX('Todo-Holiday-Event'!$E$9:$E$258,'Supporting Calendar'!AH9))</f>
        <v/>
      </c>
      <c r="P14" s="252"/>
      <c r="X14" s="77"/>
      <c r="AH14" s="78"/>
    </row>
    <row r="15" spans="1:34" s="76" customFormat="1" ht="15" customHeight="1" x14ac:dyDescent="0.25">
      <c r="A15" s="157"/>
      <c r="C15" s="254" t="str">
        <f ca="1">IF(ISERROR('Supporting Calendar'!AB10),"",INDEX('Todo-Holiday-Event'!$E$9:$E$258,'Supporting Calendar'!AB10))</f>
        <v/>
      </c>
      <c r="D15" s="255"/>
      <c r="E15" s="254" t="str">
        <f ca="1">IF(ISERROR('Supporting Calendar'!AC10),"",INDEX('Todo-Holiday-Event'!$E$9:$E$258,'Supporting Calendar'!AC10))</f>
        <v/>
      </c>
      <c r="F15" s="255"/>
      <c r="G15" s="254" t="str">
        <f ca="1">IF(ISERROR('Supporting Calendar'!AD10),"",INDEX('Todo-Holiday-Event'!$E$9:$E$258,'Supporting Calendar'!AD10))</f>
        <v/>
      </c>
      <c r="H15" s="255"/>
      <c r="I15" s="254" t="str">
        <f ca="1">IF(ISERROR('Supporting Calendar'!AE10),"",INDEX('Todo-Holiday-Event'!$E$9:$E$258,'Supporting Calendar'!AE10))</f>
        <v/>
      </c>
      <c r="J15" s="255"/>
      <c r="K15" s="254" t="str">
        <f ca="1">IF(ISERROR('Supporting Calendar'!AF10),"",INDEX('Todo-Holiday-Event'!$E$9:$E$258,'Supporting Calendar'!AF10))</f>
        <v/>
      </c>
      <c r="L15" s="255"/>
      <c r="M15" s="254" t="str">
        <f ca="1">IF(ISERROR('Supporting Calendar'!AG10),"",INDEX('Todo-Holiday-Event'!$E$9:$E$258,'Supporting Calendar'!AG10))</f>
        <v/>
      </c>
      <c r="N15" s="255"/>
      <c r="O15" s="254" t="str">
        <f ca="1">IF(ISERROR('Supporting Calendar'!AH10),"",INDEX('Todo-Holiday-Event'!$E$9:$E$258,'Supporting Calendar'!AH10))</f>
        <v/>
      </c>
      <c r="P15" s="255"/>
      <c r="X15" s="77"/>
      <c r="AH15" s="78"/>
    </row>
    <row r="16" spans="1:34" s="13" customFormat="1" ht="15" customHeight="1" x14ac:dyDescent="0.25">
      <c r="A16" s="157"/>
      <c r="C16" s="142">
        <f>O11+1</f>
        <v>11</v>
      </c>
      <c r="D16" s="143" t="str">
        <f>IF(C16&lt;&gt;"",IF(ISNA(VLOOKUP(DATE($M$31,$O$31,C16),'Todo-Holiday-Event'!$L$9:$M$28,2,FALSE)),IF(ISNA(VLOOKUP(DATE($M$31,$O$31,C16),'Todo-Holiday-Event'!$H$9:$I$28,2,FALSE)),"",VLOOKUP(DATE($M$31,$O$31,C16),'Todo-Holiday-Event'!$H$9:$I$28,2,FALSE)),VLOOKUP(DATE($M$31,$O$31,C16),'Todo-Holiday-Event'!$L$9:$M$28,2,FALSE)),"")</f>
        <v/>
      </c>
      <c r="E16" s="142">
        <f>C16+1</f>
        <v>12</v>
      </c>
      <c r="F16" s="143" t="str">
        <f>IF(E16&lt;&gt;"",IF(ISNA(VLOOKUP(DATE($M$31,$O$31,E16),'Todo-Holiday-Event'!$L$9:$M$28,2,FALSE)),IF(ISNA(VLOOKUP(DATE($M$31,$O$31,E16),'Todo-Holiday-Event'!$H$9:$I$28,2,FALSE)),"",VLOOKUP(DATE($M$31,$O$31,E16),'Todo-Holiday-Event'!$H$9:$I$28,2,FALSE)),VLOOKUP(DATE($M$31,$O$31,E16),'Todo-Holiday-Event'!$L$9:$M$28,2,FALSE)),"")</f>
        <v/>
      </c>
      <c r="G16" s="142">
        <f>E16+1</f>
        <v>13</v>
      </c>
      <c r="H16" s="143" t="str">
        <f>IF(G16&lt;&gt;"",IF(ISNA(VLOOKUP(DATE($M$31,$O$31,G16),'Todo-Holiday-Event'!$L$9:$M$28,2,FALSE)),IF(ISNA(VLOOKUP(DATE($M$31,$O$31,G16),'Todo-Holiday-Event'!$H$9:$I$28,2,FALSE)),"",VLOOKUP(DATE($M$31,$O$31,G16),'Todo-Holiday-Event'!$H$9:$I$28,2,FALSE)),VLOOKUP(DATE($M$31,$O$31,G16),'Todo-Holiday-Event'!$L$9:$M$28,2,FALSE)),"")</f>
        <v/>
      </c>
      <c r="I16" s="142">
        <f>G16+1</f>
        <v>14</v>
      </c>
      <c r="J16" s="143" t="str">
        <f>IF(I16&lt;&gt;"",IF(ISNA(VLOOKUP(DATE($M$31,$O$31,I16),'Todo-Holiday-Event'!$L$9:$M$28,2,FALSE)),IF(ISNA(VLOOKUP(DATE($M$31,$O$31,I16),'Todo-Holiday-Event'!$H$9:$I$28,2,FALSE)),"",VLOOKUP(DATE($M$31,$O$31,I16),'Todo-Holiday-Event'!$H$9:$I$28,2,FALSE)),VLOOKUP(DATE($M$31,$O$31,I16),'Todo-Holiday-Event'!$L$9:$M$28,2,FALSE)),"")</f>
        <v/>
      </c>
      <c r="K16" s="142">
        <f>I16+1</f>
        <v>15</v>
      </c>
      <c r="L16" s="143" t="str">
        <f>IF(K16&lt;&gt;"",IF(ISNA(VLOOKUP(DATE($M$31,$O$31,K16),'Todo-Holiday-Event'!$L$9:$M$28,2,FALSE)),IF(ISNA(VLOOKUP(DATE($M$31,$O$31,K16),'Todo-Holiday-Event'!$H$9:$I$28,2,FALSE)),"",VLOOKUP(DATE($M$31,$O$31,K16),'Todo-Holiday-Event'!$H$9:$I$28,2,FALSE)),VLOOKUP(DATE($M$31,$O$31,K16),'Todo-Holiday-Event'!$L$9:$M$28,2,FALSE)),"")</f>
        <v/>
      </c>
      <c r="M16" s="142">
        <f>K16+1</f>
        <v>16</v>
      </c>
      <c r="N16" s="143" t="str">
        <f>IF(M16&lt;&gt;"",IF(ISNA(VLOOKUP(DATE($M$31,$O$31,M16),'Todo-Holiday-Event'!$L$9:$M$28,2,FALSE)),IF(ISNA(VLOOKUP(DATE($M$31,$O$31,M16),'Todo-Holiday-Event'!$H$9:$I$28,2,FALSE)),"",VLOOKUP(DATE($M$31,$O$31,M16),'Todo-Holiday-Event'!$H$9:$I$28,2,FALSE)),VLOOKUP(DATE($M$31,$O$31,M16),'Todo-Holiday-Event'!$L$9:$M$28,2,FALSE)),"")</f>
        <v/>
      </c>
      <c r="O16" s="142">
        <f>M16+1</f>
        <v>17</v>
      </c>
      <c r="P16" s="143" t="str">
        <f>IF(O16&lt;&gt;"",IF(ISNA(VLOOKUP(DATE($M$31,$O$31,O16),'Todo-Holiday-Event'!$L$9:$M$28,2,FALSE)),IF(ISNA(VLOOKUP(DATE($M$31,$O$31,O16),'Todo-Holiday-Event'!$H$9:$I$28,2,FALSE)),"",VLOOKUP(DATE($M$31,$O$31,O16),'Todo-Holiday-Event'!$H$9:$I$28,2,FALSE)),VLOOKUP(DATE($M$31,$O$31,O16),'Todo-Holiday-Event'!$L$9:$M$28,2,FALSE)),"")</f>
        <v/>
      </c>
      <c r="X16" s="70"/>
      <c r="AH16" s="67"/>
    </row>
    <row r="17" spans="1:34" s="76" customFormat="1" ht="15" customHeight="1" x14ac:dyDescent="0.25">
      <c r="A17" s="157"/>
      <c r="C17" s="251" t="str">
        <f>IF(ISERROR('Supporting Calendar'!AB13),"",INDEX('Todo-Holiday-Event'!$E$9:$E$258,'Supporting Calendar'!AB13))</f>
        <v/>
      </c>
      <c r="D17" s="252"/>
      <c r="E17" s="251" t="str">
        <f>IF(ISERROR('Supporting Calendar'!AC13),"",INDEX('Todo-Holiday-Event'!$E$9:$E$258,'Supporting Calendar'!AC13))</f>
        <v/>
      </c>
      <c r="F17" s="252"/>
      <c r="G17" s="251" t="str">
        <f>IF(ISERROR('Supporting Calendar'!AD13),"",INDEX('Todo-Holiday-Event'!$E$9:$E$258,'Supporting Calendar'!AD13))</f>
        <v/>
      </c>
      <c r="H17" s="252"/>
      <c r="I17" s="251" t="str">
        <f>IF(ISERROR('Supporting Calendar'!AE13),"",INDEX('Todo-Holiday-Event'!$E$9:$E$258,'Supporting Calendar'!AE13))</f>
        <v/>
      </c>
      <c r="J17" s="252"/>
      <c r="K17" s="251" t="str">
        <f>IF(ISERROR('Supporting Calendar'!AF13),"",INDEX('Todo-Holiday-Event'!$E$9:$E$258,'Supporting Calendar'!AF13))</f>
        <v/>
      </c>
      <c r="L17" s="252"/>
      <c r="M17" s="251" t="str">
        <f>IF(ISERROR('Supporting Calendar'!AG13),"",INDEX('Todo-Holiday-Event'!$E$9:$E$258,'Supporting Calendar'!AG13))</f>
        <v/>
      </c>
      <c r="N17" s="252"/>
      <c r="O17" s="251" t="str">
        <f>IF(ISERROR('Supporting Calendar'!AH13),"",INDEX('Todo-Holiday-Event'!$E$9:$E$258,'Supporting Calendar'!AH13))</f>
        <v/>
      </c>
      <c r="P17" s="252"/>
      <c r="X17" s="77"/>
      <c r="AH17" s="78"/>
    </row>
    <row r="18" spans="1:34" s="76" customFormat="1" ht="15" customHeight="1" x14ac:dyDescent="0.25">
      <c r="A18" s="157"/>
      <c r="C18" s="253" t="str">
        <f ca="1">IF(ISERROR('Supporting Calendar'!AB14),"",INDEX('Todo-Holiday-Event'!$E$9:$E$258,'Supporting Calendar'!AB14))</f>
        <v/>
      </c>
      <c r="D18" s="252"/>
      <c r="E18" s="253" t="str">
        <f ca="1">IF(ISERROR('Supporting Calendar'!AC14),"",INDEX('Todo-Holiday-Event'!$E$9:$E$258,'Supporting Calendar'!AC14))</f>
        <v/>
      </c>
      <c r="F18" s="252"/>
      <c r="G18" s="253" t="str">
        <f ca="1">IF(ISERROR('Supporting Calendar'!AD14),"",INDEX('Todo-Holiday-Event'!$E$9:$E$258,'Supporting Calendar'!AD14))</f>
        <v/>
      </c>
      <c r="H18" s="252"/>
      <c r="I18" s="253" t="str">
        <f ca="1">IF(ISERROR('Supporting Calendar'!AE14),"",INDEX('Todo-Holiday-Event'!$E$9:$E$258,'Supporting Calendar'!AE14))</f>
        <v/>
      </c>
      <c r="J18" s="252"/>
      <c r="K18" s="253" t="str">
        <f ca="1">IF(ISERROR('Supporting Calendar'!AF14),"",INDEX('Todo-Holiday-Event'!$E$9:$E$258,'Supporting Calendar'!AF14))</f>
        <v/>
      </c>
      <c r="L18" s="252"/>
      <c r="M18" s="253" t="str">
        <f ca="1">IF(ISERROR('Supporting Calendar'!AG14),"",INDEX('Todo-Holiday-Event'!$E$9:$E$258,'Supporting Calendar'!AG14))</f>
        <v/>
      </c>
      <c r="N18" s="252"/>
      <c r="O18" s="253" t="str">
        <f ca="1">IF(ISERROR('Supporting Calendar'!AH14),"",INDEX('Todo-Holiday-Event'!$E$9:$E$258,'Supporting Calendar'!AH14))</f>
        <v/>
      </c>
      <c r="P18" s="252"/>
      <c r="X18" s="77"/>
      <c r="AH18" s="78"/>
    </row>
    <row r="19" spans="1:34" s="76" customFormat="1" ht="15" customHeight="1" x14ac:dyDescent="0.25">
      <c r="A19" s="157"/>
      <c r="C19" s="253" t="str">
        <f ca="1">IF(ISERROR('Supporting Calendar'!AB15),"",INDEX('Todo-Holiday-Event'!$E$9:$E$258,'Supporting Calendar'!AB15))</f>
        <v/>
      </c>
      <c r="D19" s="252"/>
      <c r="E19" s="253" t="str">
        <f ca="1">IF(ISERROR('Supporting Calendar'!AC15),"",INDEX('Todo-Holiday-Event'!$E$9:$E$258,'Supporting Calendar'!AC15))</f>
        <v/>
      </c>
      <c r="F19" s="252"/>
      <c r="G19" s="253" t="str">
        <f ca="1">IF(ISERROR('Supporting Calendar'!AD15),"",INDEX('Todo-Holiday-Event'!$E$9:$E$258,'Supporting Calendar'!AD15))</f>
        <v/>
      </c>
      <c r="H19" s="252"/>
      <c r="I19" s="253" t="str">
        <f ca="1">IF(ISERROR('Supporting Calendar'!AE15),"",INDEX('Todo-Holiday-Event'!$E$9:$E$258,'Supporting Calendar'!AE15))</f>
        <v/>
      </c>
      <c r="J19" s="252"/>
      <c r="K19" s="253" t="str">
        <f ca="1">IF(ISERROR('Supporting Calendar'!AF15),"",INDEX('Todo-Holiday-Event'!$E$9:$E$258,'Supporting Calendar'!AF15))</f>
        <v/>
      </c>
      <c r="L19" s="252"/>
      <c r="M19" s="253" t="str">
        <f ca="1">IF(ISERROR('Supporting Calendar'!AG15),"",INDEX('Todo-Holiday-Event'!$E$9:$E$258,'Supporting Calendar'!AG15))</f>
        <v/>
      </c>
      <c r="N19" s="252"/>
      <c r="O19" s="253" t="str">
        <f ca="1">IF(ISERROR('Supporting Calendar'!AH15),"",INDEX('Todo-Holiday-Event'!$E$9:$E$258,'Supporting Calendar'!AH15))</f>
        <v/>
      </c>
      <c r="P19" s="252"/>
      <c r="X19" s="77"/>
      <c r="AH19" s="78"/>
    </row>
    <row r="20" spans="1:34" s="76" customFormat="1" ht="15" customHeight="1" x14ac:dyDescent="0.25">
      <c r="A20" s="157"/>
      <c r="C20" s="254" t="str">
        <f ca="1">IF(ISERROR('Supporting Calendar'!AB16),"",INDEX('Todo-Holiday-Event'!$E$9:$E$258,'Supporting Calendar'!AB16))</f>
        <v/>
      </c>
      <c r="D20" s="255"/>
      <c r="E20" s="254" t="str">
        <f ca="1">IF(ISERROR('Supporting Calendar'!AC16),"",INDEX('Todo-Holiday-Event'!$E$9:$E$258,'Supporting Calendar'!AC16))</f>
        <v/>
      </c>
      <c r="F20" s="255"/>
      <c r="G20" s="254" t="str">
        <f ca="1">IF(ISERROR('Supporting Calendar'!AD16),"",INDEX('Todo-Holiday-Event'!$E$9:$E$258,'Supporting Calendar'!AD16))</f>
        <v/>
      </c>
      <c r="H20" s="255"/>
      <c r="I20" s="254" t="str">
        <f ca="1">IF(ISERROR('Supporting Calendar'!AE16),"",INDEX('Todo-Holiday-Event'!$E$9:$E$258,'Supporting Calendar'!AE16))</f>
        <v/>
      </c>
      <c r="J20" s="255"/>
      <c r="K20" s="254" t="str">
        <f ca="1">IF(ISERROR('Supporting Calendar'!AF16),"",INDEX('Todo-Holiday-Event'!$E$9:$E$258,'Supporting Calendar'!AF16))</f>
        <v/>
      </c>
      <c r="L20" s="255"/>
      <c r="M20" s="254" t="str">
        <f ca="1">IF(ISERROR('Supporting Calendar'!AG16),"",INDEX('Todo-Holiday-Event'!$E$9:$E$258,'Supporting Calendar'!AG16))</f>
        <v/>
      </c>
      <c r="N20" s="255"/>
      <c r="O20" s="254" t="str">
        <f ca="1">IF(ISERROR('Supporting Calendar'!AH16),"",INDEX('Todo-Holiday-Event'!$E$9:$E$258,'Supporting Calendar'!AH16))</f>
        <v/>
      </c>
      <c r="P20" s="255"/>
      <c r="X20" s="77"/>
      <c r="AH20" s="78"/>
    </row>
    <row r="21" spans="1:34" s="13" customFormat="1" ht="15" customHeight="1" x14ac:dyDescent="0.25">
      <c r="A21" s="157"/>
      <c r="C21" s="142">
        <f>O16+1</f>
        <v>18</v>
      </c>
      <c r="D21" s="143" t="str">
        <f>IF(C21&lt;&gt;"",IF(ISNA(VLOOKUP(DATE($M$31,$O$31,C21),'Todo-Holiday-Event'!$L$9:$M$28,2,FALSE)),IF(ISNA(VLOOKUP(DATE($M$31,$O$31,C21),'Todo-Holiday-Event'!$H$9:$I$28,2,FALSE)),"",VLOOKUP(DATE($M$31,$O$31,C21),'Todo-Holiday-Event'!$H$9:$I$28,2,FALSE)),VLOOKUP(DATE($M$31,$O$31,C21),'Todo-Holiday-Event'!$L$9:$M$28,2,FALSE)),"")</f>
        <v/>
      </c>
      <c r="E21" s="142">
        <f>C21+1</f>
        <v>19</v>
      </c>
      <c r="F21" s="143" t="str">
        <f>IF(E21&lt;&gt;"",IF(ISNA(VLOOKUP(DATE($M$31,$O$31,E21),'Todo-Holiday-Event'!$L$9:$M$28,2,FALSE)),IF(ISNA(VLOOKUP(DATE($M$31,$O$31,E21),'Todo-Holiday-Event'!$H$9:$I$28,2,FALSE)),"",VLOOKUP(DATE($M$31,$O$31,E21),'Todo-Holiday-Event'!$H$9:$I$28,2,FALSE)),VLOOKUP(DATE($M$31,$O$31,E21),'Todo-Holiday-Event'!$L$9:$M$28,2,FALSE)),"")</f>
        <v/>
      </c>
      <c r="G21" s="142">
        <f>E21+1</f>
        <v>20</v>
      </c>
      <c r="H21" s="143" t="str">
        <f>IF(G21&lt;&gt;"",IF(ISNA(VLOOKUP(DATE($M$31,$O$31,G21),'Todo-Holiday-Event'!$L$9:$M$28,2,FALSE)),IF(ISNA(VLOOKUP(DATE($M$31,$O$31,G21),'Todo-Holiday-Event'!$H$9:$I$28,2,FALSE)),"",VLOOKUP(DATE($M$31,$O$31,G21),'Todo-Holiday-Event'!$H$9:$I$28,2,FALSE)),VLOOKUP(DATE($M$31,$O$31,G21),'Todo-Holiday-Event'!$L$9:$M$28,2,FALSE)),"")</f>
        <v/>
      </c>
      <c r="I21" s="142">
        <f>G21+1</f>
        <v>21</v>
      </c>
      <c r="J21" s="143" t="str">
        <f>IF(I21&lt;&gt;"",IF(ISNA(VLOOKUP(DATE($M$31,$O$31,I21),'Todo-Holiday-Event'!$L$9:$M$28,2,FALSE)),IF(ISNA(VLOOKUP(DATE($M$31,$O$31,I21),'Todo-Holiday-Event'!$H$9:$I$28,2,FALSE)),"",VLOOKUP(DATE($M$31,$O$31,I21),'Todo-Holiday-Event'!$H$9:$I$28,2,FALSE)),VLOOKUP(DATE($M$31,$O$31,I21),'Todo-Holiday-Event'!$L$9:$M$28,2,FALSE)),"")</f>
        <v/>
      </c>
      <c r="K21" s="142">
        <f>I21+1</f>
        <v>22</v>
      </c>
      <c r="L21" s="143" t="str">
        <f>IF(K21&lt;&gt;"",IF(ISNA(VLOOKUP(DATE($M$31,$O$31,K21),'Todo-Holiday-Event'!$L$9:$M$28,2,FALSE)),IF(ISNA(VLOOKUP(DATE($M$31,$O$31,K21),'Todo-Holiday-Event'!$H$9:$I$28,2,FALSE)),"",VLOOKUP(DATE($M$31,$O$31,K21),'Todo-Holiday-Event'!$H$9:$I$28,2,FALSE)),VLOOKUP(DATE($M$31,$O$31,K21),'Todo-Holiday-Event'!$L$9:$M$28,2,FALSE)),"")</f>
        <v/>
      </c>
      <c r="M21" s="142">
        <f>K21+1</f>
        <v>23</v>
      </c>
      <c r="N21" s="143" t="str">
        <f>IF(M21&lt;&gt;"",IF(ISNA(VLOOKUP(DATE($M$31,$O$31,M21),'Todo-Holiday-Event'!$L$9:$M$28,2,FALSE)),IF(ISNA(VLOOKUP(DATE($M$31,$O$31,M21),'Todo-Holiday-Event'!$H$9:$I$28,2,FALSE)),"",VLOOKUP(DATE($M$31,$O$31,M21),'Todo-Holiday-Event'!$H$9:$I$28,2,FALSE)),VLOOKUP(DATE($M$31,$O$31,M21),'Todo-Holiday-Event'!$L$9:$M$28,2,FALSE)),"")</f>
        <v/>
      </c>
      <c r="O21" s="142">
        <f>M21+1</f>
        <v>24</v>
      </c>
      <c r="P21" s="143" t="str">
        <f>IF(O21&lt;&gt;"",IF(ISNA(VLOOKUP(DATE($M$31,$O$31,O21),'Todo-Holiday-Event'!$L$9:$M$28,2,FALSE)),IF(ISNA(VLOOKUP(DATE($M$31,$O$31,O21),'Todo-Holiday-Event'!$H$9:$I$28,2,FALSE)),"",VLOOKUP(DATE($M$31,$O$31,O21),'Todo-Holiday-Event'!$H$9:$I$28,2,FALSE)),VLOOKUP(DATE($M$31,$O$31,O21),'Todo-Holiday-Event'!$L$9:$M$28,2,FALSE)),"")</f>
        <v/>
      </c>
      <c r="X21" s="70"/>
      <c r="AH21" s="67"/>
    </row>
    <row r="22" spans="1:34" s="76" customFormat="1" ht="15" customHeight="1" x14ac:dyDescent="0.25">
      <c r="A22" s="157"/>
      <c r="C22" s="251" t="str">
        <f>IF(ISERROR('Supporting Calendar'!AB19),"",INDEX('Todo-Holiday-Event'!$E$9:$E$258,'Supporting Calendar'!AB19))</f>
        <v>Shopping</v>
      </c>
      <c r="D22" s="252"/>
      <c r="E22" s="251" t="str">
        <f>IF(ISERROR('Supporting Calendar'!AC19),"",INDEX('Todo-Holiday-Event'!$E$9:$E$258,'Supporting Calendar'!AC19))</f>
        <v/>
      </c>
      <c r="F22" s="252"/>
      <c r="G22" s="251" t="str">
        <f>IF(ISERROR('Supporting Calendar'!AD19),"",INDEX('Todo-Holiday-Event'!$E$9:$E$258,'Supporting Calendar'!AD19))</f>
        <v/>
      </c>
      <c r="H22" s="252"/>
      <c r="I22" s="251" t="str">
        <f>IF(ISERROR('Supporting Calendar'!AE19),"",INDEX('Todo-Holiday-Event'!$E$9:$E$258,'Supporting Calendar'!AE19))</f>
        <v/>
      </c>
      <c r="J22" s="252"/>
      <c r="K22" s="251" t="str">
        <f>IF(ISERROR('Supporting Calendar'!AF19),"",INDEX('Todo-Holiday-Event'!$E$9:$E$258,'Supporting Calendar'!AF19))</f>
        <v/>
      </c>
      <c r="L22" s="252"/>
      <c r="M22" s="251" t="str">
        <f>IF(ISERROR('Supporting Calendar'!AG19),"",INDEX('Todo-Holiday-Event'!$E$9:$E$258,'Supporting Calendar'!AG19))</f>
        <v/>
      </c>
      <c r="N22" s="252"/>
      <c r="O22" s="251" t="str">
        <f>IF(ISERROR('Supporting Calendar'!AH19),"",INDEX('Todo-Holiday-Event'!$E$9:$E$258,'Supporting Calendar'!AH19))</f>
        <v/>
      </c>
      <c r="P22" s="252"/>
      <c r="X22" s="77"/>
    </row>
    <row r="23" spans="1:34" s="76" customFormat="1" ht="15" customHeight="1" x14ac:dyDescent="0.25">
      <c r="A23" s="157"/>
      <c r="C23" s="253" t="str">
        <f ca="1">IF(ISERROR('Supporting Calendar'!AB20),"",INDEX('Todo-Holiday-Event'!$E$9:$E$258,'Supporting Calendar'!AB20))</f>
        <v/>
      </c>
      <c r="D23" s="252"/>
      <c r="E23" s="253" t="str">
        <f ca="1">IF(ISERROR('Supporting Calendar'!AC20),"",INDEX('Todo-Holiday-Event'!$E$9:$E$258,'Supporting Calendar'!AC20))</f>
        <v/>
      </c>
      <c r="F23" s="252"/>
      <c r="G23" s="253" t="str">
        <f ca="1">IF(ISERROR('Supporting Calendar'!AD20),"",INDEX('Todo-Holiday-Event'!$E$9:$E$258,'Supporting Calendar'!AD20))</f>
        <v/>
      </c>
      <c r="H23" s="252"/>
      <c r="I23" s="253" t="str">
        <f ca="1">IF(ISERROR('Supporting Calendar'!AE20),"",INDEX('Todo-Holiday-Event'!$E$9:$E$258,'Supporting Calendar'!AE20))</f>
        <v/>
      </c>
      <c r="J23" s="252"/>
      <c r="K23" s="253" t="str">
        <f ca="1">IF(ISERROR('Supporting Calendar'!AF20),"",INDEX('Todo-Holiday-Event'!$E$9:$E$258,'Supporting Calendar'!AF20))</f>
        <v/>
      </c>
      <c r="L23" s="252"/>
      <c r="M23" s="253" t="str">
        <f ca="1">IF(ISERROR('Supporting Calendar'!AG20),"",INDEX('Todo-Holiday-Event'!$E$9:$E$258,'Supporting Calendar'!AG20))</f>
        <v/>
      </c>
      <c r="N23" s="252"/>
      <c r="O23" s="253" t="str">
        <f ca="1">IF(ISERROR('Supporting Calendar'!AH20),"",INDEX('Todo-Holiday-Event'!$E$9:$E$258,'Supporting Calendar'!AH20))</f>
        <v/>
      </c>
      <c r="P23" s="252"/>
      <c r="X23" s="77"/>
    </row>
    <row r="24" spans="1:34" s="76" customFormat="1" ht="15" customHeight="1" x14ac:dyDescent="0.25">
      <c r="A24" s="157"/>
      <c r="C24" s="253" t="str">
        <f ca="1">IF(ISERROR('Supporting Calendar'!AB21),"",INDEX('Todo-Holiday-Event'!$E$9:$E$258,'Supporting Calendar'!AB21))</f>
        <v/>
      </c>
      <c r="D24" s="252"/>
      <c r="E24" s="253" t="str">
        <f ca="1">IF(ISERROR('Supporting Calendar'!AC21),"",INDEX('Todo-Holiday-Event'!$E$9:$E$258,'Supporting Calendar'!AC21))</f>
        <v/>
      </c>
      <c r="F24" s="252"/>
      <c r="G24" s="253" t="str">
        <f ca="1">IF(ISERROR('Supporting Calendar'!AD21),"",INDEX('Todo-Holiday-Event'!$E$9:$E$258,'Supporting Calendar'!AD21))</f>
        <v/>
      </c>
      <c r="H24" s="252"/>
      <c r="I24" s="253" t="str">
        <f ca="1">IF(ISERROR('Supporting Calendar'!AE21),"",INDEX('Todo-Holiday-Event'!$E$9:$E$258,'Supporting Calendar'!AE21))</f>
        <v/>
      </c>
      <c r="J24" s="252"/>
      <c r="K24" s="253" t="str">
        <f ca="1">IF(ISERROR('Supporting Calendar'!AF21),"",INDEX('Todo-Holiday-Event'!$E$9:$E$258,'Supporting Calendar'!AF21))</f>
        <v/>
      </c>
      <c r="L24" s="252"/>
      <c r="M24" s="253" t="str">
        <f ca="1">IF(ISERROR('Supporting Calendar'!AG21),"",INDEX('Todo-Holiday-Event'!$E$9:$E$258,'Supporting Calendar'!AG21))</f>
        <v/>
      </c>
      <c r="N24" s="252"/>
      <c r="O24" s="253" t="str">
        <f ca="1">IF(ISERROR('Supporting Calendar'!AH21),"",INDEX('Todo-Holiday-Event'!$E$9:$E$258,'Supporting Calendar'!AH21))</f>
        <v/>
      </c>
      <c r="P24" s="252"/>
      <c r="X24" s="77"/>
    </row>
    <row r="25" spans="1:34" s="76" customFormat="1" ht="15" customHeight="1" x14ac:dyDescent="0.25">
      <c r="A25" s="157"/>
      <c r="C25" s="254" t="str">
        <f ca="1">IF(ISERROR('Supporting Calendar'!AB22),"",INDEX('Todo-Holiday-Event'!$E$9:$E$258,'Supporting Calendar'!AB22))</f>
        <v/>
      </c>
      <c r="D25" s="255"/>
      <c r="E25" s="254" t="str">
        <f ca="1">IF(ISERROR('Supporting Calendar'!AC22),"",INDEX('Todo-Holiday-Event'!$E$9:$E$258,'Supporting Calendar'!AC22))</f>
        <v/>
      </c>
      <c r="F25" s="255"/>
      <c r="G25" s="254" t="str">
        <f ca="1">IF(ISERROR('Supporting Calendar'!AD22),"",INDEX('Todo-Holiday-Event'!$E$9:$E$258,'Supporting Calendar'!AD22))</f>
        <v/>
      </c>
      <c r="H25" s="255"/>
      <c r="I25" s="254" t="str">
        <f ca="1">IF(ISERROR('Supporting Calendar'!AE22),"",INDEX('Todo-Holiday-Event'!$E$9:$E$258,'Supporting Calendar'!AE22))</f>
        <v/>
      </c>
      <c r="J25" s="255"/>
      <c r="K25" s="254" t="str">
        <f ca="1">IF(ISERROR('Supporting Calendar'!AF22),"",INDEX('Todo-Holiday-Event'!$E$9:$E$258,'Supporting Calendar'!AF22))</f>
        <v/>
      </c>
      <c r="L25" s="255"/>
      <c r="M25" s="254" t="str">
        <f ca="1">IF(ISERROR('Supporting Calendar'!AG22),"",INDEX('Todo-Holiday-Event'!$E$9:$E$258,'Supporting Calendar'!AG22))</f>
        <v/>
      </c>
      <c r="N25" s="255"/>
      <c r="O25" s="254" t="str">
        <f ca="1">IF(ISERROR('Supporting Calendar'!AH22),"",INDEX('Todo-Holiday-Event'!$E$9:$E$258,'Supporting Calendar'!AH22))</f>
        <v/>
      </c>
      <c r="P25" s="255"/>
      <c r="X25" s="77"/>
    </row>
    <row r="26" spans="1:34" s="13" customFormat="1" ht="15" customHeight="1" x14ac:dyDescent="0.25">
      <c r="A26" s="157"/>
      <c r="C26" s="142">
        <f>IF(O21&lt;&gt;"",IF(DAY(EOMONTH(DATE($M$31,$O$31,1),0))=O21,"",O21+1),"")</f>
        <v>25</v>
      </c>
      <c r="D26" s="143" t="str">
        <f>IF(C26&lt;&gt;"",IF(ISNA(VLOOKUP(DATE($M$31,$O$31,C26),'Todo-Holiday-Event'!$L$9:$M$28,2,FALSE)),IF(ISNA(VLOOKUP(DATE($M$31,$O$31,C26),'Todo-Holiday-Event'!$H$9:$I$28,2,FALSE)),"",VLOOKUP(DATE($M$31,$O$31,C26),'Todo-Holiday-Event'!$H$9:$I$28,2,FALSE)),VLOOKUP(DATE($M$31,$O$31,C26),'Todo-Holiday-Event'!$L$9:$M$28,2,FALSE)),"")</f>
        <v/>
      </c>
      <c r="E26" s="142">
        <f>IF(C26&lt;&gt;"",IF(DAY(EOMONTH(DATE($M$31,$O$31,1),0))=C26,"",C26+1),"")</f>
        <v>26</v>
      </c>
      <c r="F26" s="143" t="str">
        <f>IF(E26&lt;&gt;"",IF(ISNA(VLOOKUP(DATE($M$31,$O$31,E26),'Todo-Holiday-Event'!$L$9:$M$28,2,FALSE)),IF(ISNA(VLOOKUP(DATE($M$31,$O$31,E26),'Todo-Holiday-Event'!$H$9:$I$28,2,FALSE)),"",VLOOKUP(DATE($M$31,$O$31,E26),'Todo-Holiday-Event'!$H$9:$I$28,2,FALSE)),VLOOKUP(DATE($M$31,$O$31,E26),'Todo-Holiday-Event'!$L$9:$M$28,2,FALSE)),"")</f>
        <v/>
      </c>
      <c r="G26" s="142">
        <f>IF(E26&lt;&gt;"",IF(DAY(EOMONTH(DATE($M$31,$O$31,1),0))=E26,"",E26+1),"")</f>
        <v>27</v>
      </c>
      <c r="H26" s="143" t="str">
        <f>IF(G26&lt;&gt;"",IF(ISNA(VLOOKUP(DATE($M$31,$O$31,G26),'Todo-Holiday-Event'!$L$9:$M$28,2,FALSE)),IF(ISNA(VLOOKUP(DATE($M$31,$O$31,G26),'Todo-Holiday-Event'!$H$9:$I$28,2,FALSE)),"",VLOOKUP(DATE($M$31,$O$31,G26),'Todo-Holiday-Event'!$H$9:$I$28,2,FALSE)),VLOOKUP(DATE($M$31,$O$31,G26),'Todo-Holiday-Event'!$L$9:$M$28,2,FALSE)),"")</f>
        <v/>
      </c>
      <c r="I26" s="142">
        <f>IF(G26&lt;&gt;"",IF(DAY(EOMONTH(DATE($M$31,$O$31,1),0))=G26,"",G26+1),"")</f>
        <v>28</v>
      </c>
      <c r="J26" s="143" t="str">
        <f>IF(I26&lt;&gt;"",IF(ISNA(VLOOKUP(DATE($M$31,$O$31,I26),'Todo-Holiday-Event'!$L$9:$M$28,2,FALSE)),IF(ISNA(VLOOKUP(DATE($M$31,$O$31,I26),'Todo-Holiday-Event'!$H$9:$I$28,2,FALSE)),"",VLOOKUP(DATE($M$31,$O$31,I26),'Todo-Holiday-Event'!$H$9:$I$28,2,FALSE)),VLOOKUP(DATE($M$31,$O$31,I26),'Todo-Holiday-Event'!$L$9:$M$28,2,FALSE)),"")</f>
        <v/>
      </c>
      <c r="K26" s="142">
        <f>IF(I26&lt;&gt;"",IF(DAY(EOMONTH(DATE($M$31,$O$31,1),0))=I26,"",I26+1),"")</f>
        <v>29</v>
      </c>
      <c r="L26" s="143" t="str">
        <f>IF(K26&lt;&gt;"",IF(ISNA(VLOOKUP(DATE($M$31,$O$31,K26),'Todo-Holiday-Event'!$L$9:$M$28,2,FALSE)),IF(ISNA(VLOOKUP(DATE($M$31,$O$31,K26),'Todo-Holiday-Event'!$H$9:$I$28,2,FALSE)),"",VLOOKUP(DATE($M$31,$O$31,K26),'Todo-Holiday-Event'!$H$9:$I$28,2,FALSE)),VLOOKUP(DATE($M$31,$O$31,K26),'Todo-Holiday-Event'!$L$9:$M$28,2,FALSE)),"")</f>
        <v/>
      </c>
      <c r="M26" s="142">
        <f>IF(K26&lt;&gt;"",IF(DAY(EOMONTH(DATE($M$31,$O$31,1),0))=K26,"",K26+1),"")</f>
        <v>30</v>
      </c>
      <c r="N26" s="143" t="str">
        <f>IF(M26&lt;&gt;"",IF(ISNA(VLOOKUP(DATE($M$31,$O$31,M26),'Todo-Holiday-Event'!$L$9:$M$28,2,FALSE)),IF(ISNA(VLOOKUP(DATE($M$31,$O$31,M26),'Todo-Holiday-Event'!$H$9:$I$28,2,FALSE)),"",VLOOKUP(DATE($M$31,$O$31,M26),'Todo-Holiday-Event'!$H$9:$I$28,2,FALSE)),VLOOKUP(DATE($M$31,$O$31,M26),'Todo-Holiday-Event'!$L$9:$M$28,2,FALSE)),"")</f>
        <v/>
      </c>
      <c r="O26" s="142">
        <f>IF(M26&lt;&gt;"",IF(DAY(EOMONTH(DATE($M$31,$O$31,1),0))=M26,"",M26+1),"")</f>
        <v>31</v>
      </c>
      <c r="P26" s="143" t="str">
        <f>IF(O26&lt;&gt;"",IF(ISNA(VLOOKUP(DATE($M$31,$O$31,O26),'Todo-Holiday-Event'!$L$9:$M$28,2,FALSE)),IF(ISNA(VLOOKUP(DATE($M$31,$O$31,O26),'Todo-Holiday-Event'!$H$9:$I$28,2,FALSE)),"",VLOOKUP(DATE($M$31,$O$31,O26),'Todo-Holiday-Event'!$H$9:$I$28,2,FALSE)),VLOOKUP(DATE($M$31,$O$31,O26),'Todo-Holiday-Event'!$L$9:$M$28,2,FALSE)),"")</f>
        <v/>
      </c>
      <c r="X26" s="70"/>
    </row>
    <row r="27" spans="1:34" s="76" customFormat="1" ht="15" customHeight="1" x14ac:dyDescent="0.25">
      <c r="A27" s="157"/>
      <c r="C27" s="251" t="str">
        <f>IF(ISERROR('Supporting Calendar'!AB25),"",INDEX('Todo-Holiday-Event'!$E$9:$E$258,'Supporting Calendar'!AB25))</f>
        <v/>
      </c>
      <c r="D27" s="252"/>
      <c r="E27" s="251" t="str">
        <f>IF(ISERROR('Supporting Calendar'!AC25),"",INDEX('Todo-Holiday-Event'!$E$9:$E$258,'Supporting Calendar'!AC25))</f>
        <v/>
      </c>
      <c r="F27" s="252"/>
      <c r="G27" s="251" t="str">
        <f>IF(ISERROR('Supporting Calendar'!AD25),"",INDEX('Todo-Holiday-Event'!$E$9:$E$258,'Supporting Calendar'!AD25))</f>
        <v/>
      </c>
      <c r="H27" s="252"/>
      <c r="I27" s="251" t="str">
        <f>IF(ISERROR('Supporting Calendar'!AE25),"",INDEX('Todo-Holiday-Event'!$E$9:$E$258,'Supporting Calendar'!AE25))</f>
        <v/>
      </c>
      <c r="J27" s="252"/>
      <c r="K27" s="251" t="str">
        <f>IF(ISERROR('Supporting Calendar'!AF25),"",INDEX('Todo-Holiday-Event'!$E$9:$E$258,'Supporting Calendar'!AF25))</f>
        <v/>
      </c>
      <c r="L27" s="252"/>
      <c r="M27" s="251" t="str">
        <f>IF(ISERROR('Supporting Calendar'!AG25),"",INDEX('Todo-Holiday-Event'!$E$9:$E$258,'Supporting Calendar'!AG25))</f>
        <v/>
      </c>
      <c r="N27" s="252"/>
      <c r="O27" s="251" t="str">
        <f>IF(ISERROR('Supporting Calendar'!AH25),"",INDEX('Todo-Holiday-Event'!$E$9:$E$258,'Supporting Calendar'!AH25))</f>
        <v/>
      </c>
      <c r="P27" s="252"/>
      <c r="X27" s="77"/>
    </row>
    <row r="28" spans="1:34" s="76" customFormat="1" ht="15" customHeight="1" x14ac:dyDescent="0.25">
      <c r="A28" s="157"/>
      <c r="C28" s="253" t="str">
        <f ca="1">IF(ISERROR('Supporting Calendar'!AB26),"",INDEX('Todo-Holiday-Event'!$E$9:$E$258,'Supporting Calendar'!AB26))</f>
        <v/>
      </c>
      <c r="D28" s="252"/>
      <c r="E28" s="253" t="str">
        <f ca="1">IF(ISERROR('Supporting Calendar'!AC26),"",INDEX('Todo-Holiday-Event'!$E$9:$E$258,'Supporting Calendar'!AC26))</f>
        <v/>
      </c>
      <c r="F28" s="252"/>
      <c r="G28" s="253" t="str">
        <f ca="1">IF(ISERROR('Supporting Calendar'!AD26),"",INDEX('Todo-Holiday-Event'!$E$9:$E$258,'Supporting Calendar'!AD26))</f>
        <v/>
      </c>
      <c r="H28" s="252"/>
      <c r="I28" s="253" t="str">
        <f ca="1">IF(ISERROR('Supporting Calendar'!AE26),"",INDEX('Todo-Holiday-Event'!$E$9:$E$258,'Supporting Calendar'!AE26))</f>
        <v/>
      </c>
      <c r="J28" s="252"/>
      <c r="K28" s="253" t="str">
        <f ca="1">IF(ISERROR('Supporting Calendar'!AF26),"",INDEX('Todo-Holiday-Event'!$E$9:$E$258,'Supporting Calendar'!AF26))</f>
        <v/>
      </c>
      <c r="L28" s="252"/>
      <c r="M28" s="253" t="str">
        <f ca="1">IF(ISERROR('Supporting Calendar'!AG26),"",INDEX('Todo-Holiday-Event'!$E$9:$E$258,'Supporting Calendar'!AG26))</f>
        <v/>
      </c>
      <c r="N28" s="252"/>
      <c r="O28" s="253" t="str">
        <f ca="1">IF(ISERROR('Supporting Calendar'!AH26),"",INDEX('Todo-Holiday-Event'!$E$9:$E$258,'Supporting Calendar'!AH26))</f>
        <v/>
      </c>
      <c r="P28" s="252"/>
      <c r="X28" s="77"/>
    </row>
    <row r="29" spans="1:34" s="76" customFormat="1" ht="15" customHeight="1" x14ac:dyDescent="0.25">
      <c r="A29" s="157"/>
      <c r="C29" s="253" t="str">
        <f ca="1">IF(ISERROR('Supporting Calendar'!AB27),"",INDEX('Todo-Holiday-Event'!$E$9:$E$258,'Supporting Calendar'!AB27))</f>
        <v/>
      </c>
      <c r="D29" s="252"/>
      <c r="E29" s="253" t="str">
        <f ca="1">IF(ISERROR('Supporting Calendar'!AC27),"",INDEX('Todo-Holiday-Event'!$E$9:$E$258,'Supporting Calendar'!AC27))</f>
        <v/>
      </c>
      <c r="F29" s="252"/>
      <c r="G29" s="253" t="str">
        <f ca="1">IF(ISERROR('Supporting Calendar'!AD27),"",INDEX('Todo-Holiday-Event'!$E$9:$E$258,'Supporting Calendar'!AD27))</f>
        <v/>
      </c>
      <c r="H29" s="252"/>
      <c r="I29" s="253" t="str">
        <f ca="1">IF(ISERROR('Supporting Calendar'!AE27),"",INDEX('Todo-Holiday-Event'!$E$9:$E$258,'Supporting Calendar'!AE27))</f>
        <v/>
      </c>
      <c r="J29" s="252"/>
      <c r="K29" s="253" t="str">
        <f ca="1">IF(ISERROR('Supporting Calendar'!AF27),"",INDEX('Todo-Holiday-Event'!$E$9:$E$258,'Supporting Calendar'!AF27))</f>
        <v/>
      </c>
      <c r="L29" s="252"/>
      <c r="M29" s="253" t="str">
        <f ca="1">IF(ISERROR('Supporting Calendar'!AG27),"",INDEX('Todo-Holiday-Event'!$E$9:$E$258,'Supporting Calendar'!AG27))</f>
        <v/>
      </c>
      <c r="N29" s="252"/>
      <c r="O29" s="253" t="str">
        <f ca="1">IF(ISERROR('Supporting Calendar'!AH27),"",INDEX('Todo-Holiday-Event'!$E$9:$E$258,'Supporting Calendar'!AH27))</f>
        <v/>
      </c>
      <c r="P29" s="252"/>
      <c r="X29" s="77"/>
    </row>
    <row r="30" spans="1:34" s="76" customFormat="1" ht="15" customHeight="1" x14ac:dyDescent="0.25">
      <c r="A30" s="157"/>
      <c r="C30" s="254" t="str">
        <f ca="1">IF(ISERROR('Supporting Calendar'!AB28),"",INDEX('Todo-Holiday-Event'!$E$9:$E$258,'Supporting Calendar'!AB28))</f>
        <v/>
      </c>
      <c r="D30" s="255"/>
      <c r="E30" s="254" t="str">
        <f ca="1">IF(ISERROR('Supporting Calendar'!AC28),"",INDEX('Todo-Holiday-Event'!$E$9:$E$258,'Supporting Calendar'!AC28))</f>
        <v/>
      </c>
      <c r="F30" s="255"/>
      <c r="G30" s="254" t="str">
        <f ca="1">IF(ISERROR('Supporting Calendar'!AD28),"",INDEX('Todo-Holiday-Event'!$E$9:$E$258,'Supporting Calendar'!AD28))</f>
        <v/>
      </c>
      <c r="H30" s="255"/>
      <c r="I30" s="254" t="str">
        <f ca="1">IF(ISERROR('Supporting Calendar'!AE28),"",INDEX('Todo-Holiday-Event'!$E$9:$E$258,'Supporting Calendar'!AE28))</f>
        <v/>
      </c>
      <c r="J30" s="255"/>
      <c r="K30" s="254" t="str">
        <f ca="1">IF(ISERROR('Supporting Calendar'!AF28),"",INDEX('Todo-Holiday-Event'!$E$9:$E$258,'Supporting Calendar'!AF28))</f>
        <v/>
      </c>
      <c r="L30" s="255"/>
      <c r="M30" s="254" t="str">
        <f ca="1">IF(ISERROR('Supporting Calendar'!AG28),"",INDEX('Todo-Holiday-Event'!$E$9:$E$258,'Supporting Calendar'!AG28))</f>
        <v/>
      </c>
      <c r="N30" s="255"/>
      <c r="O30" s="254" t="str">
        <f ca="1">IF(ISERROR('Supporting Calendar'!AH28),"",INDEX('Todo-Holiday-Event'!$E$9:$E$258,'Supporting Calendar'!AH28))</f>
        <v/>
      </c>
      <c r="P30" s="255"/>
      <c r="X30" s="77"/>
    </row>
    <row r="31" spans="1:34" s="13" customFormat="1" ht="15" customHeight="1" x14ac:dyDescent="0.25">
      <c r="A31" s="157"/>
      <c r="C31" s="142" t="str">
        <f>IF(O26&lt;&gt;"",IF(DAY(EOMONTH(DATE($M$31,$O$31,1),0))=O26,"",O26+1),"")</f>
        <v/>
      </c>
      <c r="D31" s="143" t="str">
        <f>IF(C31&lt;&gt;"",IF(ISNA(VLOOKUP(DATE($M$31,$O$31,C31),'Todo-Holiday-Event'!$L$9:$M$28,2,FALSE)),IF(ISNA(VLOOKUP(DATE($M$31,$O$31,C31),'Todo-Holiday-Event'!$H$9:$I$28,2,FALSE)),"",VLOOKUP(DATE($M$31,$O$31,C31),'Todo-Holiday-Event'!$H$9:$I$28,2,FALSE)),VLOOKUP(DATE($M$31,$O$31,C31),'Todo-Holiday-Event'!$L$9:$M$28,2,FALSE)),"")</f>
        <v/>
      </c>
      <c r="E31" s="142" t="str">
        <f>IF(C31&lt;&gt;"",IF(DAY(EOMONTH(DATE($M$31,$O$31,1),0))=C31,"",C31+1),"")</f>
        <v/>
      </c>
      <c r="F31" s="143" t="str">
        <f>IF(E31&lt;&gt;"",IF(ISNA(VLOOKUP(DATE($M$31,$O$31,E31),'Todo-Holiday-Event'!$L$9:$M$28,2,FALSE)),IF(ISNA(VLOOKUP(DATE($M$31,$O$31,E31),'Todo-Holiday-Event'!$H$9:$I$28,2,FALSE)),"",VLOOKUP(DATE($M$31,$O$31,E31),'Todo-Holiday-Event'!$H$9:$I$28,2,FALSE)),VLOOKUP(DATE($M$31,$O$31,E31),'Todo-Holiday-Event'!$L$9:$M$28,2,FALSE)),"")</f>
        <v/>
      </c>
      <c r="G31" s="193" t="s">
        <v>25</v>
      </c>
      <c r="H31" s="147"/>
      <c r="I31" s="148"/>
      <c r="J31" s="149"/>
      <c r="K31" s="150"/>
      <c r="L31" s="149"/>
      <c r="M31" s="148">
        <f>IF(O33+O32&gt;24,M33+2,IF(O33+O32&gt;12,M33+1,M33))</f>
        <v>2019</v>
      </c>
      <c r="N31" s="149"/>
      <c r="O31" s="148">
        <f>IF(O33+O32&gt;24,O33+O32-24,IF(O33+O32&gt;12,O33+O32-12,O33+O32))</f>
        <v>8</v>
      </c>
      <c r="P31" s="151"/>
      <c r="X31" s="70"/>
    </row>
    <row r="32" spans="1:34" s="76" customFormat="1" ht="15" customHeight="1" x14ac:dyDescent="0.25">
      <c r="A32" s="157"/>
      <c r="C32" s="251" t="str">
        <f>IF(ISERROR('Supporting Calendar'!AB31),"",INDEX('Todo-Holiday-Event'!$E$9:$E$258,'Supporting Calendar'!AB31))</f>
        <v/>
      </c>
      <c r="D32" s="252"/>
      <c r="E32" s="251" t="str">
        <f>IF(ISERROR('Supporting Calendar'!AC31),"",INDEX('Todo-Holiday-Event'!$E$9:$E$258,'Supporting Calendar'!AC31))</f>
        <v/>
      </c>
      <c r="F32" s="252"/>
      <c r="G32" s="152"/>
      <c r="H32" s="144"/>
      <c r="I32" s="144"/>
      <c r="J32" s="144"/>
      <c r="K32" s="144"/>
      <c r="L32" s="144"/>
      <c r="M32" s="144"/>
      <c r="N32" s="144"/>
      <c r="O32" s="145">
        <f>'Layout 1'!O32</f>
        <v>6</v>
      </c>
      <c r="P32" s="153"/>
      <c r="X32" s="77"/>
    </row>
    <row r="33" spans="1:32" s="76" customFormat="1" ht="15" customHeight="1" x14ac:dyDescent="0.25">
      <c r="A33" s="157"/>
      <c r="C33" s="253" t="str">
        <f ca="1">IF(ISERROR('Supporting Calendar'!AB32),"",INDEX('Todo-Holiday-Event'!$E$9:$E$258,'Supporting Calendar'!AB32))</f>
        <v/>
      </c>
      <c r="D33" s="252"/>
      <c r="E33" s="253" t="str">
        <f ca="1">IF(ISERROR('Supporting Calendar'!AC32),"",INDEX('Todo-Holiday-Event'!$E$9:$E$258,'Supporting Calendar'!AC32))</f>
        <v/>
      </c>
      <c r="F33" s="252"/>
      <c r="G33" s="152"/>
      <c r="H33" s="144"/>
      <c r="I33" s="144"/>
      <c r="J33" s="144"/>
      <c r="K33" s="144"/>
      <c r="L33" s="144"/>
      <c r="M33" s="146">
        <f>'Todo-Holiday-Event'!E6</f>
        <v>2019</v>
      </c>
      <c r="N33" s="144"/>
      <c r="O33" s="146">
        <f>INDEX(MonthRef,MATCH(StartMonth,Months,0),0)</f>
        <v>2</v>
      </c>
      <c r="P33" s="153"/>
      <c r="X33" s="77"/>
    </row>
    <row r="34" spans="1:32" s="76" customFormat="1" ht="15" customHeight="1" x14ac:dyDescent="0.25">
      <c r="A34" s="157"/>
      <c r="C34" s="253" t="str">
        <f ca="1">IF(ISERROR('Supporting Calendar'!AB33),"",INDEX('Todo-Holiday-Event'!$E$9:$E$258,'Supporting Calendar'!AB33))</f>
        <v/>
      </c>
      <c r="D34" s="252"/>
      <c r="E34" s="253" t="str">
        <f ca="1">IF(ISERROR('Supporting Calendar'!AC33),"",INDEX('Todo-Holiday-Event'!$E$9:$E$258,'Supporting Calendar'!AC33))</f>
        <v/>
      </c>
      <c r="F34" s="252"/>
      <c r="G34" s="152"/>
      <c r="H34" s="144"/>
      <c r="I34" s="144"/>
      <c r="J34" s="144"/>
      <c r="K34" s="144"/>
      <c r="L34" s="144"/>
      <c r="M34" s="144"/>
      <c r="N34" s="144"/>
      <c r="O34" s="144"/>
      <c r="P34" s="153"/>
      <c r="X34" s="77"/>
    </row>
    <row r="35" spans="1:32" s="76" customFormat="1" ht="15" customHeight="1" x14ac:dyDescent="0.25">
      <c r="A35" s="157"/>
      <c r="C35" s="254" t="str">
        <f ca="1">IF(ISERROR('Supporting Calendar'!AB34),"",INDEX('Todo-Holiday-Event'!$E$9:$E$258,'Supporting Calendar'!AB34))</f>
        <v/>
      </c>
      <c r="D35" s="255"/>
      <c r="E35" s="254" t="str">
        <f ca="1">IF(ISERROR('Supporting Calendar'!AC34),"",INDEX('Todo-Holiday-Event'!$E$9:$E$258,'Supporting Calendar'!AC34))</f>
        <v/>
      </c>
      <c r="F35" s="255"/>
      <c r="G35" s="154"/>
      <c r="H35" s="155"/>
      <c r="I35" s="155"/>
      <c r="J35" s="155"/>
      <c r="K35" s="155"/>
      <c r="L35" s="155"/>
      <c r="M35" s="155"/>
      <c r="N35" s="155"/>
      <c r="O35" s="155"/>
      <c r="P35" s="156"/>
      <c r="X35" s="77"/>
    </row>
    <row r="36" spans="1:32" ht="19.5" customHeight="1" x14ac:dyDescent="0.3">
      <c r="A36" s="158"/>
      <c r="C36" s="82" t="s">
        <v>62</v>
      </c>
    </row>
    <row r="37" spans="1:32" s="59" customFormat="1" ht="30" hidden="1" customHeight="1" x14ac:dyDescent="0.3">
      <c r="D37" s="81"/>
      <c r="F37" s="81"/>
      <c r="H37" s="81"/>
      <c r="J37" s="81"/>
      <c r="L37" s="81"/>
      <c r="N37" s="81"/>
      <c r="P37" s="81"/>
      <c r="Q37" s="57"/>
      <c r="R37" s="57"/>
      <c r="S37" s="57"/>
      <c r="T37" s="57"/>
      <c r="U37" s="57"/>
      <c r="V37" s="57"/>
      <c r="W37" s="57"/>
      <c r="X37" s="58"/>
      <c r="Z37" s="60"/>
      <c r="AA37" s="60"/>
      <c r="AB37" s="60"/>
      <c r="AC37" s="60"/>
      <c r="AD37" s="60"/>
      <c r="AE37" s="60"/>
      <c r="AF37" s="60"/>
    </row>
    <row r="38" spans="1:32" s="59" customFormat="1" ht="30" hidden="1" customHeight="1" x14ac:dyDescent="0.3">
      <c r="D38" s="81"/>
      <c r="F38" s="81"/>
      <c r="H38" s="81"/>
      <c r="J38" s="81"/>
      <c r="L38" s="81"/>
      <c r="N38" s="81"/>
      <c r="P38" s="81"/>
      <c r="Q38" s="57"/>
      <c r="R38" s="57"/>
      <c r="S38" s="57"/>
      <c r="T38" s="57"/>
      <c r="U38" s="57"/>
      <c r="V38" s="57"/>
      <c r="W38" s="57"/>
      <c r="X38" s="58"/>
      <c r="Z38" s="60"/>
      <c r="AA38" s="60"/>
      <c r="AB38" s="60"/>
      <c r="AC38" s="60"/>
      <c r="AD38" s="60"/>
      <c r="AE38" s="60"/>
      <c r="AF38" s="60"/>
    </row>
    <row r="39" spans="1:32" s="59" customFormat="1" ht="30" hidden="1" customHeight="1" x14ac:dyDescent="0.3">
      <c r="D39" s="81"/>
      <c r="F39" s="81"/>
      <c r="H39" s="81"/>
      <c r="J39" s="81"/>
      <c r="L39" s="81"/>
      <c r="N39" s="81"/>
      <c r="P39" s="81"/>
      <c r="Q39" s="57"/>
      <c r="R39" s="57"/>
      <c r="S39" s="57"/>
      <c r="T39" s="57"/>
      <c r="U39" s="57"/>
      <c r="V39" s="57"/>
      <c r="W39" s="57"/>
      <c r="X39" s="58"/>
      <c r="Z39" s="60"/>
      <c r="AA39" s="60"/>
      <c r="AB39" s="60"/>
      <c r="AC39" s="60"/>
      <c r="AD39" s="60"/>
      <c r="AE39" s="60"/>
      <c r="AF39" s="60"/>
    </row>
    <row r="40" spans="1:32" s="59" customFormat="1" ht="30" hidden="1" customHeight="1" x14ac:dyDescent="0.3">
      <c r="D40" s="81"/>
      <c r="F40" s="81"/>
      <c r="H40" s="81"/>
      <c r="J40" s="81"/>
      <c r="L40" s="81"/>
      <c r="N40" s="81"/>
      <c r="P40" s="81"/>
      <c r="Q40" s="57"/>
      <c r="R40" s="57"/>
      <c r="S40" s="57"/>
      <c r="T40" s="57"/>
      <c r="U40" s="57"/>
      <c r="V40" s="57"/>
      <c r="W40" s="57"/>
      <c r="X40" s="58"/>
      <c r="Z40" s="60"/>
      <c r="AA40" s="60"/>
      <c r="AB40" s="60"/>
      <c r="AC40" s="60"/>
      <c r="AD40" s="60"/>
      <c r="AE40" s="60"/>
      <c r="AF40" s="60"/>
    </row>
    <row r="41" spans="1:32" s="59" customFormat="1" ht="30" hidden="1" customHeight="1" x14ac:dyDescent="0.3">
      <c r="D41" s="81"/>
      <c r="F41" s="81"/>
      <c r="H41" s="81"/>
      <c r="J41" s="81"/>
      <c r="L41" s="81"/>
      <c r="N41" s="81"/>
      <c r="P41" s="81"/>
      <c r="Q41" s="57"/>
      <c r="R41" s="57"/>
      <c r="S41" s="57"/>
      <c r="T41" s="57"/>
      <c r="U41" s="57"/>
      <c r="V41" s="57"/>
      <c r="W41" s="57"/>
      <c r="X41" s="58"/>
      <c r="Z41" s="60"/>
      <c r="AA41" s="60"/>
      <c r="AB41" s="60"/>
      <c r="AC41" s="60"/>
      <c r="AD41" s="60"/>
      <c r="AE41" s="60"/>
      <c r="AF41" s="60"/>
    </row>
    <row r="42" spans="1:32" s="59" customFormat="1" ht="30" hidden="1" customHeight="1" x14ac:dyDescent="0.3">
      <c r="D42" s="81"/>
      <c r="F42" s="81"/>
      <c r="H42" s="81"/>
      <c r="J42" s="81"/>
      <c r="L42" s="81"/>
      <c r="N42" s="81"/>
      <c r="P42" s="81"/>
      <c r="Q42" s="57"/>
      <c r="R42" s="57"/>
      <c r="S42" s="57"/>
      <c r="T42" s="57"/>
      <c r="U42" s="57"/>
      <c r="V42" s="57"/>
      <c r="W42" s="57"/>
      <c r="X42" s="58"/>
      <c r="Z42" s="60"/>
      <c r="AA42" s="60"/>
      <c r="AB42" s="60"/>
      <c r="AC42" s="60"/>
      <c r="AD42" s="60"/>
      <c r="AE42" s="60"/>
      <c r="AF42" s="60"/>
    </row>
    <row r="43" spans="1:32" s="59" customFormat="1" ht="30" hidden="1" customHeight="1" x14ac:dyDescent="0.3">
      <c r="D43" s="81"/>
      <c r="F43" s="81"/>
      <c r="H43" s="81"/>
      <c r="J43" s="81"/>
      <c r="L43" s="81"/>
      <c r="N43" s="81"/>
      <c r="P43" s="81"/>
      <c r="Q43" s="57"/>
      <c r="R43" s="57"/>
      <c r="S43" s="57"/>
      <c r="T43" s="57"/>
      <c r="U43" s="57"/>
      <c r="V43" s="57"/>
      <c r="W43" s="57"/>
      <c r="X43" s="58"/>
      <c r="Z43" s="60"/>
      <c r="AA43" s="60"/>
      <c r="AB43" s="60"/>
      <c r="AC43" s="60"/>
      <c r="AD43" s="60"/>
      <c r="AE43" s="60"/>
      <c r="AF43" s="60"/>
    </row>
    <row r="44" spans="1:32" s="59" customFormat="1" ht="17.25" hidden="1" customHeight="1" x14ac:dyDescent="0.3">
      <c r="D44" s="81"/>
      <c r="F44" s="81"/>
      <c r="H44" s="81"/>
      <c r="J44" s="81"/>
      <c r="L44" s="81"/>
      <c r="N44" s="81"/>
      <c r="P44" s="81"/>
      <c r="Q44" s="57"/>
      <c r="R44" s="57"/>
      <c r="S44" s="57"/>
      <c r="T44" s="57"/>
      <c r="U44" s="57"/>
      <c r="V44" s="57"/>
      <c r="W44" s="57"/>
      <c r="X44" s="58"/>
      <c r="Z44" s="60"/>
      <c r="AA44" s="60"/>
      <c r="AB44" s="60"/>
      <c r="AC44" s="60"/>
      <c r="AD44" s="60"/>
      <c r="AE44" s="60"/>
      <c r="AF44" s="60"/>
    </row>
    <row r="45" spans="1:32" ht="17.25" hidden="1" customHeight="1" x14ac:dyDescent="0.3"/>
    <row r="46" spans="1:32" ht="17.25" hidden="1" customHeight="1" x14ac:dyDescent="0.3"/>
    <row r="47" spans="1:32" ht="17.25" hidden="1" customHeight="1" x14ac:dyDescent="0.3"/>
    <row r="48" spans="1:32" ht="17.25" hidden="1" customHeight="1" x14ac:dyDescent="0.3"/>
    <row r="49" ht="17.25" hidden="1" customHeight="1" x14ac:dyDescent="0.3"/>
    <row r="50" ht="17.25" hidden="1" customHeight="1" x14ac:dyDescent="0.3"/>
    <row r="51" ht="17.25" hidden="1" customHeight="1" x14ac:dyDescent="0.3"/>
    <row r="52" ht="17.25" hidden="1" customHeight="1" x14ac:dyDescent="0.3"/>
    <row r="53" ht="17.25" hidden="1" customHeight="1" x14ac:dyDescent="0.3"/>
    <row r="54" ht="17.25" hidden="1" customHeight="1" x14ac:dyDescent="0.3"/>
    <row r="55" ht="17.25" hidden="1" customHeight="1" x14ac:dyDescent="0.3"/>
    <row r="56" ht="17.25" hidden="1" customHeight="1" x14ac:dyDescent="0.3"/>
    <row r="57" ht="17.25" hidden="1" customHeight="1" x14ac:dyDescent="0.3"/>
    <row r="58" ht="17.25" hidden="1" customHeight="1" x14ac:dyDescent="0.3"/>
    <row r="59" ht="17.25" hidden="1" customHeight="1" x14ac:dyDescent="0.3"/>
    <row r="60" ht="17.25" hidden="1" customHeight="1" x14ac:dyDescent="0.3"/>
    <row r="61" ht="17.25" hidden="1" customHeight="1" x14ac:dyDescent="0.3"/>
    <row r="62" ht="17.25" hidden="1" customHeight="1" x14ac:dyDescent="0.3"/>
    <row r="63" ht="17.25" hidden="1" customHeight="1" x14ac:dyDescent="0.3"/>
    <row r="64" ht="17.25" hidden="1" customHeight="1" x14ac:dyDescent="0.3"/>
    <row r="65" ht="17.25" hidden="1" customHeight="1" x14ac:dyDescent="0.3"/>
    <row r="66" ht="17.25" hidden="1" customHeight="1" x14ac:dyDescent="0.3"/>
    <row r="67" ht="17.25" hidden="1" customHeight="1" x14ac:dyDescent="0.3"/>
    <row r="68" ht="17.25" hidden="1" customHeight="1" x14ac:dyDescent="0.3"/>
    <row r="69" ht="17.25" hidden="1" customHeight="1" x14ac:dyDescent="0.3"/>
    <row r="70" ht="17.25" hidden="1" customHeight="1" x14ac:dyDescent="0.3"/>
    <row r="71" ht="17.25" hidden="1" customHeight="1" x14ac:dyDescent="0.3"/>
    <row r="72" ht="17.25" hidden="1" customHeight="1" x14ac:dyDescent="0.3"/>
    <row r="73" ht="17.25" hidden="1" customHeight="1" x14ac:dyDescent="0.3"/>
    <row r="74" ht="17.25" hidden="1" customHeight="1" x14ac:dyDescent="0.3"/>
    <row r="75" ht="17.25" hidden="1" customHeight="1" x14ac:dyDescent="0.3"/>
    <row r="76" ht="17.25" hidden="1" customHeight="1" x14ac:dyDescent="0.3"/>
    <row r="77" ht="17.25" hidden="1" customHeight="1" x14ac:dyDescent="0.3"/>
    <row r="78" ht="17.25" hidden="1" customHeight="1" x14ac:dyDescent="0.3"/>
    <row r="79" ht="17.25" hidden="1" customHeight="1" x14ac:dyDescent="0.3"/>
    <row r="80" ht="17.25" hidden="1" customHeight="1" x14ac:dyDescent="0.3"/>
    <row r="81" ht="17.25" hidden="1" customHeight="1" x14ac:dyDescent="0.3"/>
    <row r="82" ht="17.25" hidden="1" customHeight="1" x14ac:dyDescent="0.3"/>
    <row r="83" ht="17.25" hidden="1" customHeight="1" x14ac:dyDescent="0.3"/>
    <row r="84" ht="17.25" hidden="1" customHeight="1" x14ac:dyDescent="0.3"/>
    <row r="85" ht="17.25" hidden="1" customHeight="1" x14ac:dyDescent="0.3"/>
    <row r="86" ht="17.25" hidden="1" customHeight="1" x14ac:dyDescent="0.3"/>
    <row r="87" ht="17.25" hidden="1" customHeight="1" x14ac:dyDescent="0.3"/>
    <row r="88" ht="17.25" hidden="1" customHeight="1" x14ac:dyDescent="0.3"/>
    <row r="89" ht="17.25" hidden="1" customHeight="1" x14ac:dyDescent="0.3"/>
    <row r="90" ht="17.25" hidden="1" customHeight="1" x14ac:dyDescent="0.3"/>
    <row r="91" ht="17.25" hidden="1" customHeight="1" x14ac:dyDescent="0.3"/>
    <row r="92" ht="17.25" hidden="1" customHeight="1" x14ac:dyDescent="0.3"/>
    <row r="93" ht="17.25" hidden="1" customHeight="1" x14ac:dyDescent="0.3"/>
    <row r="94" ht="17.25" hidden="1" customHeight="1" x14ac:dyDescent="0.3"/>
    <row r="95" ht="17.25" hidden="1" customHeight="1" x14ac:dyDescent="0.3"/>
    <row r="96" ht="17.25" hidden="1" customHeight="1" x14ac:dyDescent="0.3"/>
    <row r="97" ht="17.25" hidden="1" customHeight="1" x14ac:dyDescent="0.3"/>
    <row r="98" ht="17.25" hidden="1" customHeight="1" x14ac:dyDescent="0.3"/>
    <row r="99" ht="17.25" hidden="1" customHeight="1" x14ac:dyDescent="0.3"/>
    <row r="100" ht="17.25" hidden="1" customHeight="1" x14ac:dyDescent="0.3"/>
    <row r="101" ht="17.25" hidden="1" customHeight="1" x14ac:dyDescent="0.3"/>
    <row r="102" ht="17.25" hidden="1" customHeight="1" x14ac:dyDescent="0.3"/>
    <row r="103" ht="17.25" hidden="1" customHeight="1" x14ac:dyDescent="0.3"/>
    <row r="104" ht="17.25" hidden="1" customHeight="1" x14ac:dyDescent="0.3"/>
    <row r="105" ht="17.25" hidden="1" customHeight="1" x14ac:dyDescent="0.3"/>
    <row r="106" ht="17.25" hidden="1" customHeight="1" x14ac:dyDescent="0.3"/>
    <row r="107" ht="17.25" hidden="1" customHeight="1" x14ac:dyDescent="0.3"/>
    <row r="108" ht="17.25" hidden="1" customHeight="1" x14ac:dyDescent="0.3"/>
    <row r="109" ht="17.25" hidden="1" customHeight="1" x14ac:dyDescent="0.3"/>
    <row r="110" ht="17.25" hidden="1" customHeight="1" x14ac:dyDescent="0.3"/>
    <row r="111" ht="17.25" hidden="1" customHeight="1" x14ac:dyDescent="0.3"/>
    <row r="112" ht="17.25" hidden="1" customHeight="1" x14ac:dyDescent="0.3"/>
    <row r="113" ht="17.25" hidden="1" customHeight="1" x14ac:dyDescent="0.3"/>
    <row r="114" ht="17.25" hidden="1" customHeight="1" x14ac:dyDescent="0.3"/>
    <row r="115" ht="17.25" hidden="1" customHeight="1" x14ac:dyDescent="0.3"/>
    <row r="116" ht="17.25" hidden="1" customHeight="1" x14ac:dyDescent="0.3"/>
    <row r="117" ht="17.25" hidden="1" customHeight="1" x14ac:dyDescent="0.3"/>
    <row r="118" ht="17.25" hidden="1" customHeight="1" x14ac:dyDescent="0.3"/>
    <row r="119" ht="17.25" hidden="1" customHeight="1" x14ac:dyDescent="0.3"/>
    <row r="120" ht="17.25" hidden="1" customHeight="1" x14ac:dyDescent="0.3"/>
    <row r="121" ht="17.25" hidden="1" customHeight="1" x14ac:dyDescent="0.3"/>
    <row r="122" ht="17.25" hidden="1" customHeight="1" x14ac:dyDescent="0.3"/>
    <row r="123" ht="17.25" hidden="1" customHeight="1" x14ac:dyDescent="0.3"/>
    <row r="124" ht="17.25" hidden="1" customHeight="1" x14ac:dyDescent="0.3"/>
    <row r="125" ht="17.25" hidden="1" customHeight="1" x14ac:dyDescent="0.3"/>
    <row r="126" ht="17.25" hidden="1" customHeight="1" x14ac:dyDescent="0.3"/>
    <row r="127" ht="17.25" hidden="1" customHeight="1" x14ac:dyDescent="0.3"/>
    <row r="128" ht="17.25" hidden="1" customHeight="1" x14ac:dyDescent="0.3"/>
    <row r="129" ht="17.25" hidden="1" customHeight="1" x14ac:dyDescent="0.3"/>
    <row r="130" ht="17.25" hidden="1" customHeight="1" x14ac:dyDescent="0.3"/>
    <row r="131" ht="17.25" hidden="1" customHeight="1" x14ac:dyDescent="0.3"/>
    <row r="132" ht="17.25" hidden="1" customHeight="1" x14ac:dyDescent="0.3"/>
    <row r="133" ht="17.25" hidden="1" customHeight="1" x14ac:dyDescent="0.3"/>
    <row r="134" ht="17.25" hidden="1" customHeight="1" x14ac:dyDescent="0.3"/>
    <row r="135" ht="17.25" hidden="1" customHeight="1" x14ac:dyDescent="0.3"/>
    <row r="136" ht="17.25" hidden="1" customHeight="1" x14ac:dyDescent="0.3"/>
    <row r="137" ht="17.25" hidden="1" customHeight="1" x14ac:dyDescent="0.3"/>
    <row r="138" ht="17.25" hidden="1" customHeight="1" x14ac:dyDescent="0.3"/>
    <row r="139" ht="17.25" hidden="1" customHeight="1" x14ac:dyDescent="0.3"/>
    <row r="140" ht="17.25" hidden="1" customHeight="1" x14ac:dyDescent="0.3"/>
    <row r="141" ht="17.25" hidden="1" customHeight="1" x14ac:dyDescent="0.3"/>
    <row r="142" ht="17.25" hidden="1" customHeight="1" x14ac:dyDescent="0.3"/>
    <row r="143" ht="17.25" hidden="1" customHeight="1" x14ac:dyDescent="0.3"/>
    <row r="144" ht="17.25" hidden="1" customHeight="1" x14ac:dyDescent="0.3"/>
    <row r="145" ht="17.25" hidden="1" customHeight="1" x14ac:dyDescent="0.3"/>
    <row r="146" ht="17.25" hidden="1" customHeight="1" x14ac:dyDescent="0.3"/>
    <row r="147" ht="17.25" hidden="1" customHeight="1" x14ac:dyDescent="0.3"/>
    <row r="148" ht="17.25" hidden="1" customHeight="1" x14ac:dyDescent="0.3"/>
    <row r="149" ht="17.25" hidden="1" customHeight="1" x14ac:dyDescent="0.3"/>
    <row r="150" ht="17.25" hidden="1" customHeight="1" x14ac:dyDescent="0.3"/>
    <row r="151" ht="17.25" hidden="1" customHeight="1" x14ac:dyDescent="0.3"/>
    <row r="152" ht="17.25" hidden="1" customHeight="1" x14ac:dyDescent="0.3"/>
    <row r="153" ht="17.25" hidden="1" customHeight="1" x14ac:dyDescent="0.3"/>
    <row r="154" ht="17.25" hidden="1" customHeight="1" x14ac:dyDescent="0.3"/>
    <row r="155" ht="17.25" hidden="1" customHeight="1" x14ac:dyDescent="0.3"/>
    <row r="156" ht="17.25" hidden="1" customHeight="1" x14ac:dyDescent="0.3"/>
    <row r="157" ht="17.25" hidden="1" customHeight="1" x14ac:dyDescent="0.3"/>
    <row r="158" ht="17.25" hidden="1" customHeight="1" x14ac:dyDescent="0.3"/>
    <row r="159" ht="17.25" hidden="1" customHeight="1" x14ac:dyDescent="0.3"/>
    <row r="160" ht="17.25" hidden="1" customHeight="1" x14ac:dyDescent="0.3"/>
    <row r="161" ht="17.25" hidden="1" customHeight="1" x14ac:dyDescent="0.3"/>
    <row r="162" ht="17.25" hidden="1" customHeight="1" x14ac:dyDescent="0.3"/>
    <row r="163" ht="17.25" hidden="1" customHeight="1" x14ac:dyDescent="0.3"/>
    <row r="164" ht="17.25" hidden="1" customHeight="1" x14ac:dyDescent="0.3"/>
    <row r="165" ht="17.25" hidden="1" customHeight="1" x14ac:dyDescent="0.3"/>
    <row r="166" ht="17.25" hidden="1" customHeight="1" x14ac:dyDescent="0.3"/>
    <row r="167" ht="17.25" hidden="1" customHeight="1" x14ac:dyDescent="0.3"/>
    <row r="168" ht="17.25" hidden="1" customHeight="1" x14ac:dyDescent="0.3"/>
    <row r="169" ht="17.25" hidden="1" customHeight="1" x14ac:dyDescent="0.3"/>
    <row r="170" ht="17.25" hidden="1" customHeight="1" x14ac:dyDescent="0.3"/>
    <row r="171" ht="17.25" hidden="1" customHeight="1" x14ac:dyDescent="0.3"/>
    <row r="172" ht="17.25" hidden="1" customHeight="1" x14ac:dyDescent="0.3"/>
    <row r="173" ht="17.25" hidden="1" customHeight="1" x14ac:dyDescent="0.3"/>
    <row r="174" ht="17.25" hidden="1" customHeight="1" x14ac:dyDescent="0.3"/>
    <row r="175" ht="17.25" hidden="1" customHeight="1" x14ac:dyDescent="0.3"/>
    <row r="176" ht="17.25" hidden="1" customHeight="1" x14ac:dyDescent="0.3"/>
    <row r="177" ht="17.25" hidden="1" customHeight="1" x14ac:dyDescent="0.3"/>
    <row r="178" ht="17.25" hidden="1" customHeight="1" x14ac:dyDescent="0.3"/>
    <row r="179" ht="17.25" hidden="1" customHeight="1" x14ac:dyDescent="0.3"/>
    <row r="180" ht="17.25" hidden="1" customHeight="1" x14ac:dyDescent="0.3"/>
    <row r="181" ht="17.25" hidden="1" customHeight="1" x14ac:dyDescent="0.3"/>
    <row r="182" ht="17.25" hidden="1" customHeight="1" x14ac:dyDescent="0.3"/>
    <row r="183" ht="17.25" hidden="1" customHeight="1" x14ac:dyDescent="0.3"/>
    <row r="184" ht="17.25" hidden="1" customHeight="1" x14ac:dyDescent="0.3"/>
    <row r="185" ht="17.25" hidden="1" customHeight="1" x14ac:dyDescent="0.3"/>
    <row r="186" ht="17.25" hidden="1" customHeight="1" x14ac:dyDescent="0.3"/>
    <row r="187" ht="17.25" hidden="1" customHeight="1" x14ac:dyDescent="0.3"/>
    <row r="188" ht="17.25" hidden="1" customHeight="1" x14ac:dyDescent="0.3"/>
    <row r="189" ht="17.25" hidden="1" customHeight="1" x14ac:dyDescent="0.3"/>
    <row r="190" ht="17.25" hidden="1" customHeight="1" x14ac:dyDescent="0.3"/>
    <row r="191" ht="17.25" hidden="1" customHeight="1" x14ac:dyDescent="0.3"/>
    <row r="192" ht="17.25" hidden="1" customHeight="1" x14ac:dyDescent="0.3"/>
    <row r="193" ht="17.25" hidden="1" customHeight="1" x14ac:dyDescent="0.3"/>
    <row r="194" ht="17.25" hidden="1" customHeight="1" x14ac:dyDescent="0.3"/>
    <row r="195" ht="17.25" hidden="1" customHeight="1" x14ac:dyDescent="0.3"/>
    <row r="196" ht="17.25" hidden="1" customHeight="1" x14ac:dyDescent="0.3"/>
    <row r="197" ht="17.25" hidden="1" customHeight="1" x14ac:dyDescent="0.3"/>
    <row r="198" ht="17.25" hidden="1" customHeight="1" x14ac:dyDescent="0.3"/>
    <row r="199" ht="17.25" hidden="1" customHeight="1" x14ac:dyDescent="0.3"/>
    <row r="200" ht="17.25" hidden="1" customHeight="1" x14ac:dyDescent="0.3"/>
    <row r="201" ht="17.25" hidden="1" customHeight="1" x14ac:dyDescent="0.3"/>
    <row r="202" ht="17.25" hidden="1" customHeight="1" x14ac:dyDescent="0.3"/>
    <row r="203" ht="17.25" hidden="1" customHeight="1" x14ac:dyDescent="0.3"/>
    <row r="204" ht="17.25" hidden="1" customHeight="1" x14ac:dyDescent="0.3"/>
    <row r="205" ht="17.25" hidden="1" customHeight="1" x14ac:dyDescent="0.3"/>
    <row r="206" ht="17.25" hidden="1" customHeight="1" x14ac:dyDescent="0.3"/>
    <row r="207" ht="17.25" hidden="1" customHeight="1" x14ac:dyDescent="0.3"/>
    <row r="208" ht="17.25" hidden="1" customHeight="1" x14ac:dyDescent="0.3"/>
    <row r="209" ht="17.25" hidden="1" customHeight="1" x14ac:dyDescent="0.3"/>
    <row r="210" ht="17.25" hidden="1" customHeight="1" x14ac:dyDescent="0.3"/>
    <row r="211" ht="17.25" hidden="1" customHeight="1" x14ac:dyDescent="0.3"/>
    <row r="212" ht="17.25" hidden="1" customHeight="1" x14ac:dyDescent="0.3"/>
    <row r="213" ht="17.25" hidden="1" customHeight="1" x14ac:dyDescent="0.3"/>
    <row r="214" ht="17.25" hidden="1" customHeight="1" x14ac:dyDescent="0.3"/>
    <row r="215" ht="17.25" hidden="1" customHeight="1" x14ac:dyDescent="0.3"/>
    <row r="216" ht="17.25" hidden="1" customHeight="1" x14ac:dyDescent="0.3"/>
    <row r="217" ht="17.25" hidden="1" customHeight="1" x14ac:dyDescent="0.3"/>
    <row r="218" ht="17.25" hidden="1" customHeight="1" x14ac:dyDescent="0.3"/>
    <row r="219" ht="17.25" hidden="1" customHeight="1" x14ac:dyDescent="0.3"/>
    <row r="220" ht="17.25" hidden="1" customHeight="1" x14ac:dyDescent="0.3"/>
    <row r="221" ht="17.25" hidden="1" customHeight="1" x14ac:dyDescent="0.3"/>
    <row r="222" ht="17.25" hidden="1" customHeight="1" x14ac:dyDescent="0.3"/>
    <row r="223" ht="17.25" hidden="1" customHeight="1" x14ac:dyDescent="0.3"/>
    <row r="224" ht="17.25" hidden="1" customHeight="1" x14ac:dyDescent="0.3"/>
    <row r="225" ht="17.25" hidden="1" customHeight="1" x14ac:dyDescent="0.3"/>
    <row r="226" ht="17.25" hidden="1" customHeight="1" x14ac:dyDescent="0.3"/>
    <row r="227" ht="17.25" hidden="1" customHeight="1" x14ac:dyDescent="0.3"/>
    <row r="228" ht="17.25" hidden="1" customHeight="1" x14ac:dyDescent="0.3"/>
    <row r="229" ht="17.25" hidden="1" customHeight="1" x14ac:dyDescent="0.3"/>
    <row r="230" ht="17.25" hidden="1" customHeight="1" x14ac:dyDescent="0.3"/>
    <row r="231" ht="17.25" hidden="1" customHeight="1" x14ac:dyDescent="0.3"/>
    <row r="232" ht="17.25" hidden="1" customHeight="1" x14ac:dyDescent="0.3"/>
    <row r="233" ht="17.25" hidden="1" customHeight="1" x14ac:dyDescent="0.3"/>
    <row r="234" ht="17.25" hidden="1" customHeight="1" x14ac:dyDescent="0.3"/>
    <row r="235" ht="17.25" hidden="1" customHeight="1" x14ac:dyDescent="0.3"/>
    <row r="236" ht="17.25" hidden="1" customHeight="1" x14ac:dyDescent="0.3"/>
    <row r="237" ht="17.25" hidden="1" customHeight="1" x14ac:dyDescent="0.3"/>
    <row r="238" ht="17.25" hidden="1" customHeight="1" x14ac:dyDescent="0.3"/>
    <row r="239" ht="17.25" hidden="1" customHeight="1" x14ac:dyDescent="0.3"/>
    <row r="240" ht="17.25" hidden="1" customHeight="1" x14ac:dyDescent="0.3"/>
    <row r="241" ht="17.25" hidden="1" customHeight="1" x14ac:dyDescent="0.3"/>
    <row r="242" ht="17.25" hidden="1" customHeight="1" x14ac:dyDescent="0.3"/>
    <row r="243" ht="17.25" hidden="1" customHeight="1" x14ac:dyDescent="0.3"/>
    <row r="244" ht="17.25" hidden="1" customHeight="1" x14ac:dyDescent="0.3"/>
    <row r="245" ht="17.25" hidden="1" customHeight="1" x14ac:dyDescent="0.3"/>
    <row r="246" ht="17.25" hidden="1" customHeight="1" x14ac:dyDescent="0.3"/>
    <row r="247" ht="17.25" hidden="1" customHeight="1" x14ac:dyDescent="0.3"/>
    <row r="248" ht="17.25" hidden="1" customHeight="1" x14ac:dyDescent="0.3"/>
    <row r="249" ht="17.25" hidden="1" customHeight="1" x14ac:dyDescent="0.3"/>
    <row r="250" ht="17.25" hidden="1" customHeight="1" x14ac:dyDescent="0.3"/>
    <row r="251" ht="17.25" hidden="1" customHeight="1" x14ac:dyDescent="0.3"/>
    <row r="252" ht="17.25" hidden="1" customHeight="1" x14ac:dyDescent="0.3"/>
    <row r="253" ht="17.25" hidden="1" customHeight="1" x14ac:dyDescent="0.3"/>
    <row r="254" ht="17.25" hidden="1" customHeight="1" x14ac:dyDescent="0.3"/>
    <row r="255" ht="17.25" hidden="1" customHeight="1" x14ac:dyDescent="0.3"/>
    <row r="256" ht="17.25" hidden="1" customHeight="1" x14ac:dyDescent="0.3"/>
    <row r="257" ht="17.25" hidden="1" customHeight="1" x14ac:dyDescent="0.3"/>
    <row r="258" ht="17.25" hidden="1" customHeight="1" x14ac:dyDescent="0.3"/>
    <row r="259" ht="17.25" hidden="1" customHeight="1" x14ac:dyDescent="0.3"/>
    <row r="260" ht="17.25" hidden="1" customHeight="1" x14ac:dyDescent="0.3"/>
    <row r="261" ht="17.25" hidden="1" customHeight="1" x14ac:dyDescent="0.3"/>
    <row r="262" ht="17.25" hidden="1" customHeight="1" x14ac:dyDescent="0.3"/>
    <row r="263" ht="17.25" hidden="1" customHeight="1" x14ac:dyDescent="0.3"/>
    <row r="264" ht="17.25" hidden="1" customHeight="1" x14ac:dyDescent="0.3"/>
    <row r="265" ht="17.25" hidden="1" customHeight="1" x14ac:dyDescent="0.3"/>
    <row r="266" ht="17.25" hidden="1" customHeight="1" x14ac:dyDescent="0.3"/>
    <row r="267" ht="17.25" hidden="1" customHeight="1" x14ac:dyDescent="0.3"/>
    <row r="268" ht="17.25" hidden="1" customHeight="1" x14ac:dyDescent="0.3"/>
    <row r="269" ht="17.25" hidden="1" customHeight="1" x14ac:dyDescent="0.3"/>
    <row r="270" ht="17.25" hidden="1" customHeight="1" x14ac:dyDescent="0.3"/>
    <row r="271" ht="17.25" hidden="1" customHeight="1" x14ac:dyDescent="0.3"/>
    <row r="272" ht="17.25" hidden="1" customHeight="1" x14ac:dyDescent="0.3"/>
    <row r="273" ht="17.25" hidden="1" customHeight="1" x14ac:dyDescent="0.3"/>
    <row r="274" ht="17.25" hidden="1" customHeight="1" x14ac:dyDescent="0.3"/>
    <row r="275" ht="17.25" hidden="1" customHeight="1" x14ac:dyDescent="0.3"/>
    <row r="276" ht="17.25" hidden="1" customHeight="1" x14ac:dyDescent="0.3"/>
    <row r="277" ht="17.25" hidden="1" customHeight="1" x14ac:dyDescent="0.3"/>
    <row r="278" ht="17.25" hidden="1" customHeight="1" x14ac:dyDescent="0.3"/>
    <row r="279" ht="17.25" hidden="1" customHeight="1" x14ac:dyDescent="0.3"/>
    <row r="280" ht="17.25" hidden="1" customHeight="1" x14ac:dyDescent="0.3"/>
    <row r="281" ht="17.25" hidden="1" customHeight="1" x14ac:dyDescent="0.3"/>
    <row r="282" ht="17.25" hidden="1" customHeight="1" x14ac:dyDescent="0.3"/>
    <row r="283" ht="17.25" hidden="1" customHeight="1" x14ac:dyDescent="0.3"/>
    <row r="284" ht="17.25" hidden="1" customHeight="1" x14ac:dyDescent="0.3"/>
    <row r="285" ht="17.25" hidden="1" customHeight="1" x14ac:dyDescent="0.3"/>
    <row r="286" ht="17.25" hidden="1" customHeight="1" x14ac:dyDescent="0.3"/>
    <row r="287" ht="17.25" hidden="1" customHeight="1" x14ac:dyDescent="0.3"/>
    <row r="288" ht="17.25" hidden="1" customHeight="1" x14ac:dyDescent="0.3"/>
    <row r="289" ht="17.25" hidden="1" customHeight="1" x14ac:dyDescent="0.3"/>
    <row r="290" ht="17.25" hidden="1" customHeight="1" x14ac:dyDescent="0.3"/>
    <row r="291" ht="17.25" hidden="1" customHeight="1" x14ac:dyDescent="0.3"/>
    <row r="292" ht="17.25" hidden="1" customHeight="1" x14ac:dyDescent="0.3"/>
    <row r="293" ht="17.25" hidden="1" customHeight="1" x14ac:dyDescent="0.3"/>
    <row r="294" ht="17.25" hidden="1" customHeight="1" x14ac:dyDescent="0.3"/>
    <row r="295" ht="17.25" hidden="1" customHeight="1" x14ac:dyDescent="0.3"/>
    <row r="296" ht="17.25" hidden="1" customHeight="1" x14ac:dyDescent="0.3"/>
    <row r="297" ht="17.25" hidden="1" customHeight="1" x14ac:dyDescent="0.3"/>
    <row r="298" ht="17.25" hidden="1" customHeight="1" x14ac:dyDescent="0.3"/>
    <row r="299" ht="17.25" hidden="1" customHeight="1" x14ac:dyDescent="0.3"/>
    <row r="300" ht="17.25" hidden="1" customHeight="1" x14ac:dyDescent="0.3"/>
    <row r="301" ht="17.25" hidden="1" customHeight="1" x14ac:dyDescent="0.3"/>
    <row r="302" ht="17.25" hidden="1" customHeight="1" x14ac:dyDescent="0.3"/>
    <row r="303" ht="17.25" hidden="1" customHeight="1" x14ac:dyDescent="0.3"/>
    <row r="304" ht="17.25" hidden="1" customHeight="1" x14ac:dyDescent="0.3"/>
    <row r="305" ht="17.25" hidden="1" customHeight="1" x14ac:dyDescent="0.3"/>
    <row r="306" ht="15.6" hidden="1" x14ac:dyDescent="0.3"/>
    <row r="307" ht="15.6" hidden="1" x14ac:dyDescent="0.3"/>
    <row r="308" ht="15.6" hidden="1" x14ac:dyDescent="0.3"/>
    <row r="309" ht="15.6" hidden="1" x14ac:dyDescent="0.3"/>
    <row r="310" ht="15.6" hidden="1" x14ac:dyDescent="0.3"/>
    <row r="311" ht="15.6" hidden="1" x14ac:dyDescent="0.3"/>
    <row r="312" ht="15.6" hidden="1" x14ac:dyDescent="0.3"/>
    <row r="313" ht="15.6" hidden="1" x14ac:dyDescent="0.3"/>
    <row r="314" ht="15.6" hidden="1" x14ac:dyDescent="0.3"/>
    <row r="315" ht="15.6" hidden="1" x14ac:dyDescent="0.3"/>
    <row r="316" ht="15.6" hidden="1" x14ac:dyDescent="0.3"/>
    <row r="317" ht="15.6" hidden="1" x14ac:dyDescent="0.3"/>
  </sheetData>
  <sheetProtection formatCells="0" formatColumns="0" formatRows="0"/>
  <mergeCells count="156">
    <mergeCell ref="C35:D35"/>
    <mergeCell ref="E35:F35"/>
    <mergeCell ref="C32:D32"/>
    <mergeCell ref="E32:F32"/>
    <mergeCell ref="C33:D33"/>
    <mergeCell ref="E33:F33"/>
    <mergeCell ref="C34:D34"/>
    <mergeCell ref="E34:F34"/>
    <mergeCell ref="O29:P29"/>
    <mergeCell ref="C30:D30"/>
    <mergeCell ref="E30:F30"/>
    <mergeCell ref="G30:H30"/>
    <mergeCell ref="I30:J30"/>
    <mergeCell ref="K30:L30"/>
    <mergeCell ref="M30:N30"/>
    <mergeCell ref="O30:P30"/>
    <mergeCell ref="C29:D29"/>
    <mergeCell ref="E29:F29"/>
    <mergeCell ref="G29:H29"/>
    <mergeCell ref="I29:J29"/>
    <mergeCell ref="K29:L29"/>
    <mergeCell ref="M29:N29"/>
    <mergeCell ref="O27:P27"/>
    <mergeCell ref="C28:D28"/>
    <mergeCell ref="E28:F28"/>
    <mergeCell ref="G28:H28"/>
    <mergeCell ref="I28:J28"/>
    <mergeCell ref="K28:L28"/>
    <mergeCell ref="M28:N28"/>
    <mergeCell ref="O28:P28"/>
    <mergeCell ref="C27:D27"/>
    <mergeCell ref="E27:F27"/>
    <mergeCell ref="G27:H27"/>
    <mergeCell ref="I27:J27"/>
    <mergeCell ref="K27:L27"/>
    <mergeCell ref="M27:N27"/>
    <mergeCell ref="O24:P24"/>
    <mergeCell ref="C25:D25"/>
    <mergeCell ref="E25:F25"/>
    <mergeCell ref="G25:H25"/>
    <mergeCell ref="I25:J25"/>
    <mergeCell ref="K25:L25"/>
    <mergeCell ref="M25:N25"/>
    <mergeCell ref="O25:P25"/>
    <mergeCell ref="C24:D24"/>
    <mergeCell ref="E24:F24"/>
    <mergeCell ref="G24:H24"/>
    <mergeCell ref="I24:J24"/>
    <mergeCell ref="K24:L24"/>
    <mergeCell ref="M24:N24"/>
    <mergeCell ref="O22:P22"/>
    <mergeCell ref="C23:D23"/>
    <mergeCell ref="E23:F23"/>
    <mergeCell ref="G23:H23"/>
    <mergeCell ref="I23:J23"/>
    <mergeCell ref="K23:L23"/>
    <mergeCell ref="M23:N23"/>
    <mergeCell ref="O23:P23"/>
    <mergeCell ref="C22:D22"/>
    <mergeCell ref="E22:F22"/>
    <mergeCell ref="G22:H22"/>
    <mergeCell ref="I22:J22"/>
    <mergeCell ref="K22:L22"/>
    <mergeCell ref="M22:N22"/>
    <mergeCell ref="C20:D20"/>
    <mergeCell ref="E20:F20"/>
    <mergeCell ref="G20:H20"/>
    <mergeCell ref="I20:J20"/>
    <mergeCell ref="K20:L20"/>
    <mergeCell ref="O17:P17"/>
    <mergeCell ref="O18:P18"/>
    <mergeCell ref="O19:P19"/>
    <mergeCell ref="O20:P20"/>
    <mergeCell ref="E18:F18"/>
    <mergeCell ref="G18:H18"/>
    <mergeCell ref="I18:J18"/>
    <mergeCell ref="K18:L18"/>
    <mergeCell ref="C19:D19"/>
    <mergeCell ref="E19:F19"/>
    <mergeCell ref="G19:H19"/>
    <mergeCell ref="I19:J19"/>
    <mergeCell ref="K19:L19"/>
    <mergeCell ref="M17:N17"/>
    <mergeCell ref="M18:N18"/>
    <mergeCell ref="M19:N19"/>
    <mergeCell ref="M20:N20"/>
    <mergeCell ref="C17:D17"/>
    <mergeCell ref="E17:F17"/>
    <mergeCell ref="G17:H17"/>
    <mergeCell ref="I17:J17"/>
    <mergeCell ref="K17:L17"/>
    <mergeCell ref="C18:D18"/>
    <mergeCell ref="O14:P14"/>
    <mergeCell ref="C15:D15"/>
    <mergeCell ref="E15:F15"/>
    <mergeCell ref="G15:H15"/>
    <mergeCell ref="I15:J15"/>
    <mergeCell ref="K15:L15"/>
    <mergeCell ref="M15:N15"/>
    <mergeCell ref="O15:P15"/>
    <mergeCell ref="C14:D14"/>
    <mergeCell ref="E14:F14"/>
    <mergeCell ref="G14:H14"/>
    <mergeCell ref="I14:J14"/>
    <mergeCell ref="K14:L14"/>
    <mergeCell ref="M14:N14"/>
    <mergeCell ref="O7:P7"/>
    <mergeCell ref="O8:P8"/>
    <mergeCell ref="O9:P9"/>
    <mergeCell ref="O10:P10"/>
    <mergeCell ref="C12:D12"/>
    <mergeCell ref="E12:F12"/>
    <mergeCell ref="G12:H12"/>
    <mergeCell ref="I12:J12"/>
    <mergeCell ref="K12:L12"/>
    <mergeCell ref="M12:N12"/>
    <mergeCell ref="K7:L7"/>
    <mergeCell ref="K8:L8"/>
    <mergeCell ref="K9:L9"/>
    <mergeCell ref="K10:L10"/>
    <mergeCell ref="M7:N7"/>
    <mergeCell ref="M8:N8"/>
    <mergeCell ref="I9:J9"/>
    <mergeCell ref="I10:J10"/>
    <mergeCell ref="O12:P12"/>
    <mergeCell ref="C13:D13"/>
    <mergeCell ref="E13:F13"/>
    <mergeCell ref="G13:H13"/>
    <mergeCell ref="I13:J13"/>
    <mergeCell ref="K13:L13"/>
    <mergeCell ref="M13:N13"/>
    <mergeCell ref="O13:P13"/>
    <mergeCell ref="C7:D7"/>
    <mergeCell ref="C8:D8"/>
    <mergeCell ref="C9:D9"/>
    <mergeCell ref="C10:D10"/>
    <mergeCell ref="E7:F7"/>
    <mergeCell ref="E8:F8"/>
    <mergeCell ref="E9:F9"/>
    <mergeCell ref="E10:F10"/>
    <mergeCell ref="A2:P3"/>
    <mergeCell ref="C5:D5"/>
    <mergeCell ref="E5:F5"/>
    <mergeCell ref="G5:H5"/>
    <mergeCell ref="I5:J5"/>
    <mergeCell ref="K5:L5"/>
    <mergeCell ref="M5:N5"/>
    <mergeCell ref="O5:P5"/>
    <mergeCell ref="M9:N9"/>
    <mergeCell ref="M10:N10"/>
    <mergeCell ref="G7:H7"/>
    <mergeCell ref="G8:H8"/>
    <mergeCell ref="G9:H9"/>
    <mergeCell ref="G10:H10"/>
    <mergeCell ref="I7:J7"/>
    <mergeCell ref="I8:J8"/>
  </mergeCells>
  <conditionalFormatting sqref="C6">
    <cfRule type="expression" dxfId="147" priority="47">
      <formula>OR(D6&lt;&gt;"",#REF!&lt;&gt;"")</formula>
    </cfRule>
  </conditionalFormatting>
  <conditionalFormatting sqref="D6 N16">
    <cfRule type="expression" dxfId="146" priority="48">
      <formula>MATCH(D6,Event,0)</formula>
    </cfRule>
    <cfRule type="expression" dxfId="145" priority="49">
      <formula>MATCH(D6,Holiday,0)</formula>
    </cfRule>
  </conditionalFormatting>
  <conditionalFormatting sqref="M16">
    <cfRule type="expression" dxfId="144" priority="65">
      <formula>OR(N16&lt;&gt;"",M17&lt;&gt;"")</formula>
    </cfRule>
  </conditionalFormatting>
  <conditionalFormatting sqref="E6 G6 I6 K6 M6 O6">
    <cfRule type="expression" dxfId="143" priority="43">
      <formula>OR(F6&lt;&gt;"",#REF!&lt;&gt;"")</formula>
    </cfRule>
  </conditionalFormatting>
  <conditionalFormatting sqref="F6 H6 J6 L6 N6 P6">
    <cfRule type="expression" dxfId="142" priority="44">
      <formula>MATCH(F6,Event,0)</formula>
    </cfRule>
    <cfRule type="expression" dxfId="141" priority="45">
      <formula>MATCH(F6,Holiday,0)</formula>
    </cfRule>
  </conditionalFormatting>
  <conditionalFormatting sqref="D16 F16 H16 J16 L16">
    <cfRule type="expression" dxfId="140" priority="34">
      <formula>MATCH(D16,Event,0)</formula>
    </cfRule>
    <cfRule type="expression" dxfId="139" priority="35">
      <formula>MATCH(D16,Holiday,0)</formula>
    </cfRule>
  </conditionalFormatting>
  <conditionalFormatting sqref="C16 E16 G16 I16 K16">
    <cfRule type="expression" dxfId="138" priority="36">
      <formula>OR(D16&lt;&gt;"",C17&lt;&gt;"")</formula>
    </cfRule>
  </conditionalFormatting>
  <conditionalFormatting sqref="P16">
    <cfRule type="expression" dxfId="137" priority="31">
      <formula>MATCH(P16,Event,0)</formula>
    </cfRule>
    <cfRule type="expression" dxfId="136" priority="32">
      <formula>MATCH(P16,Holiday,0)</formula>
    </cfRule>
  </conditionalFormatting>
  <conditionalFormatting sqref="O16">
    <cfRule type="expression" dxfId="135" priority="33">
      <formula>OR(P16&lt;&gt;"",O17&lt;&gt;"")</formula>
    </cfRule>
  </conditionalFormatting>
  <conditionalFormatting sqref="N11">
    <cfRule type="expression" dxfId="134" priority="28">
      <formula>MATCH(N11,Event,0)</formula>
    </cfRule>
    <cfRule type="expression" dxfId="133" priority="29">
      <formula>MATCH(N11,Holiday,0)</formula>
    </cfRule>
  </conditionalFormatting>
  <conditionalFormatting sqref="M11">
    <cfRule type="expression" dxfId="132" priority="30">
      <formula>OR(N11&lt;&gt;"",M12&lt;&gt;"")</formula>
    </cfRule>
  </conditionalFormatting>
  <conditionalFormatting sqref="D11 F11 H11 J11 L11">
    <cfRule type="expression" dxfId="131" priority="25">
      <formula>MATCH(D11,Event,0)</formula>
    </cfRule>
    <cfRule type="expression" dxfId="130" priority="26">
      <formula>MATCH(D11,Holiday,0)</formula>
    </cfRule>
  </conditionalFormatting>
  <conditionalFormatting sqref="C11 E11 G11 I11 K11">
    <cfRule type="expression" dxfId="129" priority="27">
      <formula>OR(D11&lt;&gt;"",C12&lt;&gt;"")</formula>
    </cfRule>
  </conditionalFormatting>
  <conditionalFormatting sqref="P11">
    <cfRule type="expression" dxfId="128" priority="22">
      <formula>MATCH(P11,Event,0)</formula>
    </cfRule>
    <cfRule type="expression" dxfId="127" priority="23">
      <formula>MATCH(P11,Holiday,0)</formula>
    </cfRule>
  </conditionalFormatting>
  <conditionalFormatting sqref="O11">
    <cfRule type="expression" dxfId="126" priority="24">
      <formula>OR(P11&lt;&gt;"",O12&lt;&gt;"")</formula>
    </cfRule>
  </conditionalFormatting>
  <conditionalFormatting sqref="N21">
    <cfRule type="expression" dxfId="125" priority="19">
      <formula>MATCH(N21,Event,0)</formula>
    </cfRule>
    <cfRule type="expression" dxfId="124" priority="20">
      <formula>MATCH(N21,Holiday,0)</formula>
    </cfRule>
  </conditionalFormatting>
  <conditionalFormatting sqref="M21">
    <cfRule type="expression" dxfId="123" priority="21">
      <formula>OR(N21&lt;&gt;"",M22&lt;&gt;"")</formula>
    </cfRule>
  </conditionalFormatting>
  <conditionalFormatting sqref="D21 F21 H21 J21 L21">
    <cfRule type="expression" dxfId="122" priority="16">
      <formula>MATCH(D21,Event,0)</formula>
    </cfRule>
    <cfRule type="expression" dxfId="121" priority="17">
      <formula>MATCH(D21,Holiday,0)</formula>
    </cfRule>
  </conditionalFormatting>
  <conditionalFormatting sqref="C21 E21 G21 I21 K21">
    <cfRule type="expression" dxfId="120" priority="18">
      <formula>OR(D21&lt;&gt;"",C22&lt;&gt;"")</formula>
    </cfRule>
  </conditionalFormatting>
  <conditionalFormatting sqref="P21">
    <cfRule type="expression" dxfId="119" priority="13">
      <formula>MATCH(P21,Event,0)</formula>
    </cfRule>
    <cfRule type="expression" dxfId="118" priority="14">
      <formula>MATCH(P21,Holiday,0)</formula>
    </cfRule>
  </conditionalFormatting>
  <conditionalFormatting sqref="O21">
    <cfRule type="expression" dxfId="117" priority="15">
      <formula>OR(P21&lt;&gt;"",O22&lt;&gt;"")</formula>
    </cfRule>
  </conditionalFormatting>
  <conditionalFormatting sqref="N26">
    <cfRule type="expression" dxfId="116" priority="10">
      <formula>MATCH(N26,Event,0)</formula>
    </cfRule>
    <cfRule type="expression" dxfId="115" priority="11">
      <formula>MATCH(N26,Holiday,0)</formula>
    </cfRule>
  </conditionalFormatting>
  <conditionalFormatting sqref="M26">
    <cfRule type="expression" dxfId="114" priority="12">
      <formula>OR(N26&lt;&gt;"",M27&lt;&gt;"")</formula>
    </cfRule>
  </conditionalFormatting>
  <conditionalFormatting sqref="D26 F26 H26 J26 L26">
    <cfRule type="expression" dxfId="113" priority="7">
      <formula>MATCH(D26,Event,0)</formula>
    </cfRule>
    <cfRule type="expression" dxfId="112" priority="8">
      <formula>MATCH(D26,Holiday,0)</formula>
    </cfRule>
  </conditionalFormatting>
  <conditionalFormatting sqref="C26 E26 G26 I26 K26">
    <cfRule type="expression" dxfId="111" priority="9">
      <formula>OR(D26&lt;&gt;"",C27&lt;&gt;"")</formula>
    </cfRule>
  </conditionalFormatting>
  <conditionalFormatting sqref="P26">
    <cfRule type="expression" dxfId="110" priority="4">
      <formula>MATCH(P26,Event,0)</formula>
    </cfRule>
    <cfRule type="expression" dxfId="109" priority="5">
      <formula>MATCH(P26,Holiday,0)</formula>
    </cfRule>
  </conditionalFormatting>
  <conditionalFormatting sqref="O26">
    <cfRule type="expression" dxfId="108" priority="6">
      <formula>OR(P26&lt;&gt;"",O27&lt;&gt;"")</formula>
    </cfRule>
  </conditionalFormatting>
  <conditionalFormatting sqref="D31 F31">
    <cfRule type="expression" dxfId="107" priority="1">
      <formula>MATCH(D31,Event,0)</formula>
    </cfRule>
    <cfRule type="expression" dxfId="106" priority="2">
      <formula>MATCH(D31,Holiday,0)</formula>
    </cfRule>
  </conditionalFormatting>
  <conditionalFormatting sqref="C31 E31">
    <cfRule type="expression" dxfId="105" priority="3">
      <formula>OR(D31&lt;&gt;"",C32&lt;&gt;"")</formula>
    </cfRule>
  </conditionalFormatting>
  <printOptions horizontalCentered="1"/>
  <pageMargins left="0.34" right="0.26" top="0.44" bottom="0.36" header="0.28000000000000003" footer="0.25"/>
  <pageSetup paperSize="9" scale="99" orientation="landscape"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V317"/>
  <sheetViews>
    <sheetView showGridLines="0" topLeftCell="B1" zoomScaleNormal="100" zoomScalePageLayoutView="50" workbookViewId="0">
      <selection activeCell="A2" sqref="A2:P3"/>
    </sheetView>
  </sheetViews>
  <sheetFormatPr defaultColWidth="0" defaultRowHeight="15.45" customHeight="1" zeroHeight="1" x14ac:dyDescent="0.3"/>
  <cols>
    <col min="1" max="1" width="10.77734375" style="51" hidden="1" customWidth="1"/>
    <col min="2" max="2" width="2.109375" style="51" customWidth="1"/>
    <col min="3" max="3" width="15.6640625" style="51" customWidth="1"/>
    <col min="4" max="4" width="4.6640625" style="79" customWidth="1"/>
    <col min="5" max="5" width="15.6640625" style="51" customWidth="1"/>
    <col min="6" max="6" width="4.6640625" style="79" customWidth="1"/>
    <col min="7" max="7" width="15.6640625" style="51" customWidth="1"/>
    <col min="8" max="8" width="4.6640625" style="79" customWidth="1"/>
    <col min="9" max="9" width="15.6640625" style="51" customWidth="1"/>
    <col min="10" max="10" width="4.6640625" style="79" customWidth="1"/>
    <col min="11" max="11" width="15.6640625" style="51" customWidth="1"/>
    <col min="12" max="12" width="4.6640625" style="79" customWidth="1"/>
    <col min="13" max="13" width="15.6640625" style="51" customWidth="1"/>
    <col min="14" max="14" width="4.6640625" style="79" customWidth="1"/>
    <col min="15" max="15" width="15.6640625" style="51" customWidth="1"/>
    <col min="16" max="16" width="4.6640625" style="79" customWidth="1"/>
    <col min="17" max="17" width="8.77734375" style="49" customWidth="1"/>
    <col min="18" max="21" width="8.77734375" style="49" hidden="1" customWidth="1"/>
    <col min="22" max="23" width="2.33203125" style="49" hidden="1" customWidth="1"/>
    <col min="24" max="24" width="2.77734375" style="50" hidden="1" customWidth="1"/>
    <col min="25" max="25" width="4.6640625" style="51" hidden="1" customWidth="1"/>
    <col min="26" max="32" width="4.6640625" style="56" hidden="1" customWidth="1"/>
    <col min="33" max="33" width="2.77734375" style="51" hidden="1" customWidth="1"/>
    <col min="34" max="256" width="0" style="51" hidden="1" customWidth="1"/>
    <col min="257" max="16384" width="9.109375" style="51" hidden="1"/>
  </cols>
  <sheetData>
    <row r="1" spans="1:34" ht="15.6" x14ac:dyDescent="0.3"/>
    <row r="2" spans="1:34" s="63" customFormat="1" ht="25.05" customHeight="1" x14ac:dyDescent="0.5">
      <c r="A2" s="256" t="str">
        <f>'Layout 1'!A2:P3</f>
        <v>AUGUST YYYY</v>
      </c>
      <c r="B2" s="257"/>
      <c r="C2" s="257"/>
      <c r="D2" s="257"/>
      <c r="E2" s="257"/>
      <c r="F2" s="257"/>
      <c r="G2" s="257"/>
      <c r="H2" s="257"/>
      <c r="I2" s="257"/>
      <c r="J2" s="257"/>
      <c r="K2" s="257"/>
      <c r="L2" s="257"/>
      <c r="M2" s="257"/>
      <c r="N2" s="257"/>
      <c r="O2" s="257"/>
      <c r="P2" s="257"/>
      <c r="Q2" s="61"/>
      <c r="R2" s="61"/>
      <c r="S2" s="61"/>
      <c r="T2" s="61"/>
      <c r="U2" s="61"/>
      <c r="V2" s="61"/>
      <c r="W2" s="61"/>
      <c r="X2" s="62"/>
      <c r="Z2" s="64"/>
      <c r="AA2" s="64"/>
      <c r="AB2" s="64"/>
      <c r="AC2" s="64"/>
      <c r="AD2" s="64"/>
      <c r="AE2" s="64"/>
      <c r="AF2" s="64"/>
    </row>
    <row r="3" spans="1:34" s="63" customFormat="1" ht="25.05" customHeight="1" x14ac:dyDescent="0.5">
      <c r="A3" s="257"/>
      <c r="B3" s="257"/>
      <c r="C3" s="257"/>
      <c r="D3" s="257"/>
      <c r="E3" s="257"/>
      <c r="F3" s="257"/>
      <c r="G3" s="257"/>
      <c r="H3" s="257"/>
      <c r="I3" s="257"/>
      <c r="J3" s="257"/>
      <c r="K3" s="257"/>
      <c r="L3" s="257"/>
      <c r="M3" s="257"/>
      <c r="N3" s="257"/>
      <c r="O3" s="257"/>
      <c r="P3" s="257"/>
      <c r="Q3" s="61"/>
      <c r="R3" s="61"/>
      <c r="S3" s="61"/>
      <c r="T3" s="61"/>
      <c r="U3" s="61"/>
      <c r="V3" s="61"/>
      <c r="W3" s="61"/>
      <c r="X3" s="62"/>
      <c r="Z3" s="64"/>
      <c r="AA3" s="64"/>
      <c r="AB3" s="64"/>
      <c r="AC3" s="64"/>
      <c r="AD3" s="64"/>
      <c r="AE3" s="64"/>
      <c r="AF3" s="64"/>
    </row>
    <row r="4" spans="1:34" ht="17.25" customHeight="1" x14ac:dyDescent="0.3">
      <c r="Z4" s="52"/>
      <c r="AA4" s="52"/>
      <c r="AB4" s="52"/>
      <c r="AC4" s="52"/>
      <c r="AD4" s="52"/>
      <c r="AE4" s="52"/>
      <c r="AF4" s="52"/>
    </row>
    <row r="5" spans="1:34" s="53" customFormat="1" ht="30" customHeight="1" x14ac:dyDescent="0.25">
      <c r="A5" s="159"/>
      <c r="C5" s="258" t="s">
        <v>18</v>
      </c>
      <c r="D5" s="259"/>
      <c r="E5" s="258" t="s">
        <v>19</v>
      </c>
      <c r="F5" s="259"/>
      <c r="G5" s="258" t="s">
        <v>20</v>
      </c>
      <c r="H5" s="259"/>
      <c r="I5" s="258" t="s">
        <v>21</v>
      </c>
      <c r="J5" s="259"/>
      <c r="K5" s="258" t="s">
        <v>22</v>
      </c>
      <c r="L5" s="259"/>
      <c r="M5" s="258" t="s">
        <v>23</v>
      </c>
      <c r="N5" s="259"/>
      <c r="O5" s="258" t="s">
        <v>24</v>
      </c>
      <c r="P5" s="259"/>
      <c r="Q5" s="54"/>
      <c r="R5" s="54"/>
      <c r="S5" s="54"/>
      <c r="T5" s="54"/>
      <c r="U5" s="54"/>
      <c r="V5" s="54"/>
      <c r="W5" s="54"/>
      <c r="X5" s="55"/>
    </row>
    <row r="6" spans="1:34" s="13" customFormat="1" ht="15" customHeight="1" x14ac:dyDescent="0.25">
      <c r="A6" s="159"/>
      <c r="C6" s="164" t="str">
        <f>IF(D6&lt;&gt;"",IF(ISNA(VLOOKUP(DATE($N$31,$P$31,D6),'Todo-Holiday-Event'!$L$9:$M$28,2,FALSE)),IF(ISNA(VLOOKUP(DATE($N$31,$P$31,D6),'Todo-Holiday-Event'!$H$9:$I$28,2,FALSE)),"",VLOOKUP(DATE($N$31,$P$31,D6),'Todo-Holiday-Event'!$H$9:$I$28,2,FALSE)),VLOOKUP(DATE($N$31,$P$31,D6),'Todo-Holiday-Event'!$L$9:$M$28,2,FALSE)),"")</f>
        <v/>
      </c>
      <c r="D6" s="169" t="str">
        <f>IF(WEEKDAY(DATE($N$31,$P$31,1))=1,1,"")</f>
        <v/>
      </c>
      <c r="E6" s="164" t="str">
        <f>IF(F6&lt;&gt;"",IF(ISNA(VLOOKUP(DATE($N$31,$P$31,F6),'Todo-Holiday-Event'!$L$9:$M$28,2,FALSE)),IF(ISNA(VLOOKUP(DATE($N$31,$P$31,F6),'Todo-Holiday-Event'!$H$9:$I$28,2,FALSE)),"",VLOOKUP(DATE($N$31,$P$31,F6),'Todo-Holiday-Event'!$H$9:$I$28,2,FALSE)),VLOOKUP(DATE($N$31,$P$31,F6),'Todo-Holiday-Event'!$L$9:$M$28,2,FALSE)),"")</f>
        <v/>
      </c>
      <c r="F6" s="169" t="str">
        <f>IF(D6&lt;&gt;"",D6+1,IF(WEEKDAY(DATE($N$31,$P$31,1))=2,1,""))</f>
        <v/>
      </c>
      <c r="G6" s="164" t="str">
        <f>IF(H6&lt;&gt;"",IF(ISNA(VLOOKUP(DATE($N$31,$P$31,H6),'Todo-Holiday-Event'!$L$9:$M$28,2,FALSE)),IF(ISNA(VLOOKUP(DATE($N$31,$P$31,H6),'Todo-Holiday-Event'!$H$9:$I$28,2,FALSE)),"",VLOOKUP(DATE($N$31,$P$31,H6),'Todo-Holiday-Event'!$H$9:$I$28,2,FALSE)),VLOOKUP(DATE($N$31,$P$31,H6),'Todo-Holiday-Event'!$L$9:$M$28,2,FALSE)),"")</f>
        <v/>
      </c>
      <c r="H6" s="169" t="str">
        <f>IF(F6&lt;&gt;"",F6+1,IF(WEEKDAY(DATE($N$31,$P$31,1))=3,1,""))</f>
        <v/>
      </c>
      <c r="I6" s="164" t="str">
        <f>IF(J6&lt;&gt;"",IF(ISNA(VLOOKUP(DATE($N$31,$P$31,J6),'Todo-Holiday-Event'!$L$9:$M$28,2,FALSE)),IF(ISNA(VLOOKUP(DATE($N$31,$P$31,J6),'Todo-Holiday-Event'!$H$9:$I$28,2,FALSE)),"",VLOOKUP(DATE($N$31,$P$31,J6),'Todo-Holiday-Event'!$H$9:$I$28,2,FALSE)),VLOOKUP(DATE($N$31,$P$31,J6),'Todo-Holiday-Event'!$L$9:$M$28,2,FALSE)),"")</f>
        <v/>
      </c>
      <c r="J6" s="169" t="str">
        <f>IF(H6&lt;&gt;"",H6+1,IF(WEEKDAY(DATE($N$31,$P$31,1))=4,1,""))</f>
        <v/>
      </c>
      <c r="K6" s="164" t="str">
        <f>IF(L6&lt;&gt;"",IF(ISNA(VLOOKUP(DATE($N$31,$P$31,L6),'Todo-Holiday-Event'!$L$9:$M$28,2,FALSE)),IF(ISNA(VLOOKUP(DATE($N$31,$P$31,L6),'Todo-Holiday-Event'!$H$9:$I$28,2,FALSE)),"",VLOOKUP(DATE($N$31,$P$31,L6),'Todo-Holiday-Event'!$H$9:$I$28,2,FALSE)),VLOOKUP(DATE($N$31,$P$31,L6),'Todo-Holiday-Event'!$L$9:$M$28,2,FALSE)),"")</f>
        <v/>
      </c>
      <c r="L6" s="169">
        <f>IF(J6&lt;&gt;"",J6+1,IF(WEEKDAY(DATE($N$31,$P$31,1))=5,1,""))</f>
        <v>1</v>
      </c>
      <c r="M6" s="164" t="str">
        <f>IF(N6&lt;&gt;"",IF(ISNA(VLOOKUP(DATE($N$31,$P$31,N6),'Todo-Holiday-Event'!$L$9:$M$28,2,FALSE)),IF(ISNA(VLOOKUP(DATE($N$31,$P$31,N6),'Todo-Holiday-Event'!$H$9:$I$28,2,FALSE)),"",VLOOKUP(DATE($N$31,$P$31,N6),'Todo-Holiday-Event'!$H$9:$I$28,2,FALSE)),VLOOKUP(DATE($N$31,$P$31,N6),'Todo-Holiday-Event'!$L$9:$M$28,2,FALSE)),"")</f>
        <v/>
      </c>
      <c r="N6" s="169">
        <f>IF(L6&lt;&gt;"",L6+1,IF(WEEKDAY(DATE($N$31,$P$31,1))=6,1,""))</f>
        <v>2</v>
      </c>
      <c r="O6" s="164" t="str">
        <f>IF(P6&lt;&gt;"",IF(ISNA(VLOOKUP(DATE($N$31,$P$31,P6),'Todo-Holiday-Event'!$L$9:$M$28,2,FALSE)),IF(ISNA(VLOOKUP(DATE($N$31,$P$31,P6),'Todo-Holiday-Event'!$H$9:$I$28,2,FALSE)),"",VLOOKUP(DATE($N$31,$P$31,P6),'Todo-Holiday-Event'!$H$9:$I$28,2,FALSE)),VLOOKUP(DATE($N$31,$P$31,P6),'Todo-Holiday-Event'!$L$9:$M$28,2,FALSE)),"")</f>
        <v/>
      </c>
      <c r="P6" s="169">
        <f>IF(N6&lt;&gt;"",N6+1,IF(WEEKDAY(DATE($N$31,$P$31,1))=7,1,""))</f>
        <v>3</v>
      </c>
      <c r="Q6" s="74"/>
      <c r="R6" s="74"/>
      <c r="S6" s="74"/>
      <c r="T6" s="74"/>
      <c r="U6" s="74"/>
      <c r="V6" s="75"/>
      <c r="W6" s="75"/>
      <c r="X6" s="70"/>
    </row>
    <row r="7" spans="1:34" s="76" customFormat="1" ht="15" customHeight="1" x14ac:dyDescent="0.25">
      <c r="A7" s="159"/>
      <c r="C7" s="165" t="str">
        <f>IF(ISERROR('Supporting Calendar'!AB1),"",INDEX('Todo-Holiday-Event'!$E$9:$E$258,'Supporting Calendar'!AB1))</f>
        <v/>
      </c>
      <c r="D7" s="166"/>
      <c r="E7" s="165" t="str">
        <f>IF(ISERROR('Supporting Calendar'!AC1),"",INDEX('Todo-Holiday-Event'!$E$9:$E$258,'Supporting Calendar'!AC1))</f>
        <v/>
      </c>
      <c r="F7" s="166" t="str">
        <f>IF(ISERROR('Supporting Calendar'!AC1),"",INDEX('Todo-Holiday-Event'!$D$9:$D$258,'Supporting Calendar'!AC1))</f>
        <v/>
      </c>
      <c r="G7" s="165" t="str">
        <f>IF(ISERROR('Supporting Calendar'!AD1),"",INDEX('Todo-Holiday-Event'!$E$9:$E$258,'Supporting Calendar'!AD1))</f>
        <v/>
      </c>
      <c r="H7" s="166" t="str">
        <f>IF(ISERROR('Supporting Calendar'!AD1),"",INDEX('Todo-Holiday-Event'!$D$9:$D$258,'Supporting Calendar'!AD1))</f>
        <v/>
      </c>
      <c r="I7" s="165" t="str">
        <f>IF(ISERROR('Supporting Calendar'!AE1),"",INDEX('Todo-Holiday-Event'!$E$9:$E$258,'Supporting Calendar'!AE1))</f>
        <v/>
      </c>
      <c r="J7" s="166" t="str">
        <f>IF(ISERROR('Supporting Calendar'!AE1),"",INDEX('Todo-Holiday-Event'!$D$9:$D$258,'Supporting Calendar'!AE1))</f>
        <v/>
      </c>
      <c r="K7" s="165" t="str">
        <f>IF(ISERROR('Supporting Calendar'!AF1),"",INDEX('Todo-Holiday-Event'!$E$9:$E$258,'Supporting Calendar'!AF1))</f>
        <v/>
      </c>
      <c r="L7" s="166" t="str">
        <f>IF(ISERROR('Supporting Calendar'!AF1),"",INDEX('Todo-Holiday-Event'!$D$9:$D$258,'Supporting Calendar'!AF1))</f>
        <v/>
      </c>
      <c r="M7" s="165" t="str">
        <f>IF(ISERROR('Supporting Calendar'!AG1),"",INDEX('Todo-Holiday-Event'!$E$9:$E$258,'Supporting Calendar'!AG1))</f>
        <v/>
      </c>
      <c r="N7" s="166" t="str">
        <f>IF(ISERROR('Supporting Calendar'!AG1),"",INDEX('Todo-Holiday-Event'!$D$9:$D$258,'Supporting Calendar'!AG1))</f>
        <v/>
      </c>
      <c r="O7" s="165" t="str">
        <f>IF(ISERROR('Supporting Calendar'!AH1),"",INDEX('Todo-Holiday-Event'!$E$9:$E$258,'Supporting Calendar'!AH1))</f>
        <v/>
      </c>
      <c r="P7" s="166" t="str">
        <f>IF(ISERROR('Supporting Calendar'!AH1),"",INDEX('Todo-Holiday-Event'!$D$9:$D$258,'Supporting Calendar'!AH1))</f>
        <v/>
      </c>
      <c r="AH7" s="78"/>
    </row>
    <row r="8" spans="1:34" s="76" customFormat="1" ht="15" customHeight="1" x14ac:dyDescent="0.25">
      <c r="A8" s="159"/>
      <c r="C8" s="165" t="str">
        <f ca="1">IF(ISERROR('Supporting Calendar'!AB2),"",INDEX('Todo-Holiday-Event'!$E$9:$E$258,'Supporting Calendar'!AB2))</f>
        <v/>
      </c>
      <c r="D8" s="166"/>
      <c r="E8" s="165" t="str">
        <f ca="1">IF(ISERROR('Supporting Calendar'!AC2),"",INDEX('Todo-Holiday-Event'!$E$9:$E$258,'Supporting Calendar'!AC2))</f>
        <v/>
      </c>
      <c r="F8" s="166" t="str">
        <f ca="1">IF(ISERROR('Supporting Calendar'!AC2),"",INDEX('Todo-Holiday-Event'!$D$9:$D$258,'Supporting Calendar'!AC2))</f>
        <v/>
      </c>
      <c r="G8" s="165" t="str">
        <f ca="1">IF(ISERROR('Supporting Calendar'!AD2),"",INDEX('Todo-Holiday-Event'!$E$9:$E$258,'Supporting Calendar'!AD2))</f>
        <v/>
      </c>
      <c r="H8" s="166" t="str">
        <f ca="1">IF(ISERROR('Supporting Calendar'!AD2),"",INDEX('Todo-Holiday-Event'!$D$9:$D$258,'Supporting Calendar'!AD2))</f>
        <v/>
      </c>
      <c r="I8" s="165" t="str">
        <f ca="1">IF(ISERROR('Supporting Calendar'!AE2),"",INDEX('Todo-Holiday-Event'!$E$9:$E$258,'Supporting Calendar'!AE2))</f>
        <v/>
      </c>
      <c r="J8" s="166" t="str">
        <f ca="1">IF(ISERROR('Supporting Calendar'!AE2),"",INDEX('Todo-Holiday-Event'!$D$9:$D$258,'Supporting Calendar'!AE2))</f>
        <v/>
      </c>
      <c r="K8" s="165" t="str">
        <f ca="1">IF(ISERROR('Supporting Calendar'!AF2),"",INDEX('Todo-Holiday-Event'!$E$9:$E$258,'Supporting Calendar'!AF2))</f>
        <v/>
      </c>
      <c r="L8" s="166" t="str">
        <f ca="1">IF(ISERROR('Supporting Calendar'!AF2),"",INDEX('Todo-Holiday-Event'!$D$9:$D$258,'Supporting Calendar'!AF2))</f>
        <v/>
      </c>
      <c r="M8" s="165" t="str">
        <f ca="1">IF(ISERROR('Supporting Calendar'!AG2),"",INDEX('Todo-Holiday-Event'!$E$9:$E$258,'Supporting Calendar'!AG2))</f>
        <v/>
      </c>
      <c r="N8" s="166" t="str">
        <f ca="1">IF(ISERROR('Supporting Calendar'!AG2),"",INDEX('Todo-Holiday-Event'!$D$9:$D$258,'Supporting Calendar'!AG2))</f>
        <v/>
      </c>
      <c r="O8" s="165" t="str">
        <f ca="1">IF(ISERROR('Supporting Calendar'!AH2),"",INDEX('Todo-Holiday-Event'!$E$9:$E$258,'Supporting Calendar'!AH2))</f>
        <v/>
      </c>
      <c r="P8" s="166" t="str">
        <f ca="1">IF(ISERROR('Supporting Calendar'!AH2),"",INDEX('Todo-Holiday-Event'!$D$9:$D$258,'Supporting Calendar'!AH2))</f>
        <v/>
      </c>
      <c r="AH8" s="78"/>
    </row>
    <row r="9" spans="1:34" s="76" customFormat="1" ht="15" customHeight="1" x14ac:dyDescent="0.25">
      <c r="A9" s="159"/>
      <c r="C9" s="165" t="str">
        <f ca="1">IF(ISERROR('Supporting Calendar'!AB3),"",INDEX('Todo-Holiday-Event'!$E$9:$E$258,'Supporting Calendar'!AB3))</f>
        <v/>
      </c>
      <c r="D9" s="166"/>
      <c r="E9" s="165" t="str">
        <f ca="1">IF(ISERROR('Supporting Calendar'!AC3),"",INDEX('Todo-Holiday-Event'!$E$9:$E$258,'Supporting Calendar'!AC3))</f>
        <v/>
      </c>
      <c r="F9" s="166" t="str">
        <f ca="1">IF(ISERROR('Supporting Calendar'!AC3),"",INDEX('Todo-Holiday-Event'!$D$9:$D$258,'Supporting Calendar'!AC3))</f>
        <v/>
      </c>
      <c r="G9" s="165" t="str">
        <f ca="1">IF(ISERROR('Supporting Calendar'!AD3),"",INDEX('Todo-Holiday-Event'!$E$9:$E$258,'Supporting Calendar'!AD3))</f>
        <v/>
      </c>
      <c r="H9" s="166" t="str">
        <f ca="1">IF(ISERROR('Supporting Calendar'!AD3),"",INDEX('Todo-Holiday-Event'!$D$9:$D$258,'Supporting Calendar'!AD3))</f>
        <v/>
      </c>
      <c r="I9" s="165" t="str">
        <f ca="1">IF(ISERROR('Supporting Calendar'!AE3),"",INDEX('Todo-Holiday-Event'!$E$9:$E$258,'Supporting Calendar'!AE3))</f>
        <v/>
      </c>
      <c r="J9" s="166" t="str">
        <f ca="1">IF(ISERROR('Supporting Calendar'!AE3),"",INDEX('Todo-Holiday-Event'!$D$9:$D$258,'Supporting Calendar'!AE3))</f>
        <v/>
      </c>
      <c r="K9" s="165" t="str">
        <f ca="1">IF(ISERROR('Supporting Calendar'!AF3),"",INDEX('Todo-Holiday-Event'!$E$9:$E$258,'Supporting Calendar'!AF3))</f>
        <v/>
      </c>
      <c r="L9" s="166" t="str">
        <f ca="1">IF(ISERROR('Supporting Calendar'!AF3),"",INDEX('Todo-Holiday-Event'!$D$9:$D$258,'Supporting Calendar'!AF3))</f>
        <v/>
      </c>
      <c r="M9" s="165" t="str">
        <f ca="1">IF(ISERROR('Supporting Calendar'!AG3),"",INDEX('Todo-Holiday-Event'!$E$9:$E$258,'Supporting Calendar'!AG3))</f>
        <v/>
      </c>
      <c r="N9" s="166" t="str">
        <f ca="1">IF(ISERROR('Supporting Calendar'!AG3),"",INDEX('Todo-Holiday-Event'!$D$9:$D$258,'Supporting Calendar'!AG3))</f>
        <v/>
      </c>
      <c r="O9" s="165" t="str">
        <f ca="1">IF(ISERROR('Supporting Calendar'!AH3),"",INDEX('Todo-Holiday-Event'!$E$9:$E$258,'Supporting Calendar'!AH3))</f>
        <v/>
      </c>
      <c r="P9" s="166" t="str">
        <f ca="1">IF(ISERROR('Supporting Calendar'!AH3),"",INDEX('Todo-Holiday-Event'!$D$9:$D$258,'Supporting Calendar'!AH3))</f>
        <v/>
      </c>
      <c r="AH9" s="78"/>
    </row>
    <row r="10" spans="1:34" s="76" customFormat="1" ht="15" customHeight="1" x14ac:dyDescent="0.25">
      <c r="A10" s="159"/>
      <c r="C10" s="167" t="str">
        <f ca="1">IF(ISERROR('Supporting Calendar'!AB4),"",INDEX('Todo-Holiday-Event'!$E$9:$E$258,'Supporting Calendar'!AB4))</f>
        <v/>
      </c>
      <c r="D10" s="168"/>
      <c r="E10" s="167" t="str">
        <f ca="1">IF(ISERROR('Supporting Calendar'!AC4),"",INDEX('Todo-Holiday-Event'!$E$9:$E$258,'Supporting Calendar'!AC4))</f>
        <v/>
      </c>
      <c r="F10" s="168" t="str">
        <f ca="1">IF(ISERROR('Supporting Calendar'!AC4),"",INDEX('Todo-Holiday-Event'!$D$9:$D$258,'Supporting Calendar'!AC4))</f>
        <v/>
      </c>
      <c r="G10" s="167" t="str">
        <f ca="1">IF(ISERROR('Supporting Calendar'!AD4),"",INDEX('Todo-Holiday-Event'!$E$9:$E$258,'Supporting Calendar'!AD4))</f>
        <v/>
      </c>
      <c r="H10" s="168" t="str">
        <f ca="1">IF(ISERROR('Supporting Calendar'!AD4),"",INDEX('Todo-Holiday-Event'!$D$9:$D$258,'Supporting Calendar'!AD4))</f>
        <v/>
      </c>
      <c r="I10" s="167" t="str">
        <f ca="1">IF(ISERROR('Supporting Calendar'!AE4),"",INDEX('Todo-Holiday-Event'!$E$9:$E$258,'Supporting Calendar'!AE4))</f>
        <v/>
      </c>
      <c r="J10" s="168" t="str">
        <f ca="1">IF(ISERROR('Supporting Calendar'!AE4),"",INDEX('Todo-Holiday-Event'!$D$9:$D$258,'Supporting Calendar'!AE4))</f>
        <v/>
      </c>
      <c r="K10" s="167" t="str">
        <f ca="1">IF(ISERROR('Supporting Calendar'!AF4),"",INDEX('Todo-Holiday-Event'!$E$9:$E$258,'Supporting Calendar'!AF4))</f>
        <v/>
      </c>
      <c r="L10" s="168" t="str">
        <f ca="1">IF(ISERROR('Supporting Calendar'!AF4),"",INDEX('Todo-Holiday-Event'!$D$9:$D$258,'Supporting Calendar'!AF4))</f>
        <v/>
      </c>
      <c r="M10" s="167" t="str">
        <f ca="1">IF(ISERROR('Supporting Calendar'!AG4),"",INDEX('Todo-Holiday-Event'!$E$9:$E$258,'Supporting Calendar'!AG4))</f>
        <v/>
      </c>
      <c r="N10" s="168" t="str">
        <f ca="1">IF(ISERROR('Supporting Calendar'!AG4),"",INDEX('Todo-Holiday-Event'!$D$9:$D$258,'Supporting Calendar'!AG4))</f>
        <v/>
      </c>
      <c r="O10" s="167" t="str">
        <f ca="1">IF(ISERROR('Supporting Calendar'!AH4),"",INDEX('Todo-Holiday-Event'!$E$9:$E$258,'Supporting Calendar'!AH4))</f>
        <v/>
      </c>
      <c r="P10" s="168" t="str">
        <f ca="1">IF(ISERROR('Supporting Calendar'!AH4),"",INDEX('Todo-Holiday-Event'!$D$9:$D$258,'Supporting Calendar'!AH4))</f>
        <v/>
      </c>
      <c r="AH10" s="78"/>
    </row>
    <row r="11" spans="1:34" s="13" customFormat="1" ht="15" customHeight="1" x14ac:dyDescent="0.25">
      <c r="A11" s="159"/>
      <c r="C11" s="164" t="str">
        <f>IF(D11&lt;&gt;"",IF(ISNA(VLOOKUP(DATE($N$31,$P$31,D11),'Todo-Holiday-Event'!$L$9:$M$28,2,FALSE)),IF(ISNA(VLOOKUP(DATE($N$31,$P$31,D11),'Todo-Holiday-Event'!$H$9:$I$28,2,FALSE)),"",VLOOKUP(DATE($N$31,$P$31,D11),'Todo-Holiday-Event'!$H$9:$I$28,2,FALSE)),VLOOKUP(DATE($N$31,$P$31,D11),'Todo-Holiday-Event'!$L$9:$M$28,2,FALSE)),"")</f>
        <v/>
      </c>
      <c r="D11" s="169">
        <f>P6+1</f>
        <v>4</v>
      </c>
      <c r="E11" s="164" t="str">
        <f>IF(F11&lt;&gt;"",IF(ISNA(VLOOKUP(DATE($N$31,$P$31,F11),'Todo-Holiday-Event'!$L$9:$M$28,2,FALSE)),IF(ISNA(VLOOKUP(DATE($N$31,$P$31,F11),'Todo-Holiday-Event'!$H$9:$I$28,2,FALSE)),"",VLOOKUP(DATE($N$31,$P$31,F11),'Todo-Holiday-Event'!$H$9:$I$28,2,FALSE)),VLOOKUP(DATE($N$31,$P$31,F11),'Todo-Holiday-Event'!$L$9:$M$28,2,FALSE)),"")</f>
        <v/>
      </c>
      <c r="F11" s="169">
        <f>D11+1</f>
        <v>5</v>
      </c>
      <c r="G11" s="164" t="str">
        <f>IF(H11&lt;&gt;"",IF(ISNA(VLOOKUP(DATE($N$31,$P$31,H11),'Todo-Holiday-Event'!$L$9:$M$28,2,FALSE)),IF(ISNA(VLOOKUP(DATE($N$31,$P$31,H11),'Todo-Holiday-Event'!$H$9:$I$28,2,FALSE)),"",VLOOKUP(DATE($N$31,$P$31,H11),'Todo-Holiday-Event'!$H$9:$I$28,2,FALSE)),VLOOKUP(DATE($N$31,$P$31,H11),'Todo-Holiday-Event'!$L$9:$M$28,2,FALSE)),"")</f>
        <v/>
      </c>
      <c r="H11" s="169">
        <f>F11+1</f>
        <v>6</v>
      </c>
      <c r="I11" s="164" t="str">
        <f>IF(J11&lt;&gt;"",IF(ISNA(VLOOKUP(DATE($N$31,$P$31,J11),'Todo-Holiday-Event'!$L$9:$M$28,2,FALSE)),IF(ISNA(VLOOKUP(DATE($N$31,$P$31,J11),'Todo-Holiday-Event'!$H$9:$I$28,2,FALSE)),"",VLOOKUP(DATE($N$31,$P$31,J11),'Todo-Holiday-Event'!$H$9:$I$28,2,FALSE)),VLOOKUP(DATE($N$31,$P$31,J11),'Todo-Holiday-Event'!$L$9:$M$28,2,FALSE)),"")</f>
        <v>Jane Doe  Show</v>
      </c>
      <c r="J11" s="169">
        <f>H11+1</f>
        <v>7</v>
      </c>
      <c r="K11" s="164" t="str">
        <f>IF(L11&lt;&gt;"",IF(ISNA(VLOOKUP(DATE($N$31,$P$31,L11),'Todo-Holiday-Event'!$L$9:$M$28,2,FALSE)),IF(ISNA(VLOOKUP(DATE($N$31,$P$31,L11),'Todo-Holiday-Event'!$H$9:$I$28,2,FALSE)),"",VLOOKUP(DATE($N$31,$P$31,L11),'Todo-Holiday-Event'!$H$9:$I$28,2,FALSE)),VLOOKUP(DATE($N$31,$P$31,L11),'Todo-Holiday-Event'!$L$9:$M$28,2,FALSE)),"")</f>
        <v/>
      </c>
      <c r="L11" s="169">
        <f>J11+1</f>
        <v>8</v>
      </c>
      <c r="M11" s="164" t="str">
        <f>IF(N11&lt;&gt;"",IF(ISNA(VLOOKUP(DATE($N$31,$P$31,N11),'Todo-Holiday-Event'!$L$9:$M$28,2,FALSE)),IF(ISNA(VLOOKUP(DATE($N$31,$P$31,N11),'Todo-Holiday-Event'!$H$9:$I$28,2,FALSE)),"",VLOOKUP(DATE($N$31,$P$31,N11),'Todo-Holiday-Event'!$H$9:$I$28,2,FALSE)),VLOOKUP(DATE($N$31,$P$31,N11),'Todo-Holiday-Event'!$L$9:$M$28,2,FALSE)),"")</f>
        <v/>
      </c>
      <c r="N11" s="169">
        <f>L11+1</f>
        <v>9</v>
      </c>
      <c r="O11" s="164" t="str">
        <f>IF(P11&lt;&gt;"",IF(ISNA(VLOOKUP(DATE($N$31,$P$31,P11),'Todo-Holiday-Event'!$L$9:$M$28,2,FALSE)),IF(ISNA(VLOOKUP(DATE($N$31,$P$31,P11),'Todo-Holiday-Event'!$H$9:$I$28,2,FALSE)),"",VLOOKUP(DATE($N$31,$P$31,P11),'Todo-Holiday-Event'!$H$9:$I$28,2,FALSE)),VLOOKUP(DATE($N$31,$P$31,P11),'Todo-Holiday-Event'!$L$9:$M$28,2,FALSE)),"")</f>
        <v/>
      </c>
      <c r="P11" s="169">
        <f>N11+1</f>
        <v>10</v>
      </c>
      <c r="X11" s="70"/>
      <c r="AH11" s="67"/>
    </row>
    <row r="12" spans="1:34" s="76" customFormat="1" ht="15" customHeight="1" x14ac:dyDescent="0.25">
      <c r="A12" s="159"/>
      <c r="C12" s="165" t="str">
        <f>IF(ISERROR('Supporting Calendar'!AB7),"",INDEX('Todo-Holiday-Event'!$E$9:$E$258,'Supporting Calendar'!AB7))</f>
        <v/>
      </c>
      <c r="D12" s="166" t="str">
        <f>IF(ISERROR('Supporting Calendar'!AB7),"",INDEX('Todo-Holiday-Event'!$D$9:$D$258,'Supporting Calendar'!AB7))</f>
        <v/>
      </c>
      <c r="E12" s="165" t="str">
        <f>IF(ISERROR('Supporting Calendar'!AC7),"",INDEX('Todo-Holiday-Event'!$E$9:$E$258,'Supporting Calendar'!AC7))</f>
        <v/>
      </c>
      <c r="F12" s="166" t="str">
        <f>IF(ISERROR('Supporting Calendar'!AC7),"",INDEX('Todo-Holiday-Event'!$D$9:$D$258,'Supporting Calendar'!AC7))</f>
        <v/>
      </c>
      <c r="G12" s="165" t="str">
        <f>IF(ISERROR('Supporting Calendar'!AD7),"",INDEX('Todo-Holiday-Event'!$E$9:$E$258,'Supporting Calendar'!AD7))</f>
        <v/>
      </c>
      <c r="H12" s="166" t="str">
        <f>IF(ISERROR('Supporting Calendar'!AD7),"",INDEX('Todo-Holiday-Event'!$D$9:$D$258,'Supporting Calendar'!AD7))</f>
        <v/>
      </c>
      <c r="I12" s="165" t="str">
        <f>IF(ISERROR('Supporting Calendar'!AE7),"",INDEX('Todo-Holiday-Event'!$E$9:$E$258,'Supporting Calendar'!AE7))</f>
        <v>Meeting with ABC</v>
      </c>
      <c r="J12" s="166"/>
      <c r="K12" s="165" t="str">
        <f>IF(ISERROR('Supporting Calendar'!AF7),"",INDEX('Todo-Holiday-Event'!$E$9:$E$258,'Supporting Calendar'!AF7))</f>
        <v/>
      </c>
      <c r="L12" s="166" t="str">
        <f>IF(ISERROR('Supporting Calendar'!AF7),"",INDEX('Todo-Holiday-Event'!$D$9:$D$258,'Supporting Calendar'!AF7))</f>
        <v/>
      </c>
      <c r="M12" s="165" t="str">
        <f>IF(ISERROR('Supporting Calendar'!AG7),"",INDEX('Todo-Holiday-Event'!$E$9:$E$258,'Supporting Calendar'!AG7))</f>
        <v/>
      </c>
      <c r="N12" s="166" t="str">
        <f>IF(ISERROR('Supporting Calendar'!AG7),"",INDEX('Todo-Holiday-Event'!$D$9:$D$258,'Supporting Calendar'!AG7))</f>
        <v/>
      </c>
      <c r="O12" s="165" t="str">
        <f>IF(ISERROR('Supporting Calendar'!AH7),"",INDEX('Todo-Holiday-Event'!$E$9:$E$258,'Supporting Calendar'!AH7))</f>
        <v/>
      </c>
      <c r="P12" s="166" t="str">
        <f>IF(ISERROR('Supporting Calendar'!AH7),"",INDEX('Todo-Holiday-Event'!$D$9:$D$258,'Supporting Calendar'!AH7))</f>
        <v/>
      </c>
      <c r="X12" s="77"/>
      <c r="AH12" s="78"/>
    </row>
    <row r="13" spans="1:34" s="76" customFormat="1" ht="15" customHeight="1" x14ac:dyDescent="0.25">
      <c r="A13" s="159"/>
      <c r="C13" s="165" t="str">
        <f ca="1">IF(ISERROR('Supporting Calendar'!AB8),"",INDEX('Todo-Holiday-Event'!$E$9:$E$258,'Supporting Calendar'!AB8))</f>
        <v/>
      </c>
      <c r="D13" s="166" t="str">
        <f ca="1">IF(ISERROR('Supporting Calendar'!AB8),"",INDEX('Todo-Holiday-Event'!$D$9:$D$258,'Supporting Calendar'!AB8))</f>
        <v/>
      </c>
      <c r="E13" s="165" t="str">
        <f ca="1">IF(ISERROR('Supporting Calendar'!AC8),"",INDEX('Todo-Holiday-Event'!$E$9:$E$258,'Supporting Calendar'!AC8))</f>
        <v/>
      </c>
      <c r="F13" s="166" t="str">
        <f ca="1">IF(ISERROR('Supporting Calendar'!AC8),"",INDEX('Todo-Holiday-Event'!$D$9:$D$258,'Supporting Calendar'!AC8))</f>
        <v/>
      </c>
      <c r="G13" s="165" t="str">
        <f ca="1">IF(ISERROR('Supporting Calendar'!AD8),"",INDEX('Todo-Holiday-Event'!$E$9:$E$258,'Supporting Calendar'!AD8))</f>
        <v/>
      </c>
      <c r="H13" s="166" t="str">
        <f ca="1">IF(ISERROR('Supporting Calendar'!AD8),"",INDEX('Todo-Holiday-Event'!$D$9:$D$258,'Supporting Calendar'!AD8))</f>
        <v/>
      </c>
      <c r="I13" s="165" t="str">
        <f ca="1">IF(ISERROR('Supporting Calendar'!AE8),"",INDEX('Todo-Holiday-Event'!$E$9:$E$258,'Supporting Calendar'!AE8))</f>
        <v/>
      </c>
      <c r="J13" s="166"/>
      <c r="K13" s="165" t="str">
        <f ca="1">IF(ISERROR('Supporting Calendar'!AF8),"",INDEX('Todo-Holiday-Event'!$E$9:$E$258,'Supporting Calendar'!AF8))</f>
        <v/>
      </c>
      <c r="L13" s="166" t="str">
        <f ca="1">IF(ISERROR('Supporting Calendar'!AF8),"",INDEX('Todo-Holiday-Event'!$D$9:$D$258,'Supporting Calendar'!AF8))</f>
        <v/>
      </c>
      <c r="M13" s="165" t="str">
        <f ca="1">IF(ISERROR('Supporting Calendar'!AG8),"",INDEX('Todo-Holiday-Event'!$E$9:$E$258,'Supporting Calendar'!AG8))</f>
        <v/>
      </c>
      <c r="N13" s="166" t="str">
        <f ca="1">IF(ISERROR('Supporting Calendar'!AG8),"",INDEX('Todo-Holiday-Event'!$D$9:$D$258,'Supporting Calendar'!AG8))</f>
        <v/>
      </c>
      <c r="O13" s="165" t="str">
        <f ca="1">IF(ISERROR('Supporting Calendar'!AH8),"",INDEX('Todo-Holiday-Event'!$E$9:$E$258,'Supporting Calendar'!AH8))</f>
        <v/>
      </c>
      <c r="P13" s="166" t="str">
        <f ca="1">IF(ISERROR('Supporting Calendar'!AH8),"",INDEX('Todo-Holiday-Event'!$D$9:$D$258,'Supporting Calendar'!AH8))</f>
        <v/>
      </c>
      <c r="X13" s="77"/>
      <c r="AH13" s="78"/>
    </row>
    <row r="14" spans="1:34" s="76" customFormat="1" ht="15" customHeight="1" x14ac:dyDescent="0.25">
      <c r="A14" s="159"/>
      <c r="C14" s="165" t="str">
        <f ca="1">IF(ISERROR('Supporting Calendar'!AB9),"",INDEX('Todo-Holiday-Event'!$E$9:$E$258,'Supporting Calendar'!AB9))</f>
        <v/>
      </c>
      <c r="D14" s="166" t="str">
        <f ca="1">IF(ISERROR('Supporting Calendar'!AB9),"",INDEX('Todo-Holiday-Event'!$D$9:$D$258,'Supporting Calendar'!AB9))</f>
        <v/>
      </c>
      <c r="E14" s="165" t="str">
        <f ca="1">IF(ISERROR('Supporting Calendar'!AC9),"",INDEX('Todo-Holiday-Event'!$E$9:$E$258,'Supporting Calendar'!AC9))</f>
        <v/>
      </c>
      <c r="F14" s="166" t="str">
        <f ca="1">IF(ISERROR('Supporting Calendar'!AC9),"",INDEX('Todo-Holiday-Event'!$D$9:$D$258,'Supporting Calendar'!AC9))</f>
        <v/>
      </c>
      <c r="G14" s="165" t="str">
        <f ca="1">IF(ISERROR('Supporting Calendar'!AD9),"",INDEX('Todo-Holiday-Event'!$E$9:$E$258,'Supporting Calendar'!AD9))</f>
        <v/>
      </c>
      <c r="H14" s="166" t="str">
        <f ca="1">IF(ISERROR('Supporting Calendar'!AD9),"",INDEX('Todo-Holiday-Event'!$D$9:$D$258,'Supporting Calendar'!AD9))</f>
        <v/>
      </c>
      <c r="I14" s="165" t="str">
        <f ca="1">IF(ISERROR('Supporting Calendar'!AE9),"",INDEX('Todo-Holiday-Event'!$E$9:$E$258,'Supporting Calendar'!AE9))</f>
        <v/>
      </c>
      <c r="J14" s="166"/>
      <c r="K14" s="165" t="str">
        <f ca="1">IF(ISERROR('Supporting Calendar'!AF9),"",INDEX('Todo-Holiday-Event'!$E$9:$E$258,'Supporting Calendar'!AF9))</f>
        <v/>
      </c>
      <c r="L14" s="166" t="str">
        <f ca="1">IF(ISERROR('Supporting Calendar'!AF9),"",INDEX('Todo-Holiday-Event'!$D$9:$D$258,'Supporting Calendar'!AF9))</f>
        <v/>
      </c>
      <c r="M14" s="165" t="str">
        <f ca="1">IF(ISERROR('Supporting Calendar'!AG9),"",INDEX('Todo-Holiday-Event'!$E$9:$E$258,'Supporting Calendar'!AG9))</f>
        <v/>
      </c>
      <c r="N14" s="166" t="str">
        <f ca="1">IF(ISERROR('Supporting Calendar'!AG9),"",INDEX('Todo-Holiday-Event'!$D$9:$D$258,'Supporting Calendar'!AG9))</f>
        <v/>
      </c>
      <c r="O14" s="165" t="str">
        <f ca="1">IF(ISERROR('Supporting Calendar'!AH9),"",INDEX('Todo-Holiday-Event'!$E$9:$E$258,'Supporting Calendar'!AH9))</f>
        <v/>
      </c>
      <c r="P14" s="166" t="str">
        <f ca="1">IF(ISERROR('Supporting Calendar'!AH9),"",INDEX('Todo-Holiday-Event'!$D$9:$D$258,'Supporting Calendar'!AH9))</f>
        <v/>
      </c>
      <c r="X14" s="77"/>
      <c r="AH14" s="78"/>
    </row>
    <row r="15" spans="1:34" s="76" customFormat="1" ht="15" customHeight="1" x14ac:dyDescent="0.25">
      <c r="A15" s="159"/>
      <c r="C15" s="167" t="str">
        <f ca="1">IF(ISERROR('Supporting Calendar'!AB10),"",INDEX('Todo-Holiday-Event'!$E$9:$E$258,'Supporting Calendar'!AB10))</f>
        <v/>
      </c>
      <c r="D15" s="168" t="str">
        <f ca="1">IF(ISERROR('Supporting Calendar'!AB10),"",INDEX('Todo-Holiday-Event'!$D$9:$D$258,'Supporting Calendar'!AB10))</f>
        <v/>
      </c>
      <c r="E15" s="167" t="str">
        <f ca="1">IF(ISERROR('Supporting Calendar'!AC10),"",INDEX('Todo-Holiday-Event'!$E$9:$E$258,'Supporting Calendar'!AC10))</f>
        <v/>
      </c>
      <c r="F15" s="168" t="str">
        <f ca="1">IF(ISERROR('Supporting Calendar'!AC10),"",INDEX('Todo-Holiday-Event'!$D$9:$D$258,'Supporting Calendar'!AC10))</f>
        <v/>
      </c>
      <c r="G15" s="167" t="str">
        <f ca="1">IF(ISERROR('Supporting Calendar'!AD10),"",INDEX('Todo-Holiday-Event'!$E$9:$E$258,'Supporting Calendar'!AD10))</f>
        <v/>
      </c>
      <c r="H15" s="168" t="str">
        <f ca="1">IF(ISERROR('Supporting Calendar'!AD10),"",INDEX('Todo-Holiday-Event'!$D$9:$D$258,'Supporting Calendar'!AD10))</f>
        <v/>
      </c>
      <c r="I15" s="167" t="str">
        <f ca="1">IF(ISERROR('Supporting Calendar'!AE10),"",INDEX('Todo-Holiday-Event'!$E$9:$E$258,'Supporting Calendar'!AE10))</f>
        <v/>
      </c>
      <c r="J15" s="168"/>
      <c r="K15" s="167" t="str">
        <f ca="1">IF(ISERROR('Supporting Calendar'!AF10),"",INDEX('Todo-Holiday-Event'!$E$9:$E$258,'Supporting Calendar'!AF10))</f>
        <v/>
      </c>
      <c r="L15" s="168" t="str">
        <f ca="1">IF(ISERROR('Supporting Calendar'!AF10),"",INDEX('Todo-Holiday-Event'!$D$9:$D$258,'Supporting Calendar'!AF10))</f>
        <v/>
      </c>
      <c r="M15" s="167" t="str">
        <f ca="1">IF(ISERROR('Supporting Calendar'!AG10),"",INDEX('Todo-Holiday-Event'!$E$9:$E$258,'Supporting Calendar'!AG10))</f>
        <v/>
      </c>
      <c r="N15" s="168" t="str">
        <f ca="1">IF(ISERROR('Supporting Calendar'!AG10),"",INDEX('Todo-Holiday-Event'!$D$9:$D$258,'Supporting Calendar'!AG10))</f>
        <v/>
      </c>
      <c r="O15" s="167" t="str">
        <f ca="1">IF(ISERROR('Supporting Calendar'!AH10),"",INDEX('Todo-Holiday-Event'!$E$9:$E$258,'Supporting Calendar'!AH10))</f>
        <v/>
      </c>
      <c r="P15" s="168" t="str">
        <f ca="1">IF(ISERROR('Supporting Calendar'!AH10),"",INDEX('Todo-Holiday-Event'!$D$9:$D$258,'Supporting Calendar'!AH10))</f>
        <v/>
      </c>
      <c r="X15" s="77"/>
      <c r="AH15" s="78"/>
    </row>
    <row r="16" spans="1:34" s="13" customFormat="1" ht="15" customHeight="1" x14ac:dyDescent="0.25">
      <c r="A16" s="159"/>
      <c r="C16" s="164" t="str">
        <f>IF(D16&lt;&gt;"",IF(ISNA(VLOOKUP(DATE($N$31,$P$31,D16),'Todo-Holiday-Event'!$L$9:$M$28,2,FALSE)),IF(ISNA(VLOOKUP(DATE($N$31,$P$31,D16),'Todo-Holiday-Event'!$H$9:$I$28,2,FALSE)),"",VLOOKUP(DATE($N$31,$P$31,D16),'Todo-Holiday-Event'!$H$9:$I$28,2,FALSE)),VLOOKUP(DATE($N$31,$P$31,D16),'Todo-Holiday-Event'!$L$9:$M$28,2,FALSE)),"")</f>
        <v/>
      </c>
      <c r="D16" s="169">
        <f>P11+1</f>
        <v>11</v>
      </c>
      <c r="E16" s="164" t="str">
        <f>IF(F16&lt;&gt;"",IF(ISNA(VLOOKUP(DATE($N$31,$P$31,F16),'Todo-Holiday-Event'!$L$9:$M$28,2,FALSE)),IF(ISNA(VLOOKUP(DATE($N$31,$P$31,F16),'Todo-Holiday-Event'!$H$9:$I$28,2,FALSE)),"",VLOOKUP(DATE($N$31,$P$31,F16),'Todo-Holiday-Event'!$H$9:$I$28,2,FALSE)),VLOOKUP(DATE($N$31,$P$31,F16),'Todo-Holiday-Event'!$L$9:$M$28,2,FALSE)),"")</f>
        <v/>
      </c>
      <c r="F16" s="169">
        <f>D16+1</f>
        <v>12</v>
      </c>
      <c r="G16" s="164" t="str">
        <f>IF(H16&lt;&gt;"",IF(ISNA(VLOOKUP(DATE($N$31,$P$31,H16),'Todo-Holiday-Event'!$L$9:$M$28,2,FALSE)),IF(ISNA(VLOOKUP(DATE($N$31,$P$31,H16),'Todo-Holiday-Event'!$H$9:$I$28,2,FALSE)),"",VLOOKUP(DATE($N$31,$P$31,H16),'Todo-Holiday-Event'!$H$9:$I$28,2,FALSE)),VLOOKUP(DATE($N$31,$P$31,H16),'Todo-Holiday-Event'!$L$9:$M$28,2,FALSE)),"")</f>
        <v/>
      </c>
      <c r="H16" s="169">
        <f>F16+1</f>
        <v>13</v>
      </c>
      <c r="I16" s="164" t="str">
        <f>IF(J16&lt;&gt;"",IF(ISNA(VLOOKUP(DATE($N$31,$P$31,J16),'Todo-Holiday-Event'!$L$9:$M$28,2,FALSE)),IF(ISNA(VLOOKUP(DATE($N$31,$P$31,J16),'Todo-Holiday-Event'!$H$9:$I$28,2,FALSE)),"",VLOOKUP(DATE($N$31,$P$31,J16),'Todo-Holiday-Event'!$H$9:$I$28,2,FALSE)),VLOOKUP(DATE($N$31,$P$31,J16),'Todo-Holiday-Event'!$L$9:$M$28,2,FALSE)),"")</f>
        <v/>
      </c>
      <c r="J16" s="169">
        <f>H16+1</f>
        <v>14</v>
      </c>
      <c r="K16" s="164" t="str">
        <f>IF(L16&lt;&gt;"",IF(ISNA(VLOOKUP(DATE($N$31,$P$31,L16),'Todo-Holiday-Event'!$L$9:$M$28,2,FALSE)),IF(ISNA(VLOOKUP(DATE($N$31,$P$31,L16),'Todo-Holiday-Event'!$H$9:$I$28,2,FALSE)),"",VLOOKUP(DATE($N$31,$P$31,L16),'Todo-Holiday-Event'!$H$9:$I$28,2,FALSE)),VLOOKUP(DATE($N$31,$P$31,L16),'Todo-Holiday-Event'!$L$9:$M$28,2,FALSE)),"")</f>
        <v/>
      </c>
      <c r="L16" s="169">
        <f>J16+1</f>
        <v>15</v>
      </c>
      <c r="M16" s="164" t="str">
        <f>IF(N16&lt;&gt;"",IF(ISNA(VLOOKUP(DATE($N$31,$P$31,N16),'Todo-Holiday-Event'!$L$9:$M$28,2,FALSE)),IF(ISNA(VLOOKUP(DATE($N$31,$P$31,N16),'Todo-Holiday-Event'!$H$9:$I$28,2,FALSE)),"",VLOOKUP(DATE($N$31,$P$31,N16),'Todo-Holiday-Event'!$H$9:$I$28,2,FALSE)),VLOOKUP(DATE($N$31,$P$31,N16),'Todo-Holiday-Event'!$L$9:$M$28,2,FALSE)),"")</f>
        <v/>
      </c>
      <c r="N16" s="169">
        <f>L16+1</f>
        <v>16</v>
      </c>
      <c r="O16" s="164" t="str">
        <f>IF(P16&lt;&gt;"",IF(ISNA(VLOOKUP(DATE($N$31,$P$31,P16),'Todo-Holiday-Event'!$L$9:$M$28,2,FALSE)),IF(ISNA(VLOOKUP(DATE($N$31,$P$31,P16),'Todo-Holiday-Event'!$H$9:$I$28,2,FALSE)),"",VLOOKUP(DATE($N$31,$P$31,P16),'Todo-Holiday-Event'!$H$9:$I$28,2,FALSE)),VLOOKUP(DATE($N$31,$P$31,P16),'Todo-Holiday-Event'!$L$9:$M$28,2,FALSE)),"")</f>
        <v/>
      </c>
      <c r="P16" s="169">
        <f>N16+1</f>
        <v>17</v>
      </c>
      <c r="X16" s="70"/>
      <c r="AH16" s="67"/>
    </row>
    <row r="17" spans="1:34" s="76" customFormat="1" ht="15" customHeight="1" x14ac:dyDescent="0.25">
      <c r="A17" s="159"/>
      <c r="C17" s="165" t="str">
        <f>IF(ISERROR('Supporting Calendar'!AB13),"",INDEX('Todo-Holiday-Event'!$E$9:$E$258,'Supporting Calendar'!AB13))</f>
        <v/>
      </c>
      <c r="D17" s="166" t="str">
        <f>IF(ISERROR('Supporting Calendar'!AB13),"",INDEX('Todo-Holiday-Event'!$D$9:$D$258,'Supporting Calendar'!AB13))</f>
        <v/>
      </c>
      <c r="E17" s="165" t="str">
        <f>IF(ISERROR('Supporting Calendar'!AC13),"",INDEX('Todo-Holiday-Event'!$E$9:$E$258,'Supporting Calendar'!AC13))</f>
        <v/>
      </c>
      <c r="F17" s="166" t="str">
        <f>IF(ISERROR('Supporting Calendar'!AC13),"",INDEX('Todo-Holiday-Event'!$D$9:$D$258,'Supporting Calendar'!AC13))</f>
        <v/>
      </c>
      <c r="G17" s="165" t="str">
        <f>IF(ISERROR('Supporting Calendar'!AD13),"",INDEX('Todo-Holiday-Event'!$E$9:$E$258,'Supporting Calendar'!AD13))</f>
        <v/>
      </c>
      <c r="H17" s="166" t="str">
        <f>IF(ISERROR('Supporting Calendar'!AD13),"",INDEX('Todo-Holiday-Event'!$D$9:$D$258,'Supporting Calendar'!AD13))</f>
        <v/>
      </c>
      <c r="I17" s="165" t="str">
        <f>IF(ISERROR('Supporting Calendar'!AE13),"",INDEX('Todo-Holiday-Event'!$E$9:$E$258,'Supporting Calendar'!AE13))</f>
        <v/>
      </c>
      <c r="J17" s="166" t="str">
        <f>IF(ISERROR('Supporting Calendar'!AE13),"",INDEX('Todo-Holiday-Event'!$D$9:$D$258,'Supporting Calendar'!AE13))</f>
        <v/>
      </c>
      <c r="K17" s="165" t="str">
        <f>IF(ISERROR('Supporting Calendar'!AF13),"",INDEX('Todo-Holiday-Event'!$E$9:$E$258,'Supporting Calendar'!AF13))</f>
        <v/>
      </c>
      <c r="L17" s="166" t="str">
        <f>IF(ISERROR('Supporting Calendar'!AF13),"",INDEX('Todo-Holiday-Event'!$D$9:$D$258,'Supporting Calendar'!AF13))</f>
        <v/>
      </c>
      <c r="M17" s="165" t="str">
        <f>IF(ISERROR('Supporting Calendar'!AG13),"",INDEX('Todo-Holiday-Event'!$E$9:$E$258,'Supporting Calendar'!AG13))</f>
        <v/>
      </c>
      <c r="N17" s="166" t="str">
        <f>IF(ISERROR('Supporting Calendar'!AG13),"",INDEX('Todo-Holiday-Event'!$D$9:$D$258,'Supporting Calendar'!AG13))</f>
        <v/>
      </c>
      <c r="O17" s="165" t="str">
        <f>IF(ISERROR('Supporting Calendar'!AH13),"",INDEX('Todo-Holiday-Event'!$E$9:$E$258,'Supporting Calendar'!AH13))</f>
        <v/>
      </c>
      <c r="P17" s="166" t="str">
        <f>IF(ISERROR('Supporting Calendar'!AH13),"",INDEX('Todo-Holiday-Event'!$D$9:$D$258,'Supporting Calendar'!AH13))</f>
        <v/>
      </c>
      <c r="X17" s="77"/>
      <c r="AH17" s="78"/>
    </row>
    <row r="18" spans="1:34" s="76" customFormat="1" ht="15" customHeight="1" x14ac:dyDescent="0.25">
      <c r="A18" s="159"/>
      <c r="C18" s="165" t="str">
        <f ca="1">IF(ISERROR('Supporting Calendar'!AB14),"",INDEX('Todo-Holiday-Event'!$E$9:$E$258,'Supporting Calendar'!AB14))</f>
        <v/>
      </c>
      <c r="D18" s="166" t="str">
        <f ca="1">IF(ISERROR('Supporting Calendar'!AB14),"",INDEX('Todo-Holiday-Event'!$D$9:$D$258,'Supporting Calendar'!AB14))</f>
        <v/>
      </c>
      <c r="E18" s="165" t="str">
        <f ca="1">IF(ISERROR('Supporting Calendar'!AC14),"",INDEX('Todo-Holiday-Event'!$E$9:$E$258,'Supporting Calendar'!AC14))</f>
        <v/>
      </c>
      <c r="F18" s="166" t="str">
        <f ca="1">IF(ISERROR('Supporting Calendar'!AC14),"",INDEX('Todo-Holiday-Event'!$D$9:$D$258,'Supporting Calendar'!AC14))</f>
        <v/>
      </c>
      <c r="G18" s="165" t="str">
        <f ca="1">IF(ISERROR('Supporting Calendar'!AD14),"",INDEX('Todo-Holiday-Event'!$E$9:$E$258,'Supporting Calendar'!AD14))</f>
        <v/>
      </c>
      <c r="H18" s="166" t="str">
        <f ca="1">IF(ISERROR('Supporting Calendar'!AD14),"",INDEX('Todo-Holiday-Event'!$D$9:$D$258,'Supporting Calendar'!AD14))</f>
        <v/>
      </c>
      <c r="I18" s="165" t="str">
        <f ca="1">IF(ISERROR('Supporting Calendar'!AE14),"",INDEX('Todo-Holiday-Event'!$E$9:$E$258,'Supporting Calendar'!AE14))</f>
        <v/>
      </c>
      <c r="J18" s="166" t="str">
        <f ca="1">IF(ISERROR('Supporting Calendar'!AE14),"",INDEX('Todo-Holiday-Event'!$D$9:$D$258,'Supporting Calendar'!AE14))</f>
        <v/>
      </c>
      <c r="K18" s="165" t="str">
        <f ca="1">IF(ISERROR('Supporting Calendar'!AF14),"",INDEX('Todo-Holiday-Event'!$E$9:$E$258,'Supporting Calendar'!AF14))</f>
        <v/>
      </c>
      <c r="L18" s="166" t="str">
        <f ca="1">IF(ISERROR('Supporting Calendar'!AF14),"",INDEX('Todo-Holiday-Event'!$D$9:$D$258,'Supporting Calendar'!AF14))</f>
        <v/>
      </c>
      <c r="M18" s="165" t="str">
        <f ca="1">IF(ISERROR('Supporting Calendar'!AG14),"",INDEX('Todo-Holiday-Event'!$E$9:$E$258,'Supporting Calendar'!AG14))</f>
        <v/>
      </c>
      <c r="N18" s="166" t="str">
        <f ca="1">IF(ISERROR('Supporting Calendar'!AG14),"",INDEX('Todo-Holiday-Event'!$D$9:$D$258,'Supporting Calendar'!AG14))</f>
        <v/>
      </c>
      <c r="O18" s="165" t="str">
        <f ca="1">IF(ISERROR('Supporting Calendar'!AH14),"",INDEX('Todo-Holiday-Event'!$E$9:$E$258,'Supporting Calendar'!AH14))</f>
        <v/>
      </c>
      <c r="P18" s="166" t="str">
        <f ca="1">IF(ISERROR('Supporting Calendar'!AH14),"",INDEX('Todo-Holiday-Event'!$D$9:$D$258,'Supporting Calendar'!AH14))</f>
        <v/>
      </c>
      <c r="X18" s="77"/>
      <c r="AH18" s="78"/>
    </row>
    <row r="19" spans="1:34" s="76" customFormat="1" ht="15" customHeight="1" x14ac:dyDescent="0.25">
      <c r="A19" s="159"/>
      <c r="C19" s="165" t="str">
        <f ca="1">IF(ISERROR('Supporting Calendar'!AB15),"",INDEX('Todo-Holiday-Event'!$E$9:$E$258,'Supporting Calendar'!AB15))</f>
        <v/>
      </c>
      <c r="D19" s="166" t="str">
        <f ca="1">IF(ISERROR('Supporting Calendar'!AB15),"",INDEX('Todo-Holiday-Event'!$D$9:$D$258,'Supporting Calendar'!AB15))</f>
        <v/>
      </c>
      <c r="E19" s="165" t="str">
        <f ca="1">IF(ISERROR('Supporting Calendar'!AC15),"",INDEX('Todo-Holiday-Event'!$E$9:$E$258,'Supporting Calendar'!AC15))</f>
        <v/>
      </c>
      <c r="F19" s="166" t="str">
        <f ca="1">IF(ISERROR('Supporting Calendar'!AC15),"",INDEX('Todo-Holiday-Event'!$D$9:$D$258,'Supporting Calendar'!AC15))</f>
        <v/>
      </c>
      <c r="G19" s="165" t="str">
        <f ca="1">IF(ISERROR('Supporting Calendar'!AD15),"",INDEX('Todo-Holiday-Event'!$E$9:$E$258,'Supporting Calendar'!AD15))</f>
        <v/>
      </c>
      <c r="H19" s="166" t="str">
        <f ca="1">IF(ISERROR('Supporting Calendar'!AD15),"",INDEX('Todo-Holiday-Event'!$D$9:$D$258,'Supporting Calendar'!AD15))</f>
        <v/>
      </c>
      <c r="I19" s="165" t="str">
        <f ca="1">IF(ISERROR('Supporting Calendar'!AE15),"",INDEX('Todo-Holiday-Event'!$E$9:$E$258,'Supporting Calendar'!AE15))</f>
        <v/>
      </c>
      <c r="J19" s="166" t="str">
        <f ca="1">IF(ISERROR('Supporting Calendar'!AE15),"",INDEX('Todo-Holiday-Event'!$D$9:$D$258,'Supporting Calendar'!AE15))</f>
        <v/>
      </c>
      <c r="K19" s="165" t="str">
        <f ca="1">IF(ISERROR('Supporting Calendar'!AF15),"",INDEX('Todo-Holiday-Event'!$E$9:$E$258,'Supporting Calendar'!AF15))</f>
        <v/>
      </c>
      <c r="L19" s="166" t="str">
        <f ca="1">IF(ISERROR('Supporting Calendar'!AF15),"",INDEX('Todo-Holiday-Event'!$D$9:$D$258,'Supporting Calendar'!AF15))</f>
        <v/>
      </c>
      <c r="M19" s="165" t="str">
        <f ca="1">IF(ISERROR('Supporting Calendar'!AG15),"",INDEX('Todo-Holiday-Event'!$E$9:$E$258,'Supporting Calendar'!AG15))</f>
        <v/>
      </c>
      <c r="N19" s="166" t="str">
        <f ca="1">IF(ISERROR('Supporting Calendar'!AG15),"",INDEX('Todo-Holiday-Event'!$D$9:$D$258,'Supporting Calendar'!AG15))</f>
        <v/>
      </c>
      <c r="O19" s="165" t="str">
        <f ca="1">IF(ISERROR('Supporting Calendar'!AH15),"",INDEX('Todo-Holiday-Event'!$E$9:$E$258,'Supporting Calendar'!AH15))</f>
        <v/>
      </c>
      <c r="P19" s="166" t="str">
        <f ca="1">IF(ISERROR('Supporting Calendar'!AH15),"",INDEX('Todo-Holiday-Event'!$D$9:$D$258,'Supporting Calendar'!AH15))</f>
        <v/>
      </c>
      <c r="X19" s="77"/>
      <c r="AH19" s="78"/>
    </row>
    <row r="20" spans="1:34" s="76" customFormat="1" ht="15" customHeight="1" x14ac:dyDescent="0.25">
      <c r="A20" s="159"/>
      <c r="C20" s="167" t="str">
        <f ca="1">IF(ISERROR('Supporting Calendar'!AB16),"",INDEX('Todo-Holiday-Event'!$E$9:$E$258,'Supporting Calendar'!AB16))</f>
        <v/>
      </c>
      <c r="D20" s="168" t="str">
        <f ca="1">IF(ISERROR('Supporting Calendar'!AB16),"",INDEX('Todo-Holiday-Event'!$D$9:$D$258,'Supporting Calendar'!AB16))</f>
        <v/>
      </c>
      <c r="E20" s="167" t="str">
        <f ca="1">IF(ISERROR('Supporting Calendar'!AC16),"",INDEX('Todo-Holiday-Event'!$E$9:$E$258,'Supporting Calendar'!AC16))</f>
        <v/>
      </c>
      <c r="F20" s="168" t="str">
        <f ca="1">IF(ISERROR('Supporting Calendar'!AC16),"",INDEX('Todo-Holiday-Event'!$D$9:$D$258,'Supporting Calendar'!AC16))</f>
        <v/>
      </c>
      <c r="G20" s="167" t="str">
        <f ca="1">IF(ISERROR('Supporting Calendar'!AD16),"",INDEX('Todo-Holiday-Event'!$E$9:$E$258,'Supporting Calendar'!AD16))</f>
        <v/>
      </c>
      <c r="H20" s="168" t="str">
        <f ca="1">IF(ISERROR('Supporting Calendar'!AD16),"",INDEX('Todo-Holiday-Event'!$D$9:$D$258,'Supporting Calendar'!AD16))</f>
        <v/>
      </c>
      <c r="I20" s="167" t="str">
        <f ca="1">IF(ISERROR('Supporting Calendar'!AE16),"",INDEX('Todo-Holiday-Event'!$E$9:$E$258,'Supporting Calendar'!AE16))</f>
        <v/>
      </c>
      <c r="J20" s="168" t="str">
        <f ca="1">IF(ISERROR('Supporting Calendar'!AE16),"",INDEX('Todo-Holiday-Event'!$D$9:$D$258,'Supporting Calendar'!AE16))</f>
        <v/>
      </c>
      <c r="K20" s="167" t="str">
        <f ca="1">IF(ISERROR('Supporting Calendar'!AF16),"",INDEX('Todo-Holiday-Event'!$E$9:$E$258,'Supporting Calendar'!AF16))</f>
        <v/>
      </c>
      <c r="L20" s="168" t="str">
        <f ca="1">IF(ISERROR('Supporting Calendar'!AF16),"",INDEX('Todo-Holiday-Event'!$D$9:$D$258,'Supporting Calendar'!AF16))</f>
        <v/>
      </c>
      <c r="M20" s="167" t="str">
        <f ca="1">IF(ISERROR('Supporting Calendar'!AG16),"",INDEX('Todo-Holiday-Event'!$E$9:$E$258,'Supporting Calendar'!AG16))</f>
        <v/>
      </c>
      <c r="N20" s="168" t="str">
        <f ca="1">IF(ISERROR('Supporting Calendar'!AG16),"",INDEX('Todo-Holiday-Event'!$D$9:$D$258,'Supporting Calendar'!AG16))</f>
        <v/>
      </c>
      <c r="O20" s="167" t="str">
        <f ca="1">IF(ISERROR('Supporting Calendar'!AH16),"",INDEX('Todo-Holiday-Event'!$E$9:$E$258,'Supporting Calendar'!AH16))</f>
        <v/>
      </c>
      <c r="P20" s="168" t="str">
        <f ca="1">IF(ISERROR('Supporting Calendar'!AH16),"",INDEX('Todo-Holiday-Event'!$D$9:$D$258,'Supporting Calendar'!AH16))</f>
        <v/>
      </c>
      <c r="X20" s="77"/>
      <c r="AH20" s="78"/>
    </row>
    <row r="21" spans="1:34" s="13" customFormat="1" ht="15" customHeight="1" x14ac:dyDescent="0.25">
      <c r="A21" s="159"/>
      <c r="C21" s="164" t="str">
        <f>IF(D21&lt;&gt;"",IF(ISNA(VLOOKUP(DATE($N$31,$P$31,D21),'Todo-Holiday-Event'!$L$9:$M$28,2,FALSE)),IF(ISNA(VLOOKUP(DATE($N$31,$P$31,D21),'Todo-Holiday-Event'!$H$9:$I$28,2,FALSE)),"",VLOOKUP(DATE($N$31,$P$31,D21),'Todo-Holiday-Event'!$H$9:$I$28,2,FALSE)),VLOOKUP(DATE($N$31,$P$31,D21),'Todo-Holiday-Event'!$L$9:$M$28,2,FALSE)),"")</f>
        <v/>
      </c>
      <c r="D21" s="169">
        <f>P16+1</f>
        <v>18</v>
      </c>
      <c r="E21" s="164" t="str">
        <f>IF(F21&lt;&gt;"",IF(ISNA(VLOOKUP(DATE($N$31,$P$31,F21),'Todo-Holiday-Event'!$L$9:$M$28,2,FALSE)),IF(ISNA(VLOOKUP(DATE($N$31,$P$31,F21),'Todo-Holiday-Event'!$H$9:$I$28,2,FALSE)),"",VLOOKUP(DATE($N$31,$P$31,F21),'Todo-Holiday-Event'!$H$9:$I$28,2,FALSE)),VLOOKUP(DATE($N$31,$P$31,F21),'Todo-Holiday-Event'!$L$9:$M$28,2,FALSE)),"")</f>
        <v/>
      </c>
      <c r="F21" s="169">
        <f>D21+1</f>
        <v>19</v>
      </c>
      <c r="G21" s="164" t="str">
        <f>IF(H21&lt;&gt;"",IF(ISNA(VLOOKUP(DATE($N$31,$P$31,H21),'Todo-Holiday-Event'!$L$9:$M$28,2,FALSE)),IF(ISNA(VLOOKUP(DATE($N$31,$P$31,H21),'Todo-Holiday-Event'!$H$9:$I$28,2,FALSE)),"",VLOOKUP(DATE($N$31,$P$31,H21),'Todo-Holiday-Event'!$H$9:$I$28,2,FALSE)),VLOOKUP(DATE($N$31,$P$31,H21),'Todo-Holiday-Event'!$L$9:$M$28,2,FALSE)),"")</f>
        <v/>
      </c>
      <c r="H21" s="169">
        <f>F21+1</f>
        <v>20</v>
      </c>
      <c r="I21" s="164" t="str">
        <f>IF(J21&lt;&gt;"",IF(ISNA(VLOOKUP(DATE($N$31,$P$31,J21),'Todo-Holiday-Event'!$L$9:$M$28,2,FALSE)),IF(ISNA(VLOOKUP(DATE($N$31,$P$31,J21),'Todo-Holiday-Event'!$H$9:$I$28,2,FALSE)),"",VLOOKUP(DATE($N$31,$P$31,J21),'Todo-Holiday-Event'!$H$9:$I$28,2,FALSE)),VLOOKUP(DATE($N$31,$P$31,J21),'Todo-Holiday-Event'!$L$9:$M$28,2,FALSE)),"")</f>
        <v/>
      </c>
      <c r="J21" s="169">
        <f>H21+1</f>
        <v>21</v>
      </c>
      <c r="K21" s="164" t="str">
        <f>IF(L21&lt;&gt;"",IF(ISNA(VLOOKUP(DATE($N$31,$P$31,L21),'Todo-Holiday-Event'!$L$9:$M$28,2,FALSE)),IF(ISNA(VLOOKUP(DATE($N$31,$P$31,L21),'Todo-Holiday-Event'!$H$9:$I$28,2,FALSE)),"",VLOOKUP(DATE($N$31,$P$31,L21),'Todo-Holiday-Event'!$H$9:$I$28,2,FALSE)),VLOOKUP(DATE($N$31,$P$31,L21),'Todo-Holiday-Event'!$L$9:$M$28,2,FALSE)),"")</f>
        <v/>
      </c>
      <c r="L21" s="169">
        <f>J21+1</f>
        <v>22</v>
      </c>
      <c r="M21" s="164" t="str">
        <f>IF(N21&lt;&gt;"",IF(ISNA(VLOOKUP(DATE($N$31,$P$31,N21),'Todo-Holiday-Event'!$L$9:$M$28,2,FALSE)),IF(ISNA(VLOOKUP(DATE($N$31,$P$31,N21),'Todo-Holiday-Event'!$H$9:$I$28,2,FALSE)),"",VLOOKUP(DATE($N$31,$P$31,N21),'Todo-Holiday-Event'!$H$9:$I$28,2,FALSE)),VLOOKUP(DATE($N$31,$P$31,N21),'Todo-Holiday-Event'!$L$9:$M$28,2,FALSE)),"")</f>
        <v/>
      </c>
      <c r="N21" s="169">
        <f>L21+1</f>
        <v>23</v>
      </c>
      <c r="O21" s="164" t="str">
        <f>IF(P21&lt;&gt;"",IF(ISNA(VLOOKUP(DATE($N$31,$P$31,P21),'Todo-Holiday-Event'!$L$9:$M$28,2,FALSE)),IF(ISNA(VLOOKUP(DATE($N$31,$P$31,P21),'Todo-Holiday-Event'!$H$9:$I$28,2,FALSE)),"",VLOOKUP(DATE($N$31,$P$31,P21),'Todo-Holiday-Event'!$H$9:$I$28,2,FALSE)),VLOOKUP(DATE($N$31,$P$31,P21),'Todo-Holiday-Event'!$L$9:$M$28,2,FALSE)),"")</f>
        <v/>
      </c>
      <c r="P21" s="169">
        <f>N21+1</f>
        <v>24</v>
      </c>
      <c r="X21" s="70"/>
      <c r="AH21" s="67"/>
    </row>
    <row r="22" spans="1:34" s="76" customFormat="1" ht="15" customHeight="1" x14ac:dyDescent="0.25">
      <c r="A22" s="159"/>
      <c r="C22" s="165" t="str">
        <f>IF(ISERROR('Supporting Calendar'!AB19),"",INDEX('Todo-Holiday-Event'!$E$9:$E$258,'Supporting Calendar'!AB19))</f>
        <v>Shopping</v>
      </c>
      <c r="D22" s="166">
        <f>IF(ISERROR('Supporting Calendar'!AB19),"",INDEX('Todo-Holiday-Event'!$D$9:$D$258,'Supporting Calendar'!AB19))</f>
        <v>0.70833333333333337</v>
      </c>
      <c r="E22" s="165" t="str">
        <f>IF(ISERROR('Supporting Calendar'!AC19),"",INDEX('Todo-Holiday-Event'!$E$9:$E$258,'Supporting Calendar'!AC19))</f>
        <v/>
      </c>
      <c r="F22" s="166" t="str">
        <f>IF(ISERROR('Supporting Calendar'!AC19),"",INDEX('Todo-Holiday-Event'!$D$9:$D$258,'Supporting Calendar'!AC19))</f>
        <v/>
      </c>
      <c r="G22" s="165" t="str">
        <f>IF(ISERROR('Supporting Calendar'!AD19),"",INDEX('Todo-Holiday-Event'!$E$9:$E$258,'Supporting Calendar'!AD19))</f>
        <v/>
      </c>
      <c r="H22" s="166" t="str">
        <f>IF(ISERROR('Supporting Calendar'!AD19),"",INDEX('Todo-Holiday-Event'!$D$9:$D$258,'Supporting Calendar'!AD19))</f>
        <v/>
      </c>
      <c r="I22" s="165" t="str">
        <f>IF(ISERROR('Supporting Calendar'!AE19),"",INDEX('Todo-Holiday-Event'!$E$9:$E$258,'Supporting Calendar'!AE19))</f>
        <v/>
      </c>
      <c r="J22" s="166" t="str">
        <f>IF(ISERROR('Supporting Calendar'!AE19),"",INDEX('Todo-Holiday-Event'!$D$9:$D$258,'Supporting Calendar'!AE19))</f>
        <v/>
      </c>
      <c r="K22" s="165" t="str">
        <f>IF(ISERROR('Supporting Calendar'!AF19),"",INDEX('Todo-Holiday-Event'!$E$9:$E$258,'Supporting Calendar'!AF19))</f>
        <v/>
      </c>
      <c r="L22" s="166" t="str">
        <f>IF(ISERROR('Supporting Calendar'!AF19),"",INDEX('Todo-Holiday-Event'!$D$9:$D$258,'Supporting Calendar'!AF19))</f>
        <v/>
      </c>
      <c r="M22" s="165" t="str">
        <f>IF(ISERROR('Supporting Calendar'!AG19),"",INDEX('Todo-Holiday-Event'!$E$9:$E$258,'Supporting Calendar'!AG19))</f>
        <v/>
      </c>
      <c r="N22" s="166" t="str">
        <f>IF(ISERROR('Supporting Calendar'!AG19),"",INDEX('Todo-Holiday-Event'!$D$9:$D$258,'Supporting Calendar'!AG19))</f>
        <v/>
      </c>
      <c r="O22" s="165" t="str">
        <f>IF(ISERROR('Supporting Calendar'!AH19),"",INDEX('Todo-Holiday-Event'!$E$9:$E$258,'Supporting Calendar'!AH19))</f>
        <v/>
      </c>
      <c r="P22" s="166" t="str">
        <f>IF(ISERROR('Supporting Calendar'!AH19),"",INDEX('Todo-Holiday-Event'!$D$9:$D$258,'Supporting Calendar'!AH19))</f>
        <v/>
      </c>
      <c r="X22" s="77"/>
    </row>
    <row r="23" spans="1:34" s="76" customFormat="1" ht="15" customHeight="1" x14ac:dyDescent="0.25">
      <c r="A23" s="159"/>
      <c r="C23" s="165" t="str">
        <f ca="1">IF(ISERROR('Supporting Calendar'!AB20),"",INDEX('Todo-Holiday-Event'!$E$9:$E$258,'Supporting Calendar'!AB20))</f>
        <v/>
      </c>
      <c r="D23" s="166" t="str">
        <f ca="1">IF(ISERROR('Supporting Calendar'!AB20),"",INDEX('Todo-Holiday-Event'!$D$9:$D$258,'Supporting Calendar'!AB20))</f>
        <v/>
      </c>
      <c r="E23" s="165" t="str">
        <f ca="1">IF(ISERROR('Supporting Calendar'!AC20),"",INDEX('Todo-Holiday-Event'!$E$9:$E$258,'Supporting Calendar'!AC20))</f>
        <v/>
      </c>
      <c r="F23" s="166" t="str">
        <f ca="1">IF(ISERROR('Supporting Calendar'!AC20),"",INDEX('Todo-Holiday-Event'!$D$9:$D$258,'Supporting Calendar'!AC20))</f>
        <v/>
      </c>
      <c r="G23" s="165" t="str">
        <f ca="1">IF(ISERROR('Supporting Calendar'!AD20),"",INDEX('Todo-Holiday-Event'!$E$9:$E$258,'Supporting Calendar'!AD20))</f>
        <v/>
      </c>
      <c r="H23" s="166" t="str">
        <f ca="1">IF(ISERROR('Supporting Calendar'!AD20),"",INDEX('Todo-Holiday-Event'!$D$9:$D$258,'Supporting Calendar'!AD20))</f>
        <v/>
      </c>
      <c r="I23" s="165" t="str">
        <f ca="1">IF(ISERROR('Supporting Calendar'!AE20),"",INDEX('Todo-Holiday-Event'!$E$9:$E$258,'Supporting Calendar'!AE20))</f>
        <v/>
      </c>
      <c r="J23" s="166" t="str">
        <f ca="1">IF(ISERROR('Supporting Calendar'!AE20),"",INDEX('Todo-Holiday-Event'!$D$9:$D$258,'Supporting Calendar'!AE20))</f>
        <v/>
      </c>
      <c r="K23" s="165" t="str">
        <f ca="1">IF(ISERROR('Supporting Calendar'!AF20),"",INDEX('Todo-Holiday-Event'!$E$9:$E$258,'Supporting Calendar'!AF20))</f>
        <v/>
      </c>
      <c r="L23" s="166" t="str">
        <f ca="1">IF(ISERROR('Supporting Calendar'!AF20),"",INDEX('Todo-Holiday-Event'!$D$9:$D$258,'Supporting Calendar'!AF20))</f>
        <v/>
      </c>
      <c r="M23" s="165" t="str">
        <f ca="1">IF(ISERROR('Supporting Calendar'!AG20),"",INDEX('Todo-Holiday-Event'!$E$9:$E$258,'Supporting Calendar'!AG20))</f>
        <v/>
      </c>
      <c r="N23" s="166" t="str">
        <f ca="1">IF(ISERROR('Supporting Calendar'!AG20),"",INDEX('Todo-Holiday-Event'!$D$9:$D$258,'Supporting Calendar'!AG20))</f>
        <v/>
      </c>
      <c r="O23" s="165" t="str">
        <f ca="1">IF(ISERROR('Supporting Calendar'!AH20),"",INDEX('Todo-Holiday-Event'!$E$9:$E$258,'Supporting Calendar'!AH20))</f>
        <v/>
      </c>
      <c r="P23" s="166" t="str">
        <f ca="1">IF(ISERROR('Supporting Calendar'!AH20),"",INDEX('Todo-Holiday-Event'!$D$9:$D$258,'Supporting Calendar'!AH20))</f>
        <v/>
      </c>
      <c r="X23" s="77"/>
    </row>
    <row r="24" spans="1:34" s="76" customFormat="1" ht="15" customHeight="1" x14ac:dyDescent="0.25">
      <c r="A24" s="159"/>
      <c r="C24" s="165" t="str">
        <f ca="1">IF(ISERROR('Supporting Calendar'!AB21),"",INDEX('Todo-Holiday-Event'!$E$9:$E$258,'Supporting Calendar'!AB21))</f>
        <v/>
      </c>
      <c r="D24" s="166" t="str">
        <f ca="1">IF(ISERROR('Supporting Calendar'!AB21),"",INDEX('Todo-Holiday-Event'!$D$9:$D$258,'Supporting Calendar'!AB21))</f>
        <v/>
      </c>
      <c r="E24" s="165" t="str">
        <f ca="1">IF(ISERROR('Supporting Calendar'!AC21),"",INDEX('Todo-Holiday-Event'!$E$9:$E$258,'Supporting Calendar'!AC21))</f>
        <v/>
      </c>
      <c r="F24" s="166" t="str">
        <f ca="1">IF(ISERROR('Supporting Calendar'!AC21),"",INDEX('Todo-Holiday-Event'!$D$9:$D$258,'Supporting Calendar'!AC21))</f>
        <v/>
      </c>
      <c r="G24" s="165" t="str">
        <f ca="1">IF(ISERROR('Supporting Calendar'!AD21),"",INDEX('Todo-Holiday-Event'!$E$9:$E$258,'Supporting Calendar'!AD21))</f>
        <v/>
      </c>
      <c r="H24" s="166" t="str">
        <f ca="1">IF(ISERROR('Supporting Calendar'!AD21),"",INDEX('Todo-Holiday-Event'!$D$9:$D$258,'Supporting Calendar'!AD21))</f>
        <v/>
      </c>
      <c r="I24" s="165" t="str">
        <f ca="1">IF(ISERROR('Supporting Calendar'!AE21),"",INDEX('Todo-Holiday-Event'!$E$9:$E$258,'Supporting Calendar'!AE21))</f>
        <v/>
      </c>
      <c r="J24" s="166" t="str">
        <f ca="1">IF(ISERROR('Supporting Calendar'!AE21),"",INDEX('Todo-Holiday-Event'!$D$9:$D$258,'Supporting Calendar'!AE21))</f>
        <v/>
      </c>
      <c r="K24" s="165" t="str">
        <f ca="1">IF(ISERROR('Supporting Calendar'!AF21),"",INDEX('Todo-Holiday-Event'!$E$9:$E$258,'Supporting Calendar'!AF21))</f>
        <v/>
      </c>
      <c r="L24" s="166" t="str">
        <f ca="1">IF(ISERROR('Supporting Calendar'!AF21),"",INDEX('Todo-Holiday-Event'!$D$9:$D$258,'Supporting Calendar'!AF21))</f>
        <v/>
      </c>
      <c r="M24" s="165" t="str">
        <f ca="1">IF(ISERROR('Supporting Calendar'!AG21),"",INDEX('Todo-Holiday-Event'!$E$9:$E$258,'Supporting Calendar'!AG21))</f>
        <v/>
      </c>
      <c r="N24" s="166" t="str">
        <f ca="1">IF(ISERROR('Supporting Calendar'!AG21),"",INDEX('Todo-Holiday-Event'!$D$9:$D$258,'Supporting Calendar'!AG21))</f>
        <v/>
      </c>
      <c r="O24" s="165" t="str">
        <f ca="1">IF(ISERROR('Supporting Calendar'!AH21),"",INDEX('Todo-Holiday-Event'!$E$9:$E$258,'Supporting Calendar'!AH21))</f>
        <v/>
      </c>
      <c r="P24" s="166" t="str">
        <f ca="1">IF(ISERROR('Supporting Calendar'!AH21),"",INDEX('Todo-Holiday-Event'!$D$9:$D$258,'Supporting Calendar'!AH21))</f>
        <v/>
      </c>
      <c r="X24" s="77"/>
    </row>
    <row r="25" spans="1:34" s="76" customFormat="1" ht="15" customHeight="1" x14ac:dyDescent="0.25">
      <c r="A25" s="159"/>
      <c r="C25" s="167" t="str">
        <f ca="1">IF(ISERROR('Supporting Calendar'!AB22),"",INDEX('Todo-Holiday-Event'!$E$9:$E$258,'Supporting Calendar'!AB22))</f>
        <v/>
      </c>
      <c r="D25" s="168" t="str">
        <f ca="1">IF(ISERROR('Supporting Calendar'!AB22),"",INDEX('Todo-Holiday-Event'!$D$9:$D$258,'Supporting Calendar'!AB22))</f>
        <v/>
      </c>
      <c r="E25" s="167" t="str">
        <f ca="1">IF(ISERROR('Supporting Calendar'!AC22),"",INDEX('Todo-Holiday-Event'!$E$9:$E$258,'Supporting Calendar'!AC22))</f>
        <v/>
      </c>
      <c r="F25" s="168" t="str">
        <f ca="1">IF(ISERROR('Supporting Calendar'!AC22),"",INDEX('Todo-Holiday-Event'!$D$9:$D$258,'Supporting Calendar'!AC22))</f>
        <v/>
      </c>
      <c r="G25" s="167" t="str">
        <f ca="1">IF(ISERROR('Supporting Calendar'!AD22),"",INDEX('Todo-Holiday-Event'!$E$9:$E$258,'Supporting Calendar'!AD22))</f>
        <v/>
      </c>
      <c r="H25" s="168" t="str">
        <f ca="1">IF(ISERROR('Supporting Calendar'!AD22),"",INDEX('Todo-Holiday-Event'!$D$9:$D$258,'Supporting Calendar'!AD22))</f>
        <v/>
      </c>
      <c r="I25" s="167" t="str">
        <f ca="1">IF(ISERROR('Supporting Calendar'!AE22),"",INDEX('Todo-Holiday-Event'!$E$9:$E$258,'Supporting Calendar'!AE22))</f>
        <v/>
      </c>
      <c r="J25" s="168" t="str">
        <f ca="1">IF(ISERROR('Supporting Calendar'!AE22),"",INDEX('Todo-Holiday-Event'!$D$9:$D$258,'Supporting Calendar'!AE22))</f>
        <v/>
      </c>
      <c r="K25" s="167" t="str">
        <f ca="1">IF(ISERROR('Supporting Calendar'!AF22),"",INDEX('Todo-Holiday-Event'!$E$9:$E$258,'Supporting Calendar'!AF22))</f>
        <v/>
      </c>
      <c r="L25" s="168" t="str">
        <f ca="1">IF(ISERROR('Supporting Calendar'!AF22),"",INDEX('Todo-Holiday-Event'!$D$9:$D$258,'Supporting Calendar'!AF22))</f>
        <v/>
      </c>
      <c r="M25" s="167" t="str">
        <f ca="1">IF(ISERROR('Supporting Calendar'!AG22),"",INDEX('Todo-Holiday-Event'!$E$9:$E$258,'Supporting Calendar'!AG22))</f>
        <v/>
      </c>
      <c r="N25" s="168" t="str">
        <f ca="1">IF(ISERROR('Supporting Calendar'!AG22),"",INDEX('Todo-Holiday-Event'!$D$9:$D$258,'Supporting Calendar'!AG22))</f>
        <v/>
      </c>
      <c r="O25" s="167" t="str">
        <f ca="1">IF(ISERROR('Supporting Calendar'!AH22),"",INDEX('Todo-Holiday-Event'!$E$9:$E$258,'Supporting Calendar'!AH22))</f>
        <v/>
      </c>
      <c r="P25" s="168" t="str">
        <f ca="1">IF(ISERROR('Supporting Calendar'!AH22),"",INDEX('Todo-Holiday-Event'!$D$9:$D$258,'Supporting Calendar'!AH22))</f>
        <v/>
      </c>
      <c r="X25" s="77"/>
    </row>
    <row r="26" spans="1:34" s="13" customFormat="1" ht="15" customHeight="1" x14ac:dyDescent="0.25">
      <c r="A26" s="159"/>
      <c r="C26" s="164" t="str">
        <f>IF(D26&lt;&gt;"",IF(ISNA(VLOOKUP(DATE($N$31,$P$31,D26),'Todo-Holiday-Event'!$L$9:$M$28,2,FALSE)),IF(ISNA(VLOOKUP(DATE($N$31,$P$31,D26),'Todo-Holiday-Event'!$H$9:$I$28,2,FALSE)),"",VLOOKUP(DATE($N$31,$P$31,D26),'Todo-Holiday-Event'!$H$9:$I$28,2,FALSE)),VLOOKUP(DATE($N$31,$P$31,D26),'Todo-Holiday-Event'!$L$9:$M$28,2,FALSE)),"")</f>
        <v/>
      </c>
      <c r="D26" s="169">
        <f>IF(P21&lt;&gt;"",IF(DAY(EOMONTH(DATE($N$31,$P$31,1),0))=P21,"",P21+1),"")</f>
        <v>25</v>
      </c>
      <c r="E26" s="164" t="str">
        <f>IF(F26&lt;&gt;"",IF(ISNA(VLOOKUP(DATE($N$31,$P$31,F26),'Todo-Holiday-Event'!$L$9:$M$28,2,FALSE)),IF(ISNA(VLOOKUP(DATE($N$31,$P$31,F26),'Todo-Holiday-Event'!$H$9:$I$28,2,FALSE)),"",VLOOKUP(DATE($N$31,$P$31,F26),'Todo-Holiday-Event'!$H$9:$I$28,2,FALSE)),VLOOKUP(DATE($N$31,$P$31,F26),'Todo-Holiday-Event'!$L$9:$M$28,2,FALSE)),"")</f>
        <v/>
      </c>
      <c r="F26" s="169">
        <f>IF(D26&lt;&gt;"",IF(DAY(EOMONTH(DATE($N$31,$P$31,1),0))=D26,"",D26+1),"")</f>
        <v>26</v>
      </c>
      <c r="G26" s="164" t="str">
        <f>IF(H26&lt;&gt;"",IF(ISNA(VLOOKUP(DATE($N$31,$P$31,H26),'Todo-Holiday-Event'!$L$9:$M$28,2,FALSE)),IF(ISNA(VLOOKUP(DATE($N$31,$P$31,H26),'Todo-Holiday-Event'!$H$9:$I$28,2,FALSE)),"",VLOOKUP(DATE($N$31,$P$31,H26),'Todo-Holiday-Event'!$H$9:$I$28,2,FALSE)),VLOOKUP(DATE($N$31,$P$31,H26),'Todo-Holiday-Event'!$L$9:$M$28,2,FALSE)),"")</f>
        <v/>
      </c>
      <c r="H26" s="169">
        <f>IF(F26&lt;&gt;"",IF(DAY(EOMONTH(DATE($N$31,$P$31,1),0))=F26,"",F26+1),"")</f>
        <v>27</v>
      </c>
      <c r="I26" s="164" t="str">
        <f>IF(J26&lt;&gt;"",IF(ISNA(VLOOKUP(DATE($N$31,$P$31,J26),'Todo-Holiday-Event'!$L$9:$M$28,2,FALSE)),IF(ISNA(VLOOKUP(DATE($N$31,$P$31,J26),'Todo-Holiday-Event'!$H$9:$I$28,2,FALSE)),"",VLOOKUP(DATE($N$31,$P$31,J26),'Todo-Holiday-Event'!$H$9:$I$28,2,FALSE)),VLOOKUP(DATE($N$31,$P$31,J26),'Todo-Holiday-Event'!$L$9:$M$28,2,FALSE)),"")</f>
        <v/>
      </c>
      <c r="J26" s="169">
        <f>IF(H26&lt;&gt;"",IF(DAY(EOMONTH(DATE($N$31,$P$31,1),0))=H26,"",H26+1),"")</f>
        <v>28</v>
      </c>
      <c r="K26" s="164" t="str">
        <f>IF(L26&lt;&gt;"",IF(ISNA(VLOOKUP(DATE($N$31,$P$31,L26),'Todo-Holiday-Event'!$L$9:$M$28,2,FALSE)),IF(ISNA(VLOOKUP(DATE($N$31,$P$31,L26),'Todo-Holiday-Event'!$H$9:$I$28,2,FALSE)),"",VLOOKUP(DATE($N$31,$P$31,L26),'Todo-Holiday-Event'!$H$9:$I$28,2,FALSE)),VLOOKUP(DATE($N$31,$P$31,L26),'Todo-Holiday-Event'!$L$9:$M$28,2,FALSE)),"")</f>
        <v/>
      </c>
      <c r="L26" s="169">
        <f>IF(J26&lt;&gt;"",IF(DAY(EOMONTH(DATE($N$31,$P$31,1),0))=J26,"",J26+1),"")</f>
        <v>29</v>
      </c>
      <c r="M26" s="164" t="str">
        <f>IF(N26&lt;&gt;"",IF(ISNA(VLOOKUP(DATE($N$31,$P$31,N26),'Todo-Holiday-Event'!$L$9:$M$28,2,FALSE)),IF(ISNA(VLOOKUP(DATE($N$31,$P$31,N26),'Todo-Holiday-Event'!$H$9:$I$28,2,FALSE)),"",VLOOKUP(DATE($N$31,$P$31,N26),'Todo-Holiday-Event'!$H$9:$I$28,2,FALSE)),VLOOKUP(DATE($N$31,$P$31,N26),'Todo-Holiday-Event'!$L$9:$M$28,2,FALSE)),"")</f>
        <v/>
      </c>
      <c r="N26" s="169">
        <f>IF(L26&lt;&gt;"",IF(DAY(EOMONTH(DATE($N$31,$P$31,1),0))=L26,"",L26+1),"")</f>
        <v>30</v>
      </c>
      <c r="O26" s="164" t="str">
        <f>IF(P26&lt;&gt;"",IF(ISNA(VLOOKUP(DATE($N$31,$P$31,P26),'Todo-Holiday-Event'!$L$9:$M$28,2,FALSE)),IF(ISNA(VLOOKUP(DATE($N$31,$P$31,P26),'Todo-Holiday-Event'!$H$9:$I$28,2,FALSE)),"",VLOOKUP(DATE($N$31,$P$31,P26),'Todo-Holiday-Event'!$H$9:$I$28,2,FALSE)),VLOOKUP(DATE($N$31,$P$31,P26),'Todo-Holiday-Event'!$L$9:$M$28,2,FALSE)),"")</f>
        <v/>
      </c>
      <c r="P26" s="169">
        <f>IF(N26&lt;&gt;"",IF(DAY(EOMONTH(DATE($N$31,$P$31,1),0))=N26,"",N26+1),"")</f>
        <v>31</v>
      </c>
      <c r="X26" s="70"/>
    </row>
    <row r="27" spans="1:34" s="76" customFormat="1" ht="15" customHeight="1" x14ac:dyDescent="0.25">
      <c r="A27" s="159"/>
      <c r="C27" s="165" t="str">
        <f>IF(ISERROR('Supporting Calendar'!AB25),"",INDEX('Todo-Holiday-Event'!$E$9:$E$258,'Supporting Calendar'!AB25))</f>
        <v/>
      </c>
      <c r="D27" s="166" t="str">
        <f>IF(ISERROR('Supporting Calendar'!AB25),"",INDEX('Todo-Holiday-Event'!$D$9:$D$258,'Supporting Calendar'!AB25))</f>
        <v/>
      </c>
      <c r="E27" s="165" t="str">
        <f>IF(ISERROR('Supporting Calendar'!AC25),"",INDEX('Todo-Holiday-Event'!$E$9:$E$258,'Supporting Calendar'!AC25))</f>
        <v/>
      </c>
      <c r="F27" s="166" t="str">
        <f>IF(ISERROR('Supporting Calendar'!AC25),"",INDEX('Todo-Holiday-Event'!$D$9:$D$258,'Supporting Calendar'!AC25))</f>
        <v/>
      </c>
      <c r="G27" s="165" t="str">
        <f>IF(ISERROR('Supporting Calendar'!AD25),"",INDEX('Todo-Holiday-Event'!$E$9:$E$258,'Supporting Calendar'!AD25))</f>
        <v/>
      </c>
      <c r="H27" s="166" t="str">
        <f>IF(ISERROR('Supporting Calendar'!AD25),"",INDEX('Todo-Holiday-Event'!$D$9:$D$258,'Supporting Calendar'!AD25))</f>
        <v/>
      </c>
      <c r="I27" s="165" t="str">
        <f>IF(ISERROR('Supporting Calendar'!AE25),"",INDEX('Todo-Holiday-Event'!$E$9:$E$258,'Supporting Calendar'!AE25))</f>
        <v/>
      </c>
      <c r="J27" s="166" t="str">
        <f>IF(ISERROR('Supporting Calendar'!AE25),"",INDEX('Todo-Holiday-Event'!$D$9:$D$258,'Supporting Calendar'!AE25))</f>
        <v/>
      </c>
      <c r="K27" s="165" t="str">
        <f>IF(ISERROR('Supporting Calendar'!AF25),"",INDEX('Todo-Holiday-Event'!$E$9:$E$258,'Supporting Calendar'!AF25))</f>
        <v/>
      </c>
      <c r="L27" s="166" t="str">
        <f>IF(ISERROR('Supporting Calendar'!AF25),"",INDEX('Todo-Holiday-Event'!$D$9:$D$258,'Supporting Calendar'!AF25))</f>
        <v/>
      </c>
      <c r="M27" s="165" t="str">
        <f>IF(ISERROR('Supporting Calendar'!AG25),"",INDEX('Todo-Holiday-Event'!$E$9:$E$258,'Supporting Calendar'!AG25))</f>
        <v/>
      </c>
      <c r="N27" s="166" t="str">
        <f>IF(ISERROR('Supporting Calendar'!AG25),"",INDEX('Todo-Holiday-Event'!$D$9:$D$258,'Supporting Calendar'!AG25))</f>
        <v/>
      </c>
      <c r="O27" s="165" t="str">
        <f>IF(ISERROR('Supporting Calendar'!AH25),"",INDEX('Todo-Holiday-Event'!$E$9:$E$258,'Supporting Calendar'!AH25))</f>
        <v/>
      </c>
      <c r="P27" s="166" t="str">
        <f>IF(ISERROR('Supporting Calendar'!AH25),"",INDEX('Todo-Holiday-Event'!$D$9:$D$258,'Supporting Calendar'!AH25))</f>
        <v/>
      </c>
      <c r="X27" s="77"/>
    </row>
    <row r="28" spans="1:34" s="76" customFormat="1" ht="15" customHeight="1" x14ac:dyDescent="0.25">
      <c r="A28" s="159"/>
      <c r="C28" s="165" t="str">
        <f ca="1">IF(ISERROR('Supporting Calendar'!AB26),"",INDEX('Todo-Holiday-Event'!$E$9:$E$258,'Supporting Calendar'!AB26))</f>
        <v/>
      </c>
      <c r="D28" s="166" t="str">
        <f ca="1">IF(ISERROR('Supporting Calendar'!AB26),"",INDEX('Todo-Holiday-Event'!$D$9:$D$258,'Supporting Calendar'!AB26))</f>
        <v/>
      </c>
      <c r="E28" s="165" t="str">
        <f ca="1">IF(ISERROR('Supporting Calendar'!AC26),"",INDEX('Todo-Holiday-Event'!$E$9:$E$258,'Supporting Calendar'!AC26))</f>
        <v/>
      </c>
      <c r="F28" s="166" t="str">
        <f ca="1">IF(ISERROR('Supporting Calendar'!AC26),"",INDEX('Todo-Holiday-Event'!$D$9:$D$258,'Supporting Calendar'!AC26))</f>
        <v/>
      </c>
      <c r="G28" s="165" t="str">
        <f ca="1">IF(ISERROR('Supporting Calendar'!AD26),"",INDEX('Todo-Holiday-Event'!$E$9:$E$258,'Supporting Calendar'!AD26))</f>
        <v/>
      </c>
      <c r="H28" s="166" t="str">
        <f ca="1">IF(ISERROR('Supporting Calendar'!AD26),"",INDEX('Todo-Holiday-Event'!$D$9:$D$258,'Supporting Calendar'!AD26))</f>
        <v/>
      </c>
      <c r="I28" s="165" t="str">
        <f ca="1">IF(ISERROR('Supporting Calendar'!AE26),"",INDEX('Todo-Holiday-Event'!$E$9:$E$258,'Supporting Calendar'!AE26))</f>
        <v/>
      </c>
      <c r="J28" s="166" t="str">
        <f ca="1">IF(ISERROR('Supporting Calendar'!AE26),"",INDEX('Todo-Holiday-Event'!$D$9:$D$258,'Supporting Calendar'!AE26))</f>
        <v/>
      </c>
      <c r="K28" s="165" t="str">
        <f ca="1">IF(ISERROR('Supporting Calendar'!AF26),"",INDEX('Todo-Holiday-Event'!$E$9:$E$258,'Supporting Calendar'!AF26))</f>
        <v/>
      </c>
      <c r="L28" s="166" t="str">
        <f ca="1">IF(ISERROR('Supporting Calendar'!AF26),"",INDEX('Todo-Holiday-Event'!$D$9:$D$258,'Supporting Calendar'!AF26))</f>
        <v/>
      </c>
      <c r="M28" s="165" t="str">
        <f ca="1">IF(ISERROR('Supporting Calendar'!AG26),"",INDEX('Todo-Holiday-Event'!$E$9:$E$258,'Supporting Calendar'!AG26))</f>
        <v/>
      </c>
      <c r="N28" s="166" t="str">
        <f ca="1">IF(ISERROR('Supporting Calendar'!AG26),"",INDEX('Todo-Holiday-Event'!$D$9:$D$258,'Supporting Calendar'!AG26))</f>
        <v/>
      </c>
      <c r="O28" s="165" t="str">
        <f ca="1">IF(ISERROR('Supporting Calendar'!AH26),"",INDEX('Todo-Holiday-Event'!$E$9:$E$258,'Supporting Calendar'!AH26))</f>
        <v/>
      </c>
      <c r="P28" s="166" t="str">
        <f ca="1">IF(ISERROR('Supporting Calendar'!AH26),"",INDEX('Todo-Holiday-Event'!$D$9:$D$258,'Supporting Calendar'!AH26))</f>
        <v/>
      </c>
      <c r="X28" s="77"/>
    </row>
    <row r="29" spans="1:34" s="76" customFormat="1" ht="15" customHeight="1" x14ac:dyDescent="0.25">
      <c r="A29" s="159"/>
      <c r="C29" s="165" t="str">
        <f ca="1">IF(ISERROR('Supporting Calendar'!AB27),"",INDEX('Todo-Holiday-Event'!$E$9:$E$258,'Supporting Calendar'!AB27))</f>
        <v/>
      </c>
      <c r="D29" s="166" t="str">
        <f ca="1">IF(ISERROR('Supporting Calendar'!AB27),"",INDEX('Todo-Holiday-Event'!$D$9:$D$258,'Supporting Calendar'!AB27))</f>
        <v/>
      </c>
      <c r="E29" s="165" t="str">
        <f ca="1">IF(ISERROR('Supporting Calendar'!AC27),"",INDEX('Todo-Holiday-Event'!$E$9:$E$258,'Supporting Calendar'!AC27))</f>
        <v/>
      </c>
      <c r="F29" s="166" t="str">
        <f ca="1">IF(ISERROR('Supporting Calendar'!AC27),"",INDEX('Todo-Holiday-Event'!$D$9:$D$258,'Supporting Calendar'!AC27))</f>
        <v/>
      </c>
      <c r="G29" s="165" t="str">
        <f ca="1">IF(ISERROR('Supporting Calendar'!AD27),"",INDEX('Todo-Holiday-Event'!$E$9:$E$258,'Supporting Calendar'!AD27))</f>
        <v/>
      </c>
      <c r="H29" s="166" t="str">
        <f ca="1">IF(ISERROR('Supporting Calendar'!AD27),"",INDEX('Todo-Holiday-Event'!$D$9:$D$258,'Supporting Calendar'!AD27))</f>
        <v/>
      </c>
      <c r="I29" s="165" t="str">
        <f ca="1">IF(ISERROR('Supporting Calendar'!AE27),"",INDEX('Todo-Holiday-Event'!$E$9:$E$258,'Supporting Calendar'!AE27))</f>
        <v/>
      </c>
      <c r="J29" s="166" t="str">
        <f ca="1">IF(ISERROR('Supporting Calendar'!AE27),"",INDEX('Todo-Holiday-Event'!$D$9:$D$258,'Supporting Calendar'!AE27))</f>
        <v/>
      </c>
      <c r="K29" s="165" t="str">
        <f ca="1">IF(ISERROR('Supporting Calendar'!AF27),"",INDEX('Todo-Holiday-Event'!$E$9:$E$258,'Supporting Calendar'!AF27))</f>
        <v/>
      </c>
      <c r="L29" s="166" t="str">
        <f ca="1">IF(ISERROR('Supporting Calendar'!AF27),"",INDEX('Todo-Holiday-Event'!$D$9:$D$258,'Supporting Calendar'!AF27))</f>
        <v/>
      </c>
      <c r="M29" s="165" t="str">
        <f ca="1">IF(ISERROR('Supporting Calendar'!AG27),"",INDEX('Todo-Holiday-Event'!$E$9:$E$258,'Supporting Calendar'!AG27))</f>
        <v/>
      </c>
      <c r="N29" s="166" t="str">
        <f ca="1">IF(ISERROR('Supporting Calendar'!AG27),"",INDEX('Todo-Holiday-Event'!$D$9:$D$258,'Supporting Calendar'!AG27))</f>
        <v/>
      </c>
      <c r="O29" s="165" t="str">
        <f ca="1">IF(ISERROR('Supporting Calendar'!AH27),"",INDEX('Todo-Holiday-Event'!$E$9:$E$258,'Supporting Calendar'!AH27))</f>
        <v/>
      </c>
      <c r="P29" s="166" t="str">
        <f ca="1">IF(ISERROR('Supporting Calendar'!AH27),"",INDEX('Todo-Holiday-Event'!$D$9:$D$258,'Supporting Calendar'!AH27))</f>
        <v/>
      </c>
      <c r="X29" s="77"/>
    </row>
    <row r="30" spans="1:34" s="76" customFormat="1" ht="15" customHeight="1" x14ac:dyDescent="0.25">
      <c r="A30" s="159"/>
      <c r="C30" s="167" t="str">
        <f ca="1">IF(ISERROR('Supporting Calendar'!AB28),"",INDEX('Todo-Holiday-Event'!$E$9:$E$258,'Supporting Calendar'!AB28))</f>
        <v/>
      </c>
      <c r="D30" s="168" t="str">
        <f ca="1">IF(ISERROR('Supporting Calendar'!AB28),"",INDEX('Todo-Holiday-Event'!$D$9:$D$258,'Supporting Calendar'!AB28))</f>
        <v/>
      </c>
      <c r="E30" s="167" t="str">
        <f ca="1">IF(ISERROR('Supporting Calendar'!AC28),"",INDEX('Todo-Holiday-Event'!$E$9:$E$258,'Supporting Calendar'!AC28))</f>
        <v/>
      </c>
      <c r="F30" s="168" t="str">
        <f ca="1">IF(ISERROR('Supporting Calendar'!AC28),"",INDEX('Todo-Holiday-Event'!$D$9:$D$258,'Supporting Calendar'!AC28))</f>
        <v/>
      </c>
      <c r="G30" s="167" t="str">
        <f ca="1">IF(ISERROR('Supporting Calendar'!AD28),"",INDEX('Todo-Holiday-Event'!$E$9:$E$258,'Supporting Calendar'!AD28))</f>
        <v/>
      </c>
      <c r="H30" s="168" t="str">
        <f ca="1">IF(ISERROR('Supporting Calendar'!AD28),"",INDEX('Todo-Holiday-Event'!$D$9:$D$258,'Supporting Calendar'!AD28))</f>
        <v/>
      </c>
      <c r="I30" s="167" t="str">
        <f ca="1">IF(ISERROR('Supporting Calendar'!AE28),"",INDEX('Todo-Holiday-Event'!$E$9:$E$258,'Supporting Calendar'!AE28))</f>
        <v/>
      </c>
      <c r="J30" s="168" t="str">
        <f ca="1">IF(ISERROR('Supporting Calendar'!AE28),"",INDEX('Todo-Holiday-Event'!$D$9:$D$258,'Supporting Calendar'!AE28))</f>
        <v/>
      </c>
      <c r="K30" s="167" t="str">
        <f ca="1">IF(ISERROR('Supporting Calendar'!AF28),"",INDEX('Todo-Holiday-Event'!$E$9:$E$258,'Supporting Calendar'!AF28))</f>
        <v/>
      </c>
      <c r="L30" s="168" t="str">
        <f ca="1">IF(ISERROR('Supporting Calendar'!AF28),"",INDEX('Todo-Holiday-Event'!$D$9:$D$258,'Supporting Calendar'!AF28))</f>
        <v/>
      </c>
      <c r="M30" s="167" t="str">
        <f ca="1">IF(ISERROR('Supporting Calendar'!AG28),"",INDEX('Todo-Holiday-Event'!$E$9:$E$258,'Supporting Calendar'!AG28))</f>
        <v/>
      </c>
      <c r="N30" s="168" t="str">
        <f ca="1">IF(ISERROR('Supporting Calendar'!AG28),"",INDEX('Todo-Holiday-Event'!$D$9:$D$258,'Supporting Calendar'!AG28))</f>
        <v/>
      </c>
      <c r="O30" s="167" t="str">
        <f ca="1">IF(ISERROR('Supporting Calendar'!AH28),"",INDEX('Todo-Holiday-Event'!$E$9:$E$258,'Supporting Calendar'!AH28))</f>
        <v/>
      </c>
      <c r="P30" s="168" t="str">
        <f ca="1">IF(ISERROR('Supporting Calendar'!AH28),"",INDEX('Todo-Holiday-Event'!$D$9:$D$258,'Supporting Calendar'!AH28))</f>
        <v/>
      </c>
      <c r="X30" s="77"/>
    </row>
    <row r="31" spans="1:34" s="13" customFormat="1" ht="15" customHeight="1" x14ac:dyDescent="0.25">
      <c r="A31" s="159"/>
      <c r="C31" s="164" t="str">
        <f>IF(D31&lt;&gt;"",IF(ISNA(VLOOKUP(DATE($N$31,$P$31,D31),'Todo-Holiday-Event'!$L$9:$M$28,2,FALSE)),IF(ISNA(VLOOKUP(DATE($N$31,$P$31,D31),'Todo-Holiday-Event'!$H$9:$I$28,2,FALSE)),"",VLOOKUP(DATE($N$31,$P$31,D31),'Todo-Holiday-Event'!$H$9:$I$28,2,FALSE)),VLOOKUP(DATE($N$31,$P$31,D31),'Todo-Holiday-Event'!$L$9:$M$28,2,FALSE)),"")</f>
        <v/>
      </c>
      <c r="D31" s="169" t="str">
        <f>IF(P26&lt;&gt;"",IF(DAY(EOMONTH(DATE($N$31,$P$31,1),0))=P26,"",P26+1),"")</f>
        <v/>
      </c>
      <c r="E31" s="164" t="str">
        <f>IF(F31&lt;&gt;"",IF(ISNA(VLOOKUP(DATE($N$31,$P$31,F31),'Todo-Holiday-Event'!$L$9:$M$28,2,FALSE)),IF(ISNA(VLOOKUP(DATE($N$31,$P$31,F31),'Todo-Holiday-Event'!$H$9:$I$28,2,FALSE)),"",VLOOKUP(DATE($N$31,$P$31,F31),'Todo-Holiday-Event'!$H$9:$I$28,2,FALSE)),VLOOKUP(DATE($N$31,$P$31,F31),'Todo-Holiday-Event'!$L$9:$M$28,2,FALSE)),"")</f>
        <v/>
      </c>
      <c r="F31" s="169" t="str">
        <f>IF(D31&lt;&gt;"",IF(DAY(EOMONTH(DATE($N$31,$P$31,1),0))=D31,"",D31+1),"")</f>
        <v/>
      </c>
      <c r="G31" s="192" t="s">
        <v>25</v>
      </c>
      <c r="H31" s="173"/>
      <c r="I31" s="174"/>
      <c r="J31" s="175"/>
      <c r="K31" s="174"/>
      <c r="L31" s="176"/>
      <c r="M31" s="177"/>
      <c r="N31" s="178">
        <f>IF(P33+P32&gt;24,N33+2,IF(P33+P32&gt;12,N33+1,N33))</f>
        <v>2019</v>
      </c>
      <c r="O31" s="179"/>
      <c r="P31" s="180">
        <f>IF(P33+P32&gt;24,P33+P32-24,IF(P33+P32&gt;12,P33+P32-12,P33+P32))</f>
        <v>8</v>
      </c>
      <c r="X31" s="70"/>
    </row>
    <row r="32" spans="1:34" s="76" customFormat="1" ht="15" customHeight="1" x14ac:dyDescent="0.25">
      <c r="A32" s="159"/>
      <c r="C32" s="165" t="str">
        <f>IF(ISERROR('Supporting Calendar'!AB31),"",INDEX('Todo-Holiday-Event'!$E$9:$E$258,'Supporting Calendar'!AB31))</f>
        <v/>
      </c>
      <c r="D32" s="166" t="str">
        <f>IF(ISERROR('Supporting Calendar'!AB31),"",INDEX('Todo-Holiday-Event'!$D$9:$D$258,'Supporting Calendar'!AB31))</f>
        <v/>
      </c>
      <c r="E32" s="165" t="str">
        <f>IF(ISERROR('Supporting Calendar'!AC31),"",INDEX('Todo-Holiday-Event'!$E$9:$E$258,'Supporting Calendar'!AC31))</f>
        <v/>
      </c>
      <c r="F32" s="166" t="str">
        <f>IF(ISERROR('Supporting Calendar'!AC31),"",INDEX('Todo-Holiday-Event'!$D$9:$D$258,'Supporting Calendar'!AC31))</f>
        <v/>
      </c>
      <c r="G32" s="181"/>
      <c r="H32" s="170"/>
      <c r="I32" s="161"/>
      <c r="J32" s="161"/>
      <c r="K32" s="161"/>
      <c r="L32" s="161"/>
      <c r="M32" s="171"/>
      <c r="N32" s="162"/>
      <c r="O32" s="172"/>
      <c r="P32" s="182">
        <f>'Layout 1'!O32</f>
        <v>6</v>
      </c>
      <c r="X32" s="77"/>
    </row>
    <row r="33" spans="1:32" s="76" customFormat="1" ht="15" customHeight="1" x14ac:dyDescent="0.25">
      <c r="A33" s="159"/>
      <c r="C33" s="165" t="str">
        <f ca="1">IF(ISERROR('Supporting Calendar'!AB32),"",INDEX('Todo-Holiday-Event'!$E$9:$E$258,'Supporting Calendar'!AB32))</f>
        <v/>
      </c>
      <c r="D33" s="166" t="str">
        <f ca="1">IF(ISERROR('Supporting Calendar'!AB32),"",INDEX('Todo-Holiday-Event'!$D$9:$D$258,'Supporting Calendar'!AB32))</f>
        <v/>
      </c>
      <c r="E33" s="165" t="str">
        <f ca="1">IF(ISERROR('Supporting Calendar'!AC32),"",INDEX('Todo-Holiday-Event'!$E$9:$E$258,'Supporting Calendar'!AC32))</f>
        <v/>
      </c>
      <c r="F33" s="166" t="str">
        <f ca="1">IF(ISERROR('Supporting Calendar'!AC32),"",INDEX('Todo-Holiday-Event'!$D$9:$D$258,'Supporting Calendar'!AC32))</f>
        <v/>
      </c>
      <c r="G33" s="181"/>
      <c r="H33" s="170"/>
      <c r="I33" s="161"/>
      <c r="J33" s="161"/>
      <c r="K33" s="161"/>
      <c r="L33" s="161"/>
      <c r="M33" s="171"/>
      <c r="N33" s="163">
        <f>'Todo-Holiday-Event'!E6</f>
        <v>2019</v>
      </c>
      <c r="O33" s="172"/>
      <c r="P33" s="183">
        <f>INDEX(MonthRef,MATCH(StartMonth,Months,0),0)</f>
        <v>2</v>
      </c>
      <c r="X33" s="77"/>
    </row>
    <row r="34" spans="1:32" s="76" customFormat="1" ht="15" customHeight="1" x14ac:dyDescent="0.25">
      <c r="A34" s="159"/>
      <c r="C34" s="165" t="str">
        <f ca="1">IF(ISERROR('Supporting Calendar'!AB33),"",INDEX('Todo-Holiday-Event'!$E$9:$E$258,'Supporting Calendar'!AB33))</f>
        <v/>
      </c>
      <c r="D34" s="166" t="str">
        <f ca="1">IF(ISERROR('Supporting Calendar'!AB33),"",INDEX('Todo-Holiday-Event'!$D$9:$D$258,'Supporting Calendar'!AB33))</f>
        <v/>
      </c>
      <c r="E34" s="165" t="str">
        <f ca="1">IF(ISERROR('Supporting Calendar'!AC33),"",INDEX('Todo-Holiday-Event'!$E$9:$E$258,'Supporting Calendar'!AC33))</f>
        <v/>
      </c>
      <c r="F34" s="166" t="str">
        <f ca="1">IF(ISERROR('Supporting Calendar'!AC33),"",INDEX('Todo-Holiday-Event'!$D$9:$D$258,'Supporting Calendar'!AC33))</f>
        <v/>
      </c>
      <c r="G34" s="181"/>
      <c r="H34" s="170"/>
      <c r="I34" s="161"/>
      <c r="J34" s="161"/>
      <c r="K34" s="161"/>
      <c r="L34" s="161"/>
      <c r="M34" s="171"/>
      <c r="N34" s="162"/>
      <c r="O34" s="172"/>
      <c r="P34" s="184"/>
      <c r="X34" s="77"/>
    </row>
    <row r="35" spans="1:32" s="76" customFormat="1" ht="15" customHeight="1" x14ac:dyDescent="0.25">
      <c r="A35" s="159"/>
      <c r="C35" s="167" t="str">
        <f ca="1">IF(ISERROR('Supporting Calendar'!AB34),"",INDEX('Todo-Holiday-Event'!$E$9:$E$258,'Supporting Calendar'!AB34))</f>
        <v/>
      </c>
      <c r="D35" s="168" t="str">
        <f ca="1">IF(ISERROR('Supporting Calendar'!AB34),"",INDEX('Todo-Holiday-Event'!$D$9:$D$258,'Supporting Calendar'!AB34))</f>
        <v/>
      </c>
      <c r="E35" s="167" t="str">
        <f ca="1">IF(ISERROR('Supporting Calendar'!AC34),"",INDEX('Todo-Holiday-Event'!$E$9:$E$258,'Supporting Calendar'!AC34))</f>
        <v/>
      </c>
      <c r="F35" s="168" t="str">
        <f ca="1">IF(ISERROR('Supporting Calendar'!AC34),"",INDEX('Todo-Holiday-Event'!$D$9:$D$258,'Supporting Calendar'!AC34))</f>
        <v/>
      </c>
      <c r="G35" s="185"/>
      <c r="H35" s="186"/>
      <c r="I35" s="187"/>
      <c r="J35" s="187"/>
      <c r="K35" s="187"/>
      <c r="L35" s="187"/>
      <c r="M35" s="188"/>
      <c r="N35" s="189"/>
      <c r="O35" s="190"/>
      <c r="P35" s="191"/>
      <c r="X35" s="77"/>
    </row>
    <row r="36" spans="1:32" ht="19.5" customHeight="1" x14ac:dyDescent="0.3">
      <c r="A36" s="160"/>
      <c r="C36" s="82" t="s">
        <v>62</v>
      </c>
    </row>
    <row r="37" spans="1:32" s="59" customFormat="1" ht="30" hidden="1" customHeight="1" x14ac:dyDescent="0.3">
      <c r="D37" s="81"/>
      <c r="F37" s="81"/>
      <c r="H37" s="81"/>
      <c r="J37" s="81"/>
      <c r="L37" s="81"/>
      <c r="N37" s="81"/>
      <c r="P37" s="81"/>
      <c r="Q37" s="57"/>
      <c r="R37" s="57"/>
      <c r="S37" s="57"/>
      <c r="T37" s="57"/>
      <c r="U37" s="57"/>
      <c r="V37" s="57"/>
      <c r="W37" s="57"/>
      <c r="X37" s="58"/>
      <c r="Z37" s="60"/>
      <c r="AA37" s="60"/>
      <c r="AB37" s="60"/>
      <c r="AC37" s="60"/>
      <c r="AD37" s="60"/>
      <c r="AE37" s="60"/>
      <c r="AF37" s="60"/>
    </row>
    <row r="38" spans="1:32" s="59" customFormat="1" ht="30" hidden="1" customHeight="1" x14ac:dyDescent="0.3">
      <c r="D38" s="81"/>
      <c r="F38" s="81"/>
      <c r="H38" s="81"/>
      <c r="J38" s="81"/>
      <c r="L38" s="81"/>
      <c r="N38" s="81"/>
      <c r="P38" s="81"/>
      <c r="Q38" s="57"/>
      <c r="R38" s="57"/>
      <c r="S38" s="57"/>
      <c r="T38" s="57"/>
      <c r="U38" s="57"/>
      <c r="V38" s="57"/>
      <c r="W38" s="57"/>
      <c r="X38" s="58"/>
      <c r="Z38" s="60"/>
      <c r="AA38" s="60"/>
      <c r="AB38" s="60"/>
      <c r="AC38" s="60"/>
      <c r="AD38" s="60"/>
      <c r="AE38" s="60"/>
      <c r="AF38" s="60"/>
    </row>
    <row r="39" spans="1:32" s="59" customFormat="1" ht="30" hidden="1" customHeight="1" x14ac:dyDescent="0.3">
      <c r="D39" s="81"/>
      <c r="F39" s="81"/>
      <c r="H39" s="81"/>
      <c r="J39" s="81"/>
      <c r="L39" s="81"/>
      <c r="N39" s="81"/>
      <c r="P39" s="81"/>
      <c r="Q39" s="57"/>
      <c r="R39" s="57"/>
      <c r="S39" s="57"/>
      <c r="T39" s="57"/>
      <c r="U39" s="57"/>
      <c r="V39" s="57"/>
      <c r="W39" s="57"/>
      <c r="X39" s="58"/>
      <c r="Z39" s="60"/>
      <c r="AA39" s="60"/>
      <c r="AB39" s="60"/>
      <c r="AC39" s="60"/>
      <c r="AD39" s="60"/>
      <c r="AE39" s="60"/>
      <c r="AF39" s="60"/>
    </row>
    <row r="40" spans="1:32" s="59" customFormat="1" ht="30" hidden="1" customHeight="1" x14ac:dyDescent="0.3">
      <c r="D40" s="81"/>
      <c r="F40" s="81"/>
      <c r="H40" s="81"/>
      <c r="J40" s="81"/>
      <c r="L40" s="81"/>
      <c r="N40" s="81"/>
      <c r="P40" s="81"/>
      <c r="Q40" s="57"/>
      <c r="R40" s="57"/>
      <c r="S40" s="57"/>
      <c r="T40" s="57"/>
      <c r="U40" s="57"/>
      <c r="V40" s="57"/>
      <c r="W40" s="57"/>
      <c r="X40" s="58"/>
      <c r="Z40" s="60"/>
      <c r="AA40" s="60"/>
      <c r="AB40" s="60"/>
      <c r="AC40" s="60"/>
      <c r="AD40" s="60"/>
      <c r="AE40" s="60"/>
      <c r="AF40" s="60"/>
    </row>
    <row r="41" spans="1:32" s="59" customFormat="1" ht="30" hidden="1" customHeight="1" x14ac:dyDescent="0.3">
      <c r="D41" s="81"/>
      <c r="F41" s="81"/>
      <c r="H41" s="81"/>
      <c r="J41" s="81"/>
      <c r="L41" s="81"/>
      <c r="N41" s="81"/>
      <c r="P41" s="81"/>
      <c r="Q41" s="57"/>
      <c r="R41" s="57"/>
      <c r="S41" s="57"/>
      <c r="T41" s="57"/>
      <c r="U41" s="57"/>
      <c r="V41" s="57"/>
      <c r="W41" s="57"/>
      <c r="X41" s="58"/>
      <c r="Z41" s="60"/>
      <c r="AA41" s="60"/>
      <c r="AB41" s="60"/>
      <c r="AC41" s="60"/>
      <c r="AD41" s="60"/>
      <c r="AE41" s="60"/>
      <c r="AF41" s="60"/>
    </row>
    <row r="42" spans="1:32" s="59" customFormat="1" ht="30" hidden="1" customHeight="1" x14ac:dyDescent="0.3">
      <c r="D42" s="81"/>
      <c r="F42" s="81"/>
      <c r="H42" s="81"/>
      <c r="J42" s="81"/>
      <c r="L42" s="81"/>
      <c r="N42" s="81"/>
      <c r="P42" s="81"/>
      <c r="Q42" s="57"/>
      <c r="R42" s="57"/>
      <c r="S42" s="57"/>
      <c r="T42" s="57"/>
      <c r="U42" s="57"/>
      <c r="V42" s="57"/>
      <c r="W42" s="57"/>
      <c r="X42" s="58"/>
      <c r="Z42" s="60"/>
      <c r="AA42" s="60"/>
      <c r="AB42" s="60"/>
      <c r="AC42" s="60"/>
      <c r="AD42" s="60"/>
      <c r="AE42" s="60"/>
      <c r="AF42" s="60"/>
    </row>
    <row r="43" spans="1:32" s="59" customFormat="1" ht="30" hidden="1" customHeight="1" x14ac:dyDescent="0.3">
      <c r="D43" s="81"/>
      <c r="F43" s="81"/>
      <c r="H43" s="81"/>
      <c r="J43" s="81"/>
      <c r="L43" s="81"/>
      <c r="N43" s="81"/>
      <c r="P43" s="81"/>
      <c r="Q43" s="57"/>
      <c r="R43" s="57"/>
      <c r="S43" s="57"/>
      <c r="T43" s="57"/>
      <c r="U43" s="57"/>
      <c r="V43" s="57"/>
      <c r="W43" s="57"/>
      <c r="X43" s="58"/>
      <c r="Z43" s="60"/>
      <c r="AA43" s="60"/>
      <c r="AB43" s="60"/>
      <c r="AC43" s="60"/>
      <c r="AD43" s="60"/>
      <c r="AE43" s="60"/>
      <c r="AF43" s="60"/>
    </row>
    <row r="44" spans="1:32" s="59" customFormat="1" ht="17.25" hidden="1" customHeight="1" x14ac:dyDescent="0.3">
      <c r="D44" s="81"/>
      <c r="F44" s="81"/>
      <c r="H44" s="81"/>
      <c r="J44" s="81"/>
      <c r="L44" s="81"/>
      <c r="N44" s="81"/>
      <c r="P44" s="81"/>
      <c r="Q44" s="57"/>
      <c r="R44" s="57"/>
      <c r="S44" s="57"/>
      <c r="T44" s="57"/>
      <c r="U44" s="57"/>
      <c r="V44" s="57"/>
      <c r="W44" s="57"/>
      <c r="X44" s="58"/>
      <c r="Z44" s="60"/>
      <c r="AA44" s="60"/>
      <c r="AB44" s="60"/>
      <c r="AC44" s="60"/>
      <c r="AD44" s="60"/>
      <c r="AE44" s="60"/>
      <c r="AF44" s="60"/>
    </row>
    <row r="45" spans="1:32" ht="17.25" hidden="1" customHeight="1" x14ac:dyDescent="0.3"/>
    <row r="46" spans="1:32" ht="17.25" hidden="1" customHeight="1" x14ac:dyDescent="0.3"/>
    <row r="47" spans="1:32" ht="17.25" hidden="1" customHeight="1" x14ac:dyDescent="0.3"/>
    <row r="48" spans="1:32" ht="17.25" hidden="1" customHeight="1" x14ac:dyDescent="0.3"/>
    <row r="49" ht="17.25" hidden="1" customHeight="1" x14ac:dyDescent="0.3"/>
    <row r="50" ht="17.25" hidden="1" customHeight="1" x14ac:dyDescent="0.3"/>
    <row r="51" ht="17.25" hidden="1" customHeight="1" x14ac:dyDescent="0.3"/>
    <row r="52" ht="17.25" hidden="1" customHeight="1" x14ac:dyDescent="0.3"/>
    <row r="53" ht="17.25" hidden="1" customHeight="1" x14ac:dyDescent="0.3"/>
    <row r="54" ht="17.25" hidden="1" customHeight="1" x14ac:dyDescent="0.3"/>
    <row r="55" ht="17.25" hidden="1" customHeight="1" x14ac:dyDescent="0.3"/>
    <row r="56" ht="17.25" hidden="1" customHeight="1" x14ac:dyDescent="0.3"/>
    <row r="57" ht="17.25" hidden="1" customHeight="1" x14ac:dyDescent="0.3"/>
    <row r="58" ht="17.25" hidden="1" customHeight="1" x14ac:dyDescent="0.3"/>
    <row r="59" ht="17.25" hidden="1" customHeight="1" x14ac:dyDescent="0.3"/>
    <row r="60" ht="17.25" hidden="1" customHeight="1" x14ac:dyDescent="0.3"/>
    <row r="61" ht="17.25" hidden="1" customHeight="1" x14ac:dyDescent="0.3"/>
    <row r="62" ht="17.25" hidden="1" customHeight="1" x14ac:dyDescent="0.3"/>
    <row r="63" ht="17.25" hidden="1" customHeight="1" x14ac:dyDescent="0.3"/>
    <row r="64" ht="17.25" hidden="1" customHeight="1" x14ac:dyDescent="0.3"/>
    <row r="65" ht="17.25" hidden="1" customHeight="1" x14ac:dyDescent="0.3"/>
    <row r="66" ht="17.25" hidden="1" customHeight="1" x14ac:dyDescent="0.3"/>
    <row r="67" ht="17.25" hidden="1" customHeight="1" x14ac:dyDescent="0.3"/>
    <row r="68" ht="17.25" hidden="1" customHeight="1" x14ac:dyDescent="0.3"/>
    <row r="69" ht="17.25" hidden="1" customHeight="1" x14ac:dyDescent="0.3"/>
    <row r="70" ht="17.25" hidden="1" customHeight="1" x14ac:dyDescent="0.3"/>
    <row r="71" ht="17.25" hidden="1" customHeight="1" x14ac:dyDescent="0.3"/>
    <row r="72" ht="17.25" hidden="1" customHeight="1" x14ac:dyDescent="0.3"/>
    <row r="73" ht="17.25" hidden="1" customHeight="1" x14ac:dyDescent="0.3"/>
    <row r="74" ht="17.25" hidden="1" customHeight="1" x14ac:dyDescent="0.3"/>
    <row r="75" ht="17.25" hidden="1" customHeight="1" x14ac:dyDescent="0.3"/>
    <row r="76" ht="17.25" hidden="1" customHeight="1" x14ac:dyDescent="0.3"/>
    <row r="77" ht="17.25" hidden="1" customHeight="1" x14ac:dyDescent="0.3"/>
    <row r="78" ht="17.25" hidden="1" customHeight="1" x14ac:dyDescent="0.3"/>
    <row r="79" ht="17.25" hidden="1" customHeight="1" x14ac:dyDescent="0.3"/>
    <row r="80" ht="17.25" hidden="1" customHeight="1" x14ac:dyDescent="0.3"/>
    <row r="81" ht="17.25" hidden="1" customHeight="1" x14ac:dyDescent="0.3"/>
    <row r="82" ht="17.25" hidden="1" customHeight="1" x14ac:dyDescent="0.3"/>
    <row r="83" ht="17.25" hidden="1" customHeight="1" x14ac:dyDescent="0.3"/>
    <row r="84" ht="17.25" hidden="1" customHeight="1" x14ac:dyDescent="0.3"/>
    <row r="85" ht="17.25" hidden="1" customHeight="1" x14ac:dyDescent="0.3"/>
    <row r="86" ht="17.25" hidden="1" customHeight="1" x14ac:dyDescent="0.3"/>
    <row r="87" ht="17.25" hidden="1" customHeight="1" x14ac:dyDescent="0.3"/>
    <row r="88" ht="17.25" hidden="1" customHeight="1" x14ac:dyDescent="0.3"/>
    <row r="89" ht="17.25" hidden="1" customHeight="1" x14ac:dyDescent="0.3"/>
    <row r="90" ht="17.25" hidden="1" customHeight="1" x14ac:dyDescent="0.3"/>
    <row r="91" ht="17.25" hidden="1" customHeight="1" x14ac:dyDescent="0.3"/>
    <row r="92" ht="17.25" hidden="1" customHeight="1" x14ac:dyDescent="0.3"/>
    <row r="93" ht="17.25" hidden="1" customHeight="1" x14ac:dyDescent="0.3"/>
    <row r="94" ht="17.25" hidden="1" customHeight="1" x14ac:dyDescent="0.3"/>
    <row r="95" ht="17.25" hidden="1" customHeight="1" x14ac:dyDescent="0.3"/>
    <row r="96" ht="17.25" hidden="1" customHeight="1" x14ac:dyDescent="0.3"/>
    <row r="97" ht="17.25" hidden="1" customHeight="1" x14ac:dyDescent="0.3"/>
    <row r="98" ht="17.25" hidden="1" customHeight="1" x14ac:dyDescent="0.3"/>
    <row r="99" ht="17.25" hidden="1" customHeight="1" x14ac:dyDescent="0.3"/>
    <row r="100" ht="17.25" hidden="1" customHeight="1" x14ac:dyDescent="0.3"/>
    <row r="101" ht="17.25" hidden="1" customHeight="1" x14ac:dyDescent="0.3"/>
    <row r="102" ht="17.25" hidden="1" customHeight="1" x14ac:dyDescent="0.3"/>
    <row r="103" ht="17.25" hidden="1" customHeight="1" x14ac:dyDescent="0.3"/>
    <row r="104" ht="17.25" hidden="1" customHeight="1" x14ac:dyDescent="0.3"/>
    <row r="105" ht="17.25" hidden="1" customHeight="1" x14ac:dyDescent="0.3"/>
    <row r="106" ht="17.25" hidden="1" customHeight="1" x14ac:dyDescent="0.3"/>
    <row r="107" ht="17.25" hidden="1" customHeight="1" x14ac:dyDescent="0.3"/>
    <row r="108" ht="17.25" hidden="1" customHeight="1" x14ac:dyDescent="0.3"/>
    <row r="109" ht="17.25" hidden="1" customHeight="1" x14ac:dyDescent="0.3"/>
    <row r="110" ht="17.25" hidden="1" customHeight="1" x14ac:dyDescent="0.3"/>
    <row r="111" ht="17.25" hidden="1" customHeight="1" x14ac:dyDescent="0.3"/>
    <row r="112" ht="17.25" hidden="1" customHeight="1" x14ac:dyDescent="0.3"/>
    <row r="113" ht="17.25" hidden="1" customHeight="1" x14ac:dyDescent="0.3"/>
    <row r="114" ht="17.25" hidden="1" customHeight="1" x14ac:dyDescent="0.3"/>
    <row r="115" ht="17.25" hidden="1" customHeight="1" x14ac:dyDescent="0.3"/>
    <row r="116" ht="17.25" hidden="1" customHeight="1" x14ac:dyDescent="0.3"/>
    <row r="117" ht="17.25" hidden="1" customHeight="1" x14ac:dyDescent="0.3"/>
    <row r="118" ht="17.25" hidden="1" customHeight="1" x14ac:dyDescent="0.3"/>
    <row r="119" ht="17.25" hidden="1" customHeight="1" x14ac:dyDescent="0.3"/>
    <row r="120" ht="17.25" hidden="1" customHeight="1" x14ac:dyDescent="0.3"/>
    <row r="121" ht="17.25" hidden="1" customHeight="1" x14ac:dyDescent="0.3"/>
    <row r="122" ht="17.25" hidden="1" customHeight="1" x14ac:dyDescent="0.3"/>
    <row r="123" ht="17.25" hidden="1" customHeight="1" x14ac:dyDescent="0.3"/>
    <row r="124" ht="17.25" hidden="1" customHeight="1" x14ac:dyDescent="0.3"/>
    <row r="125" ht="17.25" hidden="1" customHeight="1" x14ac:dyDescent="0.3"/>
    <row r="126" ht="17.25" hidden="1" customHeight="1" x14ac:dyDescent="0.3"/>
    <row r="127" ht="17.25" hidden="1" customHeight="1" x14ac:dyDescent="0.3"/>
    <row r="128" ht="17.25" hidden="1" customHeight="1" x14ac:dyDescent="0.3"/>
    <row r="129" ht="17.25" hidden="1" customHeight="1" x14ac:dyDescent="0.3"/>
    <row r="130" ht="17.25" hidden="1" customHeight="1" x14ac:dyDescent="0.3"/>
    <row r="131" ht="17.25" hidden="1" customHeight="1" x14ac:dyDescent="0.3"/>
    <row r="132" ht="17.25" hidden="1" customHeight="1" x14ac:dyDescent="0.3"/>
    <row r="133" ht="17.25" hidden="1" customHeight="1" x14ac:dyDescent="0.3"/>
    <row r="134" ht="17.25" hidden="1" customHeight="1" x14ac:dyDescent="0.3"/>
    <row r="135" ht="17.25" hidden="1" customHeight="1" x14ac:dyDescent="0.3"/>
    <row r="136" ht="17.25" hidden="1" customHeight="1" x14ac:dyDescent="0.3"/>
    <row r="137" ht="17.25" hidden="1" customHeight="1" x14ac:dyDescent="0.3"/>
    <row r="138" ht="17.25" hidden="1" customHeight="1" x14ac:dyDescent="0.3"/>
    <row r="139" ht="17.25" hidden="1" customHeight="1" x14ac:dyDescent="0.3"/>
    <row r="140" ht="17.25" hidden="1" customHeight="1" x14ac:dyDescent="0.3"/>
    <row r="141" ht="17.25" hidden="1" customHeight="1" x14ac:dyDescent="0.3"/>
    <row r="142" ht="17.25" hidden="1" customHeight="1" x14ac:dyDescent="0.3"/>
    <row r="143" ht="17.25" hidden="1" customHeight="1" x14ac:dyDescent="0.3"/>
    <row r="144" ht="17.25" hidden="1" customHeight="1" x14ac:dyDescent="0.3"/>
    <row r="145" ht="17.25" hidden="1" customHeight="1" x14ac:dyDescent="0.3"/>
    <row r="146" ht="17.25" hidden="1" customHeight="1" x14ac:dyDescent="0.3"/>
    <row r="147" ht="17.25" hidden="1" customHeight="1" x14ac:dyDescent="0.3"/>
    <row r="148" ht="17.25" hidden="1" customHeight="1" x14ac:dyDescent="0.3"/>
    <row r="149" ht="17.25" hidden="1" customHeight="1" x14ac:dyDescent="0.3"/>
    <row r="150" ht="17.25" hidden="1" customHeight="1" x14ac:dyDescent="0.3"/>
    <row r="151" ht="17.25" hidden="1" customHeight="1" x14ac:dyDescent="0.3"/>
    <row r="152" ht="17.25" hidden="1" customHeight="1" x14ac:dyDescent="0.3"/>
    <row r="153" ht="17.25" hidden="1" customHeight="1" x14ac:dyDescent="0.3"/>
    <row r="154" ht="17.25" hidden="1" customHeight="1" x14ac:dyDescent="0.3"/>
    <row r="155" ht="17.25" hidden="1" customHeight="1" x14ac:dyDescent="0.3"/>
    <row r="156" ht="17.25" hidden="1" customHeight="1" x14ac:dyDescent="0.3"/>
    <row r="157" ht="17.25" hidden="1" customHeight="1" x14ac:dyDescent="0.3"/>
    <row r="158" ht="17.25" hidden="1" customHeight="1" x14ac:dyDescent="0.3"/>
    <row r="159" ht="17.25" hidden="1" customHeight="1" x14ac:dyDescent="0.3"/>
    <row r="160" ht="17.25" hidden="1" customHeight="1" x14ac:dyDescent="0.3"/>
    <row r="161" ht="17.25" hidden="1" customHeight="1" x14ac:dyDescent="0.3"/>
    <row r="162" ht="17.25" hidden="1" customHeight="1" x14ac:dyDescent="0.3"/>
    <row r="163" ht="17.25" hidden="1" customHeight="1" x14ac:dyDescent="0.3"/>
    <row r="164" ht="17.25" hidden="1" customHeight="1" x14ac:dyDescent="0.3"/>
    <row r="165" ht="17.25" hidden="1" customHeight="1" x14ac:dyDescent="0.3"/>
    <row r="166" ht="17.25" hidden="1" customHeight="1" x14ac:dyDescent="0.3"/>
    <row r="167" ht="17.25" hidden="1" customHeight="1" x14ac:dyDescent="0.3"/>
    <row r="168" ht="17.25" hidden="1" customHeight="1" x14ac:dyDescent="0.3"/>
    <row r="169" ht="17.25" hidden="1" customHeight="1" x14ac:dyDescent="0.3"/>
    <row r="170" ht="17.25" hidden="1" customHeight="1" x14ac:dyDescent="0.3"/>
    <row r="171" ht="17.25" hidden="1" customHeight="1" x14ac:dyDescent="0.3"/>
    <row r="172" ht="17.25" hidden="1" customHeight="1" x14ac:dyDescent="0.3"/>
    <row r="173" ht="17.25" hidden="1" customHeight="1" x14ac:dyDescent="0.3"/>
    <row r="174" ht="17.25" hidden="1" customHeight="1" x14ac:dyDescent="0.3"/>
    <row r="175" ht="17.25" hidden="1" customHeight="1" x14ac:dyDescent="0.3"/>
    <row r="176" ht="17.25" hidden="1" customHeight="1" x14ac:dyDescent="0.3"/>
    <row r="177" ht="17.25" hidden="1" customHeight="1" x14ac:dyDescent="0.3"/>
    <row r="178" ht="17.25" hidden="1" customHeight="1" x14ac:dyDescent="0.3"/>
    <row r="179" ht="17.25" hidden="1" customHeight="1" x14ac:dyDescent="0.3"/>
    <row r="180" ht="17.25" hidden="1" customHeight="1" x14ac:dyDescent="0.3"/>
    <row r="181" ht="17.25" hidden="1" customHeight="1" x14ac:dyDescent="0.3"/>
    <row r="182" ht="17.25" hidden="1" customHeight="1" x14ac:dyDescent="0.3"/>
    <row r="183" ht="17.25" hidden="1" customHeight="1" x14ac:dyDescent="0.3"/>
    <row r="184" ht="17.25" hidden="1" customHeight="1" x14ac:dyDescent="0.3"/>
    <row r="185" ht="17.25" hidden="1" customHeight="1" x14ac:dyDescent="0.3"/>
    <row r="186" ht="17.25" hidden="1" customHeight="1" x14ac:dyDescent="0.3"/>
    <row r="187" ht="17.25" hidden="1" customHeight="1" x14ac:dyDescent="0.3"/>
    <row r="188" ht="17.25" hidden="1" customHeight="1" x14ac:dyDescent="0.3"/>
    <row r="189" ht="17.25" hidden="1" customHeight="1" x14ac:dyDescent="0.3"/>
    <row r="190" ht="17.25" hidden="1" customHeight="1" x14ac:dyDescent="0.3"/>
    <row r="191" ht="17.25" hidden="1" customHeight="1" x14ac:dyDescent="0.3"/>
    <row r="192" ht="17.25" hidden="1" customHeight="1" x14ac:dyDescent="0.3"/>
    <row r="193" ht="17.25" hidden="1" customHeight="1" x14ac:dyDescent="0.3"/>
    <row r="194" ht="17.25" hidden="1" customHeight="1" x14ac:dyDescent="0.3"/>
    <row r="195" ht="17.25" hidden="1" customHeight="1" x14ac:dyDescent="0.3"/>
    <row r="196" ht="17.25" hidden="1" customHeight="1" x14ac:dyDescent="0.3"/>
    <row r="197" ht="17.25" hidden="1" customHeight="1" x14ac:dyDescent="0.3"/>
    <row r="198" ht="17.25" hidden="1" customHeight="1" x14ac:dyDescent="0.3"/>
    <row r="199" ht="17.25" hidden="1" customHeight="1" x14ac:dyDescent="0.3"/>
    <row r="200" ht="17.25" hidden="1" customHeight="1" x14ac:dyDescent="0.3"/>
    <row r="201" ht="17.25" hidden="1" customHeight="1" x14ac:dyDescent="0.3"/>
    <row r="202" ht="17.25" hidden="1" customHeight="1" x14ac:dyDescent="0.3"/>
    <row r="203" ht="17.25" hidden="1" customHeight="1" x14ac:dyDescent="0.3"/>
    <row r="204" ht="17.25" hidden="1" customHeight="1" x14ac:dyDescent="0.3"/>
    <row r="205" ht="17.25" hidden="1" customHeight="1" x14ac:dyDescent="0.3"/>
    <row r="206" ht="17.25" hidden="1" customHeight="1" x14ac:dyDescent="0.3"/>
    <row r="207" ht="17.25" hidden="1" customHeight="1" x14ac:dyDescent="0.3"/>
    <row r="208" ht="17.25" hidden="1" customHeight="1" x14ac:dyDescent="0.3"/>
    <row r="209" ht="17.25" hidden="1" customHeight="1" x14ac:dyDescent="0.3"/>
    <row r="210" ht="17.25" hidden="1" customHeight="1" x14ac:dyDescent="0.3"/>
    <row r="211" ht="17.25" hidden="1" customHeight="1" x14ac:dyDescent="0.3"/>
    <row r="212" ht="17.25" hidden="1" customHeight="1" x14ac:dyDescent="0.3"/>
    <row r="213" ht="17.25" hidden="1" customHeight="1" x14ac:dyDescent="0.3"/>
    <row r="214" ht="17.25" hidden="1" customHeight="1" x14ac:dyDescent="0.3"/>
    <row r="215" ht="17.25" hidden="1" customHeight="1" x14ac:dyDescent="0.3"/>
    <row r="216" ht="17.25" hidden="1" customHeight="1" x14ac:dyDescent="0.3"/>
    <row r="217" ht="17.25" hidden="1" customHeight="1" x14ac:dyDescent="0.3"/>
    <row r="218" ht="17.25" hidden="1" customHeight="1" x14ac:dyDescent="0.3"/>
    <row r="219" ht="17.25" hidden="1" customHeight="1" x14ac:dyDescent="0.3"/>
    <row r="220" ht="17.25" hidden="1" customHeight="1" x14ac:dyDescent="0.3"/>
    <row r="221" ht="17.25" hidden="1" customHeight="1" x14ac:dyDescent="0.3"/>
    <row r="222" ht="17.25" hidden="1" customHeight="1" x14ac:dyDescent="0.3"/>
    <row r="223" ht="17.25" hidden="1" customHeight="1" x14ac:dyDescent="0.3"/>
    <row r="224" ht="17.25" hidden="1" customHeight="1" x14ac:dyDescent="0.3"/>
    <row r="225" ht="17.25" hidden="1" customHeight="1" x14ac:dyDescent="0.3"/>
    <row r="226" ht="17.25" hidden="1" customHeight="1" x14ac:dyDescent="0.3"/>
    <row r="227" ht="17.25" hidden="1" customHeight="1" x14ac:dyDescent="0.3"/>
    <row r="228" ht="17.25" hidden="1" customHeight="1" x14ac:dyDescent="0.3"/>
    <row r="229" ht="17.25" hidden="1" customHeight="1" x14ac:dyDescent="0.3"/>
    <row r="230" ht="17.25" hidden="1" customHeight="1" x14ac:dyDescent="0.3"/>
    <row r="231" ht="17.25" hidden="1" customHeight="1" x14ac:dyDescent="0.3"/>
    <row r="232" ht="17.25" hidden="1" customHeight="1" x14ac:dyDescent="0.3"/>
    <row r="233" ht="17.25" hidden="1" customHeight="1" x14ac:dyDescent="0.3"/>
    <row r="234" ht="17.25" hidden="1" customHeight="1" x14ac:dyDescent="0.3"/>
    <row r="235" ht="17.25" hidden="1" customHeight="1" x14ac:dyDescent="0.3"/>
    <row r="236" ht="17.25" hidden="1" customHeight="1" x14ac:dyDescent="0.3"/>
    <row r="237" ht="17.25" hidden="1" customHeight="1" x14ac:dyDescent="0.3"/>
    <row r="238" ht="17.25" hidden="1" customHeight="1" x14ac:dyDescent="0.3"/>
    <row r="239" ht="17.25" hidden="1" customHeight="1" x14ac:dyDescent="0.3"/>
    <row r="240" ht="17.25" hidden="1" customHeight="1" x14ac:dyDescent="0.3"/>
    <row r="241" ht="17.25" hidden="1" customHeight="1" x14ac:dyDescent="0.3"/>
    <row r="242" ht="17.25" hidden="1" customHeight="1" x14ac:dyDescent="0.3"/>
    <row r="243" ht="17.25" hidden="1" customHeight="1" x14ac:dyDescent="0.3"/>
    <row r="244" ht="17.25" hidden="1" customHeight="1" x14ac:dyDescent="0.3"/>
    <row r="245" ht="17.25" hidden="1" customHeight="1" x14ac:dyDescent="0.3"/>
    <row r="246" ht="17.25" hidden="1" customHeight="1" x14ac:dyDescent="0.3"/>
    <row r="247" ht="17.25" hidden="1" customHeight="1" x14ac:dyDescent="0.3"/>
    <row r="248" ht="17.25" hidden="1" customHeight="1" x14ac:dyDescent="0.3"/>
    <row r="249" ht="17.25" hidden="1" customHeight="1" x14ac:dyDescent="0.3"/>
    <row r="250" ht="17.25" hidden="1" customHeight="1" x14ac:dyDescent="0.3"/>
    <row r="251" ht="17.25" hidden="1" customHeight="1" x14ac:dyDescent="0.3"/>
    <row r="252" ht="17.25" hidden="1" customHeight="1" x14ac:dyDescent="0.3"/>
    <row r="253" ht="17.25" hidden="1" customHeight="1" x14ac:dyDescent="0.3"/>
    <row r="254" ht="17.25" hidden="1" customHeight="1" x14ac:dyDescent="0.3"/>
    <row r="255" ht="17.25" hidden="1" customHeight="1" x14ac:dyDescent="0.3"/>
    <row r="256" ht="17.25" hidden="1" customHeight="1" x14ac:dyDescent="0.3"/>
    <row r="257" ht="17.25" hidden="1" customHeight="1" x14ac:dyDescent="0.3"/>
    <row r="258" ht="17.25" hidden="1" customHeight="1" x14ac:dyDescent="0.3"/>
    <row r="259" ht="17.25" hidden="1" customHeight="1" x14ac:dyDescent="0.3"/>
    <row r="260" ht="17.25" hidden="1" customHeight="1" x14ac:dyDescent="0.3"/>
    <row r="261" ht="17.25" hidden="1" customHeight="1" x14ac:dyDescent="0.3"/>
    <row r="262" ht="17.25" hidden="1" customHeight="1" x14ac:dyDescent="0.3"/>
    <row r="263" ht="17.25" hidden="1" customHeight="1" x14ac:dyDescent="0.3"/>
    <row r="264" ht="17.25" hidden="1" customHeight="1" x14ac:dyDescent="0.3"/>
    <row r="265" ht="17.25" hidden="1" customHeight="1" x14ac:dyDescent="0.3"/>
    <row r="266" ht="17.25" hidden="1" customHeight="1" x14ac:dyDescent="0.3"/>
    <row r="267" ht="17.25" hidden="1" customHeight="1" x14ac:dyDescent="0.3"/>
    <row r="268" ht="17.25" hidden="1" customHeight="1" x14ac:dyDescent="0.3"/>
    <row r="269" ht="17.25" hidden="1" customHeight="1" x14ac:dyDescent="0.3"/>
    <row r="270" ht="17.25" hidden="1" customHeight="1" x14ac:dyDescent="0.3"/>
    <row r="271" ht="17.25" hidden="1" customHeight="1" x14ac:dyDescent="0.3"/>
    <row r="272" ht="17.25" hidden="1" customHeight="1" x14ac:dyDescent="0.3"/>
    <row r="273" ht="17.25" hidden="1" customHeight="1" x14ac:dyDescent="0.3"/>
    <row r="274" ht="17.25" hidden="1" customHeight="1" x14ac:dyDescent="0.3"/>
    <row r="275" ht="17.25" hidden="1" customHeight="1" x14ac:dyDescent="0.3"/>
    <row r="276" ht="17.25" hidden="1" customHeight="1" x14ac:dyDescent="0.3"/>
    <row r="277" ht="17.25" hidden="1" customHeight="1" x14ac:dyDescent="0.3"/>
    <row r="278" ht="17.25" hidden="1" customHeight="1" x14ac:dyDescent="0.3"/>
    <row r="279" ht="17.25" hidden="1" customHeight="1" x14ac:dyDescent="0.3"/>
    <row r="280" ht="17.25" hidden="1" customHeight="1" x14ac:dyDescent="0.3"/>
    <row r="281" ht="17.25" hidden="1" customHeight="1" x14ac:dyDescent="0.3"/>
    <row r="282" ht="17.25" hidden="1" customHeight="1" x14ac:dyDescent="0.3"/>
    <row r="283" ht="17.25" hidden="1" customHeight="1" x14ac:dyDescent="0.3"/>
    <row r="284" ht="17.25" hidden="1" customHeight="1" x14ac:dyDescent="0.3"/>
    <row r="285" ht="17.25" hidden="1" customHeight="1" x14ac:dyDescent="0.3"/>
    <row r="286" ht="17.25" hidden="1" customHeight="1" x14ac:dyDescent="0.3"/>
    <row r="287" ht="17.25" hidden="1" customHeight="1" x14ac:dyDescent="0.3"/>
    <row r="288" ht="17.25" hidden="1" customHeight="1" x14ac:dyDescent="0.3"/>
    <row r="289" ht="17.25" hidden="1" customHeight="1" x14ac:dyDescent="0.3"/>
    <row r="290" ht="17.25" hidden="1" customHeight="1" x14ac:dyDescent="0.3"/>
    <row r="291" ht="17.25" hidden="1" customHeight="1" x14ac:dyDescent="0.3"/>
    <row r="292" ht="17.25" hidden="1" customHeight="1" x14ac:dyDescent="0.3"/>
    <row r="293" ht="17.25" hidden="1" customHeight="1" x14ac:dyDescent="0.3"/>
    <row r="294" ht="17.25" hidden="1" customHeight="1" x14ac:dyDescent="0.3"/>
    <row r="295" ht="17.25" hidden="1" customHeight="1" x14ac:dyDescent="0.3"/>
    <row r="296" ht="17.25" hidden="1" customHeight="1" x14ac:dyDescent="0.3"/>
    <row r="297" ht="17.25" hidden="1" customHeight="1" x14ac:dyDescent="0.3"/>
    <row r="298" ht="17.25" hidden="1" customHeight="1" x14ac:dyDescent="0.3"/>
    <row r="299" ht="17.25" hidden="1" customHeight="1" x14ac:dyDescent="0.3"/>
    <row r="300" ht="17.25" hidden="1" customHeight="1" x14ac:dyDescent="0.3"/>
    <row r="301" ht="17.25" hidden="1" customHeight="1" x14ac:dyDescent="0.3"/>
    <row r="302" ht="17.25" hidden="1" customHeight="1" x14ac:dyDescent="0.3"/>
    <row r="303" ht="17.25" hidden="1" customHeight="1" x14ac:dyDescent="0.3"/>
    <row r="304" ht="17.25" hidden="1" customHeight="1" x14ac:dyDescent="0.3"/>
    <row r="305" ht="17.25" hidden="1" customHeight="1" x14ac:dyDescent="0.3"/>
    <row r="306" ht="15.6" hidden="1" x14ac:dyDescent="0.3"/>
    <row r="307" ht="15.6" hidden="1" x14ac:dyDescent="0.3"/>
    <row r="308" ht="15.6" hidden="1" x14ac:dyDescent="0.3"/>
    <row r="309" ht="15.6" hidden="1" x14ac:dyDescent="0.3"/>
    <row r="310" ht="15.6" hidden="1" x14ac:dyDescent="0.3"/>
    <row r="311" ht="15.6" hidden="1" x14ac:dyDescent="0.3"/>
    <row r="312" ht="15.6" hidden="1" x14ac:dyDescent="0.3"/>
    <row r="313" ht="15.6" hidden="1" x14ac:dyDescent="0.3"/>
    <row r="314" ht="15.6" hidden="1" x14ac:dyDescent="0.3"/>
    <row r="315" ht="15.6" hidden="1" x14ac:dyDescent="0.3"/>
    <row r="316" ht="15.6" hidden="1" x14ac:dyDescent="0.3"/>
    <row r="317" ht="15.6" hidden="1" x14ac:dyDescent="0.3"/>
  </sheetData>
  <sheetProtection formatCells="0" formatColumns="0" formatRows="0"/>
  <mergeCells count="8">
    <mergeCell ref="A2:P3"/>
    <mergeCell ref="C5:D5"/>
    <mergeCell ref="E5:F5"/>
    <mergeCell ref="G5:H5"/>
    <mergeCell ref="I5:J5"/>
    <mergeCell ref="K5:L5"/>
    <mergeCell ref="M5:N5"/>
    <mergeCell ref="O5:P5"/>
  </mergeCells>
  <conditionalFormatting sqref="D6">
    <cfRule type="expression" dxfId="104" priority="49">
      <formula>OR(C6&lt;&gt;"",#REF!&lt;&gt;"")</formula>
    </cfRule>
  </conditionalFormatting>
  <conditionalFormatting sqref="C6">
    <cfRule type="expression" dxfId="103" priority="50">
      <formula>MATCH(C6,Event,0)</formula>
    </cfRule>
    <cfRule type="expression" dxfId="102" priority="51">
      <formula>MATCH(C6,Holiday,0)</formula>
    </cfRule>
  </conditionalFormatting>
  <conditionalFormatting sqref="F6 H6 J6 L6 N6 P6">
    <cfRule type="expression" dxfId="101" priority="31">
      <formula>OR(E6&lt;&gt;"",#REF!&lt;&gt;"")</formula>
    </cfRule>
  </conditionalFormatting>
  <conditionalFormatting sqref="E6 G6 I6 K6 M6 O6">
    <cfRule type="expression" dxfId="100" priority="32">
      <formula>MATCH(E6,Event,0)</formula>
    </cfRule>
    <cfRule type="expression" dxfId="99" priority="33">
      <formula>MATCH(E6,Holiday,0)</formula>
    </cfRule>
  </conditionalFormatting>
  <conditionalFormatting sqref="D11">
    <cfRule type="expression" dxfId="98" priority="28">
      <formula>OR(C11&lt;&gt;"",#REF!&lt;&gt;"")</formula>
    </cfRule>
  </conditionalFormatting>
  <conditionalFormatting sqref="C11">
    <cfRule type="expression" dxfId="97" priority="29">
      <formula>MATCH(C11,Event,0)</formula>
    </cfRule>
    <cfRule type="expression" dxfId="96" priority="30">
      <formula>MATCH(C11,Holiday,0)</formula>
    </cfRule>
  </conditionalFormatting>
  <conditionalFormatting sqref="F11 H11 J11 L11 N11 P11">
    <cfRule type="expression" dxfId="95" priority="25">
      <formula>OR(E11&lt;&gt;"",#REF!&lt;&gt;"")</formula>
    </cfRule>
  </conditionalFormatting>
  <conditionalFormatting sqref="E11 G11 I11 K11 M11 O11">
    <cfRule type="expression" dxfId="94" priority="26">
      <formula>MATCH(E11,Event,0)</formula>
    </cfRule>
    <cfRule type="expression" dxfId="93" priority="27">
      <formula>MATCH(E11,Holiday,0)</formula>
    </cfRule>
  </conditionalFormatting>
  <conditionalFormatting sqref="D16">
    <cfRule type="expression" dxfId="92" priority="22">
      <formula>OR(C16&lt;&gt;"",#REF!&lt;&gt;"")</formula>
    </cfRule>
  </conditionalFormatting>
  <conditionalFormatting sqref="C16">
    <cfRule type="expression" dxfId="91" priority="23">
      <formula>MATCH(C16,Event,0)</formula>
    </cfRule>
    <cfRule type="expression" dxfId="90" priority="24">
      <formula>MATCH(C16,Holiday,0)</formula>
    </cfRule>
  </conditionalFormatting>
  <conditionalFormatting sqref="F16 H16 J16 L16 N16 P16">
    <cfRule type="expression" dxfId="89" priority="19">
      <formula>OR(E16&lt;&gt;"",#REF!&lt;&gt;"")</formula>
    </cfRule>
  </conditionalFormatting>
  <conditionalFormatting sqref="E16 G16 I16 K16 M16 O16">
    <cfRule type="expression" dxfId="88" priority="20">
      <formula>MATCH(E16,Event,0)</formula>
    </cfRule>
    <cfRule type="expression" dxfId="87" priority="21">
      <formula>MATCH(E16,Holiday,0)</formula>
    </cfRule>
  </conditionalFormatting>
  <conditionalFormatting sqref="D21">
    <cfRule type="expression" dxfId="86" priority="16">
      <formula>OR(C21&lt;&gt;"",#REF!&lt;&gt;"")</formula>
    </cfRule>
  </conditionalFormatting>
  <conditionalFormatting sqref="C21">
    <cfRule type="expression" dxfId="85" priority="17">
      <formula>MATCH(C21,Event,0)</formula>
    </cfRule>
    <cfRule type="expression" dxfId="84" priority="18">
      <formula>MATCH(C21,Holiday,0)</formula>
    </cfRule>
  </conditionalFormatting>
  <conditionalFormatting sqref="F21 H21 J21 L21 N21 P21">
    <cfRule type="expression" dxfId="83" priority="13">
      <formula>OR(E21&lt;&gt;"",#REF!&lt;&gt;"")</formula>
    </cfRule>
  </conditionalFormatting>
  <conditionalFormatting sqref="E21 G21 I21 K21 M21 O21">
    <cfRule type="expression" dxfId="82" priority="14">
      <formula>MATCH(E21,Event,0)</formula>
    </cfRule>
    <cfRule type="expression" dxfId="81" priority="15">
      <formula>MATCH(E21,Holiday,0)</formula>
    </cfRule>
  </conditionalFormatting>
  <conditionalFormatting sqref="D26">
    <cfRule type="expression" dxfId="80" priority="10">
      <formula>OR(C26&lt;&gt;"",#REF!&lt;&gt;"")</formula>
    </cfRule>
  </conditionalFormatting>
  <conditionalFormatting sqref="C26">
    <cfRule type="expression" dxfId="79" priority="11">
      <formula>MATCH(C26,Event,0)</formula>
    </cfRule>
    <cfRule type="expression" dxfId="78" priority="12">
      <formula>MATCH(C26,Holiday,0)</formula>
    </cfRule>
  </conditionalFormatting>
  <conditionalFormatting sqref="F26 H26 J26 L26 N26 P26">
    <cfRule type="expression" dxfId="77" priority="7">
      <formula>OR(E26&lt;&gt;"",#REF!&lt;&gt;"")</formula>
    </cfRule>
  </conditionalFormatting>
  <conditionalFormatting sqref="E26 G26 I26 K26 M26 O26">
    <cfRule type="expression" dxfId="76" priority="8">
      <formula>MATCH(E26,Event,0)</formula>
    </cfRule>
    <cfRule type="expression" dxfId="75" priority="9">
      <formula>MATCH(E26,Holiday,0)</formula>
    </cfRule>
  </conditionalFormatting>
  <conditionalFormatting sqref="D31">
    <cfRule type="expression" dxfId="74" priority="4">
      <formula>OR(C31&lt;&gt;"",#REF!&lt;&gt;"")</formula>
    </cfRule>
  </conditionalFormatting>
  <conditionalFormatting sqref="C31">
    <cfRule type="expression" dxfId="73" priority="5">
      <formula>MATCH(C31,Event,0)</formula>
    </cfRule>
    <cfRule type="expression" dxfId="72" priority="6">
      <formula>MATCH(C31,Holiday,0)</formula>
    </cfRule>
  </conditionalFormatting>
  <conditionalFormatting sqref="F31">
    <cfRule type="expression" dxfId="71" priority="1">
      <formula>OR(E31&lt;&gt;"",#REF!&lt;&gt;"")</formula>
    </cfRule>
  </conditionalFormatting>
  <conditionalFormatting sqref="E31">
    <cfRule type="expression" dxfId="70" priority="2">
      <formula>MATCH(E31,Event,0)</formula>
    </cfRule>
    <cfRule type="expression" dxfId="69" priority="3">
      <formula>MATCH(E31,Holiday,0)</formula>
    </cfRule>
  </conditionalFormatting>
  <printOptions horizontalCentered="1"/>
  <pageMargins left="0.34" right="0.26" top="0.44" bottom="0.36" header="0.28000000000000003" footer="0.25"/>
  <pageSetup paperSize="9" scale="99"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V317"/>
  <sheetViews>
    <sheetView showGridLines="0" topLeftCell="B1" zoomScaleNormal="100" zoomScalePageLayoutView="50" workbookViewId="0">
      <selection activeCell="A2" sqref="A2:P3"/>
    </sheetView>
  </sheetViews>
  <sheetFormatPr defaultColWidth="0" defaultRowHeight="15.45" customHeight="1" zeroHeight="1" x14ac:dyDescent="0.3"/>
  <cols>
    <col min="1" max="1" width="10.77734375" style="51" hidden="1" customWidth="1"/>
    <col min="2" max="2" width="2.109375" style="51" customWidth="1"/>
    <col min="3" max="3" width="15.6640625" style="51" customWidth="1"/>
    <col min="4" max="4" width="4.6640625" style="79" customWidth="1"/>
    <col min="5" max="5" width="15.6640625" style="51" customWidth="1"/>
    <col min="6" max="6" width="4.6640625" style="79" customWidth="1"/>
    <col min="7" max="7" width="15.6640625" style="51" customWidth="1"/>
    <col min="8" max="8" width="4.6640625" style="79" customWidth="1"/>
    <col min="9" max="9" width="15.6640625" style="51" customWidth="1"/>
    <col min="10" max="10" width="4.6640625" style="79" customWidth="1"/>
    <col min="11" max="11" width="15.6640625" style="51" customWidth="1"/>
    <col min="12" max="12" width="4.6640625" style="79" customWidth="1"/>
    <col min="13" max="13" width="15.6640625" style="51" customWidth="1"/>
    <col min="14" max="14" width="4.6640625" style="79" customWidth="1"/>
    <col min="15" max="15" width="15.6640625" style="51" customWidth="1"/>
    <col min="16" max="16" width="4.6640625" style="79" customWidth="1"/>
    <col min="17" max="17" width="8.77734375" style="49" customWidth="1"/>
    <col min="18" max="21" width="8.77734375" style="49" hidden="1" customWidth="1"/>
    <col min="22" max="23" width="2.33203125" style="49" hidden="1" customWidth="1"/>
    <col min="24" max="24" width="2.77734375" style="50" hidden="1" customWidth="1"/>
    <col min="25" max="25" width="4.6640625" style="51" hidden="1" customWidth="1"/>
    <col min="26" max="32" width="4.6640625" style="56" hidden="1" customWidth="1"/>
    <col min="33" max="33" width="2.77734375" style="51" hidden="1" customWidth="1"/>
    <col min="34" max="256" width="0" style="51" hidden="1" customWidth="1"/>
    <col min="257" max="16384" width="9.109375" style="51" hidden="1"/>
  </cols>
  <sheetData>
    <row r="1" spans="1:34" ht="15.6" x14ac:dyDescent="0.3"/>
    <row r="2" spans="1:34" s="63" customFormat="1" ht="25.05" customHeight="1" x14ac:dyDescent="0.5">
      <c r="A2" s="264" t="str">
        <f>'Layout 1'!A2:P3</f>
        <v>AUGUST YYYY</v>
      </c>
      <c r="B2" s="265"/>
      <c r="C2" s="265"/>
      <c r="D2" s="265"/>
      <c r="E2" s="265"/>
      <c r="F2" s="265"/>
      <c r="G2" s="265"/>
      <c r="H2" s="265"/>
      <c r="I2" s="265"/>
      <c r="J2" s="265"/>
      <c r="K2" s="265"/>
      <c r="L2" s="265"/>
      <c r="M2" s="265"/>
      <c r="N2" s="265"/>
      <c r="O2" s="265"/>
      <c r="P2" s="265"/>
      <c r="Q2" s="61"/>
      <c r="R2" s="61"/>
      <c r="S2" s="61"/>
      <c r="T2" s="61"/>
      <c r="U2" s="61"/>
      <c r="V2" s="61"/>
      <c r="W2" s="61"/>
      <c r="X2" s="62"/>
      <c r="Z2" s="64"/>
      <c r="AA2" s="64"/>
      <c r="AB2" s="64"/>
      <c r="AC2" s="64"/>
      <c r="AD2" s="64"/>
      <c r="AE2" s="64"/>
      <c r="AF2" s="64"/>
    </row>
    <row r="3" spans="1:34" s="63" customFormat="1" ht="25.05" customHeight="1" x14ac:dyDescent="0.5">
      <c r="A3" s="265"/>
      <c r="B3" s="265"/>
      <c r="C3" s="265"/>
      <c r="D3" s="265"/>
      <c r="E3" s="265"/>
      <c r="F3" s="265"/>
      <c r="G3" s="265"/>
      <c r="H3" s="265"/>
      <c r="I3" s="265"/>
      <c r="J3" s="265"/>
      <c r="K3" s="265"/>
      <c r="L3" s="265"/>
      <c r="M3" s="265"/>
      <c r="N3" s="265"/>
      <c r="O3" s="265"/>
      <c r="P3" s="265"/>
      <c r="Q3" s="61"/>
      <c r="R3" s="61"/>
      <c r="S3" s="61"/>
      <c r="T3" s="61"/>
      <c r="U3" s="61"/>
      <c r="V3" s="61"/>
      <c r="W3" s="61"/>
      <c r="X3" s="62"/>
      <c r="Z3" s="64"/>
      <c r="AA3" s="64"/>
      <c r="AB3" s="64"/>
      <c r="AC3" s="64"/>
      <c r="AD3" s="64"/>
      <c r="AE3" s="64"/>
      <c r="AF3" s="64"/>
    </row>
    <row r="4" spans="1:34" ht="17.25" customHeight="1" x14ac:dyDescent="0.3">
      <c r="Z4" s="52"/>
      <c r="AA4" s="52"/>
      <c r="AB4" s="52"/>
      <c r="AC4" s="52"/>
      <c r="AD4" s="52"/>
      <c r="AE4" s="52"/>
      <c r="AF4" s="52"/>
    </row>
    <row r="5" spans="1:34" s="53" customFormat="1" ht="30" customHeight="1" x14ac:dyDescent="0.25">
      <c r="A5" s="159"/>
      <c r="C5" s="266" t="s">
        <v>18</v>
      </c>
      <c r="D5" s="267"/>
      <c r="E5" s="268" t="s">
        <v>19</v>
      </c>
      <c r="F5" s="269"/>
      <c r="G5" s="270" t="s">
        <v>20</v>
      </c>
      <c r="H5" s="269"/>
      <c r="I5" s="270" t="s">
        <v>21</v>
      </c>
      <c r="J5" s="269"/>
      <c r="K5" s="270" t="s">
        <v>22</v>
      </c>
      <c r="L5" s="269"/>
      <c r="M5" s="270" t="s">
        <v>23</v>
      </c>
      <c r="N5" s="269"/>
      <c r="O5" s="270" t="s">
        <v>24</v>
      </c>
      <c r="P5" s="269"/>
      <c r="Q5" s="54"/>
      <c r="R5" s="54"/>
      <c r="S5" s="54"/>
      <c r="T5" s="54"/>
      <c r="U5" s="54"/>
      <c r="V5" s="54"/>
      <c r="W5" s="54"/>
      <c r="X5" s="55"/>
    </row>
    <row r="6" spans="1:34" s="13" customFormat="1" ht="15" customHeight="1" x14ac:dyDescent="0.25">
      <c r="A6" s="159"/>
      <c r="C6" s="196" t="str">
        <f>IF(D6&lt;&gt;"",IF(ISNA(VLOOKUP(DATE($N$31,$P$31,D6),'Todo-Holiday-Event'!$L$9:$M$28,2,FALSE)),IF(ISNA(VLOOKUP(DATE($N$31,$P$31,D6),'Todo-Holiday-Event'!$H$9:$I$28,2,FALSE)),"",VLOOKUP(DATE($N$31,$P$31,D6),'Todo-Holiday-Event'!$H$9:$I$28,2,FALSE)),VLOOKUP(DATE($N$31,$P$31,D6),'Todo-Holiday-Event'!$L$9:$M$28,2,FALSE)),"")</f>
        <v/>
      </c>
      <c r="D6" s="197" t="str">
        <f>IF(WEEKDAY(DATE($N$31,$P$31,1))=1,1,"")</f>
        <v/>
      </c>
      <c r="E6" s="196" t="str">
        <f>IF(F6&lt;&gt;"",IF(ISNA(VLOOKUP(DATE($N$31,$P$31,F6),'Todo-Holiday-Event'!$L$9:$M$28,2,FALSE)),IF(ISNA(VLOOKUP(DATE($N$31,$P$31,F6),'Todo-Holiday-Event'!$H$9:$I$28,2,FALSE)),"",VLOOKUP(DATE($N$31,$P$31,F6),'Todo-Holiday-Event'!$H$9:$I$28,2,FALSE)),VLOOKUP(DATE($N$31,$P$31,F6),'Todo-Holiday-Event'!$L$9:$M$28,2,FALSE)),"")</f>
        <v/>
      </c>
      <c r="F6" s="197" t="str">
        <f>IF(D6&lt;&gt;"",D6+1,IF(WEEKDAY(DATE($N$31,$P$31,1))=2,1,""))</f>
        <v/>
      </c>
      <c r="G6" s="196" t="str">
        <f>IF(H6&lt;&gt;"",IF(ISNA(VLOOKUP(DATE($N$31,$P$31,H6),'Todo-Holiday-Event'!$L$9:$M$28,2,FALSE)),IF(ISNA(VLOOKUP(DATE($N$31,$P$31,H6),'Todo-Holiday-Event'!$H$9:$I$28,2,FALSE)),"",VLOOKUP(DATE($N$31,$P$31,H6),'Todo-Holiday-Event'!$H$9:$I$28,2,FALSE)),VLOOKUP(DATE($N$31,$P$31,H6),'Todo-Holiday-Event'!$L$9:$M$28,2,FALSE)),"")</f>
        <v/>
      </c>
      <c r="H6" s="197" t="str">
        <f>IF(F6&lt;&gt;"",F6+1,IF(WEEKDAY(DATE($N$31,$P$31,1))=3,1,""))</f>
        <v/>
      </c>
      <c r="I6" s="196" t="str">
        <f>IF(J6&lt;&gt;"",IF(ISNA(VLOOKUP(DATE($N$31,$P$31,J6),'Todo-Holiday-Event'!$L$9:$M$28,2,FALSE)),IF(ISNA(VLOOKUP(DATE($N$31,$P$31,J6),'Todo-Holiday-Event'!$H$9:$I$28,2,FALSE)),"",VLOOKUP(DATE($N$31,$P$31,J6),'Todo-Holiday-Event'!$H$9:$I$28,2,FALSE)),VLOOKUP(DATE($N$31,$P$31,J6),'Todo-Holiday-Event'!$L$9:$M$28,2,FALSE)),"")</f>
        <v/>
      </c>
      <c r="J6" s="197" t="str">
        <f>IF(H6&lt;&gt;"",H6+1,IF(WEEKDAY(DATE($N$31,$P$31,1))=4,1,""))</f>
        <v/>
      </c>
      <c r="K6" s="196" t="str">
        <f>IF(L6&lt;&gt;"",IF(ISNA(VLOOKUP(DATE($N$31,$P$31,L6),'Todo-Holiday-Event'!$L$9:$M$28,2,FALSE)),IF(ISNA(VLOOKUP(DATE($N$31,$P$31,L6),'Todo-Holiday-Event'!$H$9:$I$28,2,FALSE)),"",VLOOKUP(DATE($N$31,$P$31,L6),'Todo-Holiday-Event'!$H$9:$I$28,2,FALSE)),VLOOKUP(DATE($N$31,$P$31,L6),'Todo-Holiday-Event'!$L$9:$M$28,2,FALSE)),"")</f>
        <v/>
      </c>
      <c r="L6" s="197">
        <f>IF(J6&lt;&gt;"",J6+1,IF(WEEKDAY(DATE($N$31,$P$31,1))=5,1,""))</f>
        <v>1</v>
      </c>
      <c r="M6" s="196" t="str">
        <f>IF(N6&lt;&gt;"",IF(ISNA(VLOOKUP(DATE($N$31,$P$31,N6),'Todo-Holiday-Event'!$L$9:$M$28,2,FALSE)),IF(ISNA(VLOOKUP(DATE($N$31,$P$31,N6),'Todo-Holiday-Event'!$H$9:$I$28,2,FALSE)),"",VLOOKUP(DATE($N$31,$P$31,N6),'Todo-Holiday-Event'!$H$9:$I$28,2,FALSE)),VLOOKUP(DATE($N$31,$P$31,N6),'Todo-Holiday-Event'!$L$9:$M$28,2,FALSE)),"")</f>
        <v/>
      </c>
      <c r="N6" s="197">
        <f>IF(L6&lt;&gt;"",L6+1,IF(WEEKDAY(DATE($N$31,$P$31,1))=6,1,""))</f>
        <v>2</v>
      </c>
      <c r="O6" s="196" t="str">
        <f>IF(P6&lt;&gt;"",IF(ISNA(VLOOKUP(DATE($N$31,$P$31,P6),'Todo-Holiday-Event'!$L$9:$M$28,2,FALSE)),IF(ISNA(VLOOKUP(DATE($N$31,$P$31,P6),'Todo-Holiday-Event'!$H$9:$I$28,2,FALSE)),"",VLOOKUP(DATE($N$31,$P$31,P6),'Todo-Holiday-Event'!$H$9:$I$28,2,FALSE)),VLOOKUP(DATE($N$31,$P$31,P6),'Todo-Holiday-Event'!$L$9:$M$28,2,FALSE)),"")</f>
        <v/>
      </c>
      <c r="P6" s="197">
        <f>IF(N6&lt;&gt;"",N6+1,IF(WEEKDAY(DATE($N$31,$P$31,1))=7,1,""))</f>
        <v>3</v>
      </c>
      <c r="Q6" s="74"/>
      <c r="R6" s="74"/>
      <c r="S6" s="74"/>
      <c r="T6" s="74"/>
      <c r="U6" s="74"/>
      <c r="V6" s="75"/>
      <c r="W6" s="75"/>
      <c r="X6" s="70"/>
    </row>
    <row r="7" spans="1:34" s="76" customFormat="1" ht="15" customHeight="1" x14ac:dyDescent="0.25">
      <c r="A7" s="159"/>
      <c r="C7" s="260" t="str">
        <f>IF(ISERROR('Supporting Calendar'!AB1),"",INDEX('Todo-Holiday-Event'!$E$9:$E$258,'Supporting Calendar'!AB1))</f>
        <v/>
      </c>
      <c r="D7" s="261"/>
      <c r="E7" s="260" t="str">
        <f>IF(ISERROR('Supporting Calendar'!AC1),"",INDEX('Todo-Holiday-Event'!$E$9:$E$258,'Supporting Calendar'!AC1))</f>
        <v/>
      </c>
      <c r="F7" s="261" t="str">
        <f>IF(ISERROR('Supporting Calendar'!AC1),"",INDEX('Todo-Holiday-Event'!$D$9:$D$258,'Supporting Calendar'!AC1))</f>
        <v/>
      </c>
      <c r="G7" s="260" t="str">
        <f>IF(ISERROR('Supporting Calendar'!AD1),"",INDEX('Todo-Holiday-Event'!$E$9:$E$258,'Supporting Calendar'!AD1))</f>
        <v/>
      </c>
      <c r="H7" s="261" t="str">
        <f>IF(ISERROR('Supporting Calendar'!AD1),"",INDEX('Todo-Holiday-Event'!$D$9:$D$258,'Supporting Calendar'!AD1))</f>
        <v/>
      </c>
      <c r="I7" s="260" t="str">
        <f>IF(ISERROR('Supporting Calendar'!AE1),"",INDEX('Todo-Holiday-Event'!$E$9:$E$258,'Supporting Calendar'!AE1))</f>
        <v/>
      </c>
      <c r="J7" s="261" t="str">
        <f>IF(ISERROR('Supporting Calendar'!AE1),"",INDEX('Todo-Holiday-Event'!$D$9:$D$258,'Supporting Calendar'!AE1))</f>
        <v/>
      </c>
      <c r="K7" s="260" t="str">
        <f>IF(ISERROR('Supporting Calendar'!AF1),"",INDEX('Todo-Holiday-Event'!$E$9:$E$258,'Supporting Calendar'!AF1))</f>
        <v/>
      </c>
      <c r="L7" s="261" t="str">
        <f>IF(ISERROR('Supporting Calendar'!AF1),"",INDEX('Todo-Holiday-Event'!$D$9:$D$258,'Supporting Calendar'!AF1))</f>
        <v/>
      </c>
      <c r="M7" s="260" t="str">
        <f>IF(ISERROR('Supporting Calendar'!AG1),"",INDEX('Todo-Holiday-Event'!$E$9:$E$258,'Supporting Calendar'!AG1))</f>
        <v/>
      </c>
      <c r="N7" s="261" t="str">
        <f>IF(ISERROR('Supporting Calendar'!AG1),"",INDEX('Todo-Holiday-Event'!$D$9:$D$258,'Supporting Calendar'!AG1))</f>
        <v/>
      </c>
      <c r="O7" s="260" t="str">
        <f>IF(ISERROR('Supporting Calendar'!AH1),"",INDEX('Todo-Holiday-Event'!$E$9:$E$258,'Supporting Calendar'!AH1))</f>
        <v/>
      </c>
      <c r="P7" s="261" t="str">
        <f>IF(ISERROR('Supporting Calendar'!AH1),"",INDEX('Todo-Holiday-Event'!$D$9:$D$258,'Supporting Calendar'!AH1))</f>
        <v/>
      </c>
      <c r="AH7" s="78"/>
    </row>
    <row r="8" spans="1:34" s="76" customFormat="1" ht="15" customHeight="1" x14ac:dyDescent="0.25">
      <c r="A8" s="159"/>
      <c r="C8" s="260" t="str">
        <f ca="1">IF(ISERROR('Supporting Calendar'!AB2),"",INDEX('Todo-Holiday-Event'!$E$9:$E$258,'Supporting Calendar'!AB2))</f>
        <v/>
      </c>
      <c r="D8" s="261"/>
      <c r="E8" s="260" t="str">
        <f ca="1">IF(ISERROR('Supporting Calendar'!AC2),"",INDEX('Todo-Holiday-Event'!$E$9:$E$258,'Supporting Calendar'!AC2))</f>
        <v/>
      </c>
      <c r="F8" s="261" t="str">
        <f ca="1">IF(ISERROR('Supporting Calendar'!AC2),"",INDEX('Todo-Holiday-Event'!$D$9:$D$258,'Supporting Calendar'!AC2))</f>
        <v/>
      </c>
      <c r="G8" s="260" t="str">
        <f ca="1">IF(ISERROR('Supporting Calendar'!AD2),"",INDEX('Todo-Holiday-Event'!$E$9:$E$258,'Supporting Calendar'!AD2))</f>
        <v/>
      </c>
      <c r="H8" s="261" t="str">
        <f ca="1">IF(ISERROR('Supporting Calendar'!AD2),"",INDEX('Todo-Holiday-Event'!$D$9:$D$258,'Supporting Calendar'!AD2))</f>
        <v/>
      </c>
      <c r="I8" s="260" t="str">
        <f ca="1">IF(ISERROR('Supporting Calendar'!AE2),"",INDEX('Todo-Holiday-Event'!$E$9:$E$258,'Supporting Calendar'!AE2))</f>
        <v/>
      </c>
      <c r="J8" s="261" t="str">
        <f ca="1">IF(ISERROR('Supporting Calendar'!AE2),"",INDEX('Todo-Holiday-Event'!$D$9:$D$258,'Supporting Calendar'!AE2))</f>
        <v/>
      </c>
      <c r="K8" s="260" t="str">
        <f ca="1">IF(ISERROR('Supporting Calendar'!AF2),"",INDEX('Todo-Holiday-Event'!$E$9:$E$258,'Supporting Calendar'!AF2))</f>
        <v/>
      </c>
      <c r="L8" s="261" t="str">
        <f ca="1">IF(ISERROR('Supporting Calendar'!AF2),"",INDEX('Todo-Holiday-Event'!$D$9:$D$258,'Supporting Calendar'!AF2))</f>
        <v/>
      </c>
      <c r="M8" s="260" t="str">
        <f ca="1">IF(ISERROR('Supporting Calendar'!AG2),"",INDEX('Todo-Holiday-Event'!$E$9:$E$258,'Supporting Calendar'!AG2))</f>
        <v/>
      </c>
      <c r="N8" s="261" t="str">
        <f ca="1">IF(ISERROR('Supporting Calendar'!AG2),"",INDEX('Todo-Holiday-Event'!$D$9:$D$258,'Supporting Calendar'!AG2))</f>
        <v/>
      </c>
      <c r="O8" s="260" t="str">
        <f ca="1">IF(ISERROR('Supporting Calendar'!AH2),"",INDEX('Todo-Holiday-Event'!$E$9:$E$258,'Supporting Calendar'!AH2))</f>
        <v/>
      </c>
      <c r="P8" s="261" t="str">
        <f ca="1">IF(ISERROR('Supporting Calendar'!AH2),"",INDEX('Todo-Holiday-Event'!$D$9:$D$258,'Supporting Calendar'!AH2))</f>
        <v/>
      </c>
      <c r="AH8" s="78"/>
    </row>
    <row r="9" spans="1:34" s="76" customFormat="1" ht="15" customHeight="1" x14ac:dyDescent="0.25">
      <c r="A9" s="159"/>
      <c r="C9" s="260" t="str">
        <f ca="1">IF(ISERROR('Supporting Calendar'!AB3),"",INDEX('Todo-Holiday-Event'!$E$9:$E$258,'Supporting Calendar'!AB3))</f>
        <v/>
      </c>
      <c r="D9" s="261"/>
      <c r="E9" s="260" t="str">
        <f ca="1">IF(ISERROR('Supporting Calendar'!AC3),"",INDEX('Todo-Holiday-Event'!$E$9:$E$258,'Supporting Calendar'!AC3))</f>
        <v/>
      </c>
      <c r="F9" s="261" t="str">
        <f ca="1">IF(ISERROR('Supporting Calendar'!AC3),"",INDEX('Todo-Holiday-Event'!$D$9:$D$258,'Supporting Calendar'!AC3))</f>
        <v/>
      </c>
      <c r="G9" s="260" t="str">
        <f ca="1">IF(ISERROR('Supporting Calendar'!AD3),"",INDEX('Todo-Holiday-Event'!$E$9:$E$258,'Supporting Calendar'!AD3))</f>
        <v/>
      </c>
      <c r="H9" s="261" t="str">
        <f ca="1">IF(ISERROR('Supporting Calendar'!AD3),"",INDEX('Todo-Holiday-Event'!$D$9:$D$258,'Supporting Calendar'!AD3))</f>
        <v/>
      </c>
      <c r="I9" s="260" t="str">
        <f ca="1">IF(ISERROR('Supporting Calendar'!AE3),"",INDEX('Todo-Holiday-Event'!$E$9:$E$258,'Supporting Calendar'!AE3))</f>
        <v/>
      </c>
      <c r="J9" s="261" t="str">
        <f ca="1">IF(ISERROR('Supporting Calendar'!AE3),"",INDEX('Todo-Holiday-Event'!$D$9:$D$258,'Supporting Calendar'!AE3))</f>
        <v/>
      </c>
      <c r="K9" s="260" t="str">
        <f ca="1">IF(ISERROR('Supporting Calendar'!AF3),"",INDEX('Todo-Holiday-Event'!$E$9:$E$258,'Supporting Calendar'!AF3))</f>
        <v/>
      </c>
      <c r="L9" s="261" t="str">
        <f ca="1">IF(ISERROR('Supporting Calendar'!AF3),"",INDEX('Todo-Holiday-Event'!$D$9:$D$258,'Supporting Calendar'!AF3))</f>
        <v/>
      </c>
      <c r="M9" s="260" t="str">
        <f ca="1">IF(ISERROR('Supporting Calendar'!AG3),"",INDEX('Todo-Holiday-Event'!$E$9:$E$258,'Supporting Calendar'!AG3))</f>
        <v/>
      </c>
      <c r="N9" s="261" t="str">
        <f ca="1">IF(ISERROR('Supporting Calendar'!AG3),"",INDEX('Todo-Holiday-Event'!$D$9:$D$258,'Supporting Calendar'!AG3))</f>
        <v/>
      </c>
      <c r="O9" s="260" t="str">
        <f ca="1">IF(ISERROR('Supporting Calendar'!AH3),"",INDEX('Todo-Holiday-Event'!$E$9:$E$258,'Supporting Calendar'!AH3))</f>
        <v/>
      </c>
      <c r="P9" s="261" t="str">
        <f ca="1">IF(ISERROR('Supporting Calendar'!AH3),"",INDEX('Todo-Holiday-Event'!$D$9:$D$258,'Supporting Calendar'!AH3))</f>
        <v/>
      </c>
      <c r="AH9" s="78"/>
    </row>
    <row r="10" spans="1:34" s="76" customFormat="1" ht="15" customHeight="1" x14ac:dyDescent="0.25">
      <c r="A10" s="159"/>
      <c r="C10" s="262" t="str">
        <f ca="1">IF(ISERROR('Supporting Calendar'!AB4),"",INDEX('Todo-Holiday-Event'!$E$9:$E$258,'Supporting Calendar'!AB4))</f>
        <v/>
      </c>
      <c r="D10" s="263"/>
      <c r="E10" s="262" t="str">
        <f ca="1">IF(ISERROR('Supporting Calendar'!AC4),"",INDEX('Todo-Holiday-Event'!$E$9:$E$258,'Supporting Calendar'!AC4))</f>
        <v/>
      </c>
      <c r="F10" s="263" t="str">
        <f ca="1">IF(ISERROR('Supporting Calendar'!AC4),"",INDEX('Todo-Holiday-Event'!$D$9:$D$258,'Supporting Calendar'!AC4))</f>
        <v/>
      </c>
      <c r="G10" s="262" t="str">
        <f ca="1">IF(ISERROR('Supporting Calendar'!AD4),"",INDEX('Todo-Holiday-Event'!$E$9:$E$258,'Supporting Calendar'!AD4))</f>
        <v/>
      </c>
      <c r="H10" s="263" t="str">
        <f ca="1">IF(ISERROR('Supporting Calendar'!AD4),"",INDEX('Todo-Holiday-Event'!$D$9:$D$258,'Supporting Calendar'!AD4))</f>
        <v/>
      </c>
      <c r="I10" s="262" t="str">
        <f ca="1">IF(ISERROR('Supporting Calendar'!AE4),"",INDEX('Todo-Holiday-Event'!$E$9:$E$258,'Supporting Calendar'!AE4))</f>
        <v/>
      </c>
      <c r="J10" s="263" t="str">
        <f ca="1">IF(ISERROR('Supporting Calendar'!AE4),"",INDEX('Todo-Holiday-Event'!$D$9:$D$258,'Supporting Calendar'!AE4))</f>
        <v/>
      </c>
      <c r="K10" s="262" t="str">
        <f ca="1">IF(ISERROR('Supporting Calendar'!AF4),"",INDEX('Todo-Holiday-Event'!$E$9:$E$258,'Supporting Calendar'!AF4))</f>
        <v/>
      </c>
      <c r="L10" s="263" t="str">
        <f ca="1">IF(ISERROR('Supporting Calendar'!AF4),"",INDEX('Todo-Holiday-Event'!$D$9:$D$258,'Supporting Calendar'!AF4))</f>
        <v/>
      </c>
      <c r="M10" s="262" t="str">
        <f ca="1">IF(ISERROR('Supporting Calendar'!AG4),"",INDEX('Todo-Holiday-Event'!$E$9:$E$258,'Supporting Calendar'!AG4))</f>
        <v/>
      </c>
      <c r="N10" s="263" t="str">
        <f ca="1">IF(ISERROR('Supporting Calendar'!AG4),"",INDEX('Todo-Holiday-Event'!$D$9:$D$258,'Supporting Calendar'!AG4))</f>
        <v/>
      </c>
      <c r="O10" s="262" t="str">
        <f ca="1">IF(ISERROR('Supporting Calendar'!AH4),"",INDEX('Todo-Holiday-Event'!$E$9:$E$258,'Supporting Calendar'!AH4))</f>
        <v/>
      </c>
      <c r="P10" s="263" t="str">
        <f ca="1">IF(ISERROR('Supporting Calendar'!AH4),"",INDEX('Todo-Holiday-Event'!$D$9:$D$258,'Supporting Calendar'!AH4))</f>
        <v/>
      </c>
      <c r="AH10" s="78"/>
    </row>
    <row r="11" spans="1:34" s="13" customFormat="1" ht="15" customHeight="1" x14ac:dyDescent="0.25">
      <c r="A11" s="159"/>
      <c r="C11" s="196" t="str">
        <f>IF(D11&lt;&gt;"",IF(ISNA(VLOOKUP(DATE($N$31,$P$31,D11),'Todo-Holiday-Event'!$L$9:$M$28,2,FALSE)),IF(ISNA(VLOOKUP(DATE($N$31,$P$31,D11),'Todo-Holiday-Event'!$H$9:$I$28,2,FALSE)),"",VLOOKUP(DATE($N$31,$P$31,D11),'Todo-Holiday-Event'!$H$9:$I$28,2,FALSE)),VLOOKUP(DATE($N$31,$P$31,D11),'Todo-Holiday-Event'!$L$9:$M$28,2,FALSE)),"")</f>
        <v/>
      </c>
      <c r="D11" s="197">
        <f>P6+1</f>
        <v>4</v>
      </c>
      <c r="E11" s="196" t="str">
        <f>IF(F11&lt;&gt;"",IF(ISNA(VLOOKUP(DATE($N$31,$P$31,F11),'Todo-Holiday-Event'!$L$9:$M$28,2,FALSE)),IF(ISNA(VLOOKUP(DATE($N$31,$P$31,F11),'Todo-Holiday-Event'!$H$9:$I$28,2,FALSE)),"",VLOOKUP(DATE($N$31,$P$31,F11),'Todo-Holiday-Event'!$H$9:$I$28,2,FALSE)),VLOOKUP(DATE($N$31,$P$31,F11),'Todo-Holiday-Event'!$L$9:$M$28,2,FALSE)),"")</f>
        <v/>
      </c>
      <c r="F11" s="197">
        <f>D11+1</f>
        <v>5</v>
      </c>
      <c r="G11" s="196" t="str">
        <f>IF(H11&lt;&gt;"",IF(ISNA(VLOOKUP(DATE($N$31,$P$31,H11),'Todo-Holiday-Event'!$L$9:$M$28,2,FALSE)),IF(ISNA(VLOOKUP(DATE($N$31,$P$31,H11),'Todo-Holiday-Event'!$H$9:$I$28,2,FALSE)),"",VLOOKUP(DATE($N$31,$P$31,H11),'Todo-Holiday-Event'!$H$9:$I$28,2,FALSE)),VLOOKUP(DATE($N$31,$P$31,H11),'Todo-Holiday-Event'!$L$9:$M$28,2,FALSE)),"")</f>
        <v/>
      </c>
      <c r="H11" s="197">
        <f>F11+1</f>
        <v>6</v>
      </c>
      <c r="I11" s="196" t="str">
        <f>IF(J11&lt;&gt;"",IF(ISNA(VLOOKUP(DATE($N$31,$P$31,J11),'Todo-Holiday-Event'!$L$9:$M$28,2,FALSE)),IF(ISNA(VLOOKUP(DATE($N$31,$P$31,J11),'Todo-Holiday-Event'!$H$9:$I$28,2,FALSE)),"",VLOOKUP(DATE($N$31,$P$31,J11),'Todo-Holiday-Event'!$H$9:$I$28,2,FALSE)),VLOOKUP(DATE($N$31,$P$31,J11),'Todo-Holiday-Event'!$L$9:$M$28,2,FALSE)),"")</f>
        <v>Jane Doe  Show</v>
      </c>
      <c r="J11" s="197">
        <f>H11+1</f>
        <v>7</v>
      </c>
      <c r="K11" s="196" t="str">
        <f>IF(L11&lt;&gt;"",IF(ISNA(VLOOKUP(DATE($N$31,$P$31,L11),'Todo-Holiday-Event'!$L$9:$M$28,2,FALSE)),IF(ISNA(VLOOKUP(DATE($N$31,$P$31,L11),'Todo-Holiday-Event'!$H$9:$I$28,2,FALSE)),"",VLOOKUP(DATE($N$31,$P$31,L11),'Todo-Holiday-Event'!$H$9:$I$28,2,FALSE)),VLOOKUP(DATE($N$31,$P$31,L11),'Todo-Holiday-Event'!$L$9:$M$28,2,FALSE)),"")</f>
        <v/>
      </c>
      <c r="L11" s="197">
        <f>J11+1</f>
        <v>8</v>
      </c>
      <c r="M11" s="196" t="str">
        <f>IF(N11&lt;&gt;"",IF(ISNA(VLOOKUP(DATE($N$31,$P$31,N11),'Todo-Holiday-Event'!$L$9:$M$28,2,FALSE)),IF(ISNA(VLOOKUP(DATE($N$31,$P$31,N11),'Todo-Holiday-Event'!$H$9:$I$28,2,FALSE)),"",VLOOKUP(DATE($N$31,$P$31,N11),'Todo-Holiday-Event'!$H$9:$I$28,2,FALSE)),VLOOKUP(DATE($N$31,$P$31,N11),'Todo-Holiday-Event'!$L$9:$M$28,2,FALSE)),"")</f>
        <v/>
      </c>
      <c r="N11" s="197">
        <f>L11+1</f>
        <v>9</v>
      </c>
      <c r="O11" s="196" t="str">
        <f>IF(P11&lt;&gt;"",IF(ISNA(VLOOKUP(DATE($N$31,$P$31,P11),'Todo-Holiday-Event'!$L$9:$M$28,2,FALSE)),IF(ISNA(VLOOKUP(DATE($N$31,$P$31,P11),'Todo-Holiday-Event'!$H$9:$I$28,2,FALSE)),"",VLOOKUP(DATE($N$31,$P$31,P11),'Todo-Holiday-Event'!$H$9:$I$28,2,FALSE)),VLOOKUP(DATE($N$31,$P$31,P11),'Todo-Holiday-Event'!$L$9:$M$28,2,FALSE)),"")</f>
        <v/>
      </c>
      <c r="P11" s="197">
        <f>N11+1</f>
        <v>10</v>
      </c>
      <c r="X11" s="70"/>
      <c r="AH11" s="67"/>
    </row>
    <row r="12" spans="1:34" s="76" customFormat="1" ht="15" customHeight="1" x14ac:dyDescent="0.25">
      <c r="A12" s="159"/>
      <c r="C12" s="260" t="str">
        <f>IF(ISERROR('Supporting Calendar'!AB7),"",INDEX('Todo-Holiday-Event'!$E$9:$E$258,'Supporting Calendar'!AB7))</f>
        <v/>
      </c>
      <c r="D12" s="261" t="str">
        <f>IF(ISERROR('Supporting Calendar'!AB7),"",INDEX('Todo-Holiday-Event'!$D$9:$D$258,'Supporting Calendar'!AB7))</f>
        <v/>
      </c>
      <c r="E12" s="260" t="str">
        <f>IF(ISERROR('Supporting Calendar'!AC7),"",INDEX('Todo-Holiday-Event'!$E$9:$E$258,'Supporting Calendar'!AC7))</f>
        <v/>
      </c>
      <c r="F12" s="261" t="str">
        <f>IF(ISERROR('Supporting Calendar'!AC7),"",INDEX('Todo-Holiday-Event'!$D$9:$D$258,'Supporting Calendar'!AC7))</f>
        <v/>
      </c>
      <c r="G12" s="260" t="str">
        <f>IF(ISERROR('Supporting Calendar'!AD7),"",INDEX('Todo-Holiday-Event'!$E$9:$E$258,'Supporting Calendar'!AD7))</f>
        <v/>
      </c>
      <c r="H12" s="261" t="str">
        <f>IF(ISERROR('Supporting Calendar'!AD7),"",INDEX('Todo-Holiday-Event'!$D$9:$D$258,'Supporting Calendar'!AD7))</f>
        <v/>
      </c>
      <c r="I12" s="260" t="str">
        <f>IF(ISERROR('Supporting Calendar'!AE7),"",INDEX('Todo-Holiday-Event'!$E$9:$E$258,'Supporting Calendar'!AE7))</f>
        <v>Meeting with ABC</v>
      </c>
      <c r="J12" s="261"/>
      <c r="K12" s="260" t="str">
        <f>IF(ISERROR('Supporting Calendar'!AF7),"",INDEX('Todo-Holiday-Event'!$E$9:$E$258,'Supporting Calendar'!AF7))</f>
        <v/>
      </c>
      <c r="L12" s="261" t="str">
        <f>IF(ISERROR('Supporting Calendar'!AF7),"",INDEX('Todo-Holiday-Event'!$D$9:$D$258,'Supporting Calendar'!AF7))</f>
        <v/>
      </c>
      <c r="M12" s="260" t="str">
        <f>IF(ISERROR('Supporting Calendar'!AG7),"",INDEX('Todo-Holiday-Event'!$E$9:$E$258,'Supporting Calendar'!AG7))</f>
        <v/>
      </c>
      <c r="N12" s="261" t="str">
        <f>IF(ISERROR('Supporting Calendar'!AG7),"",INDEX('Todo-Holiday-Event'!$D$9:$D$258,'Supporting Calendar'!AG7))</f>
        <v/>
      </c>
      <c r="O12" s="260" t="str">
        <f>IF(ISERROR('Supporting Calendar'!AH7),"",INDEX('Todo-Holiday-Event'!$E$9:$E$258,'Supporting Calendar'!AH7))</f>
        <v/>
      </c>
      <c r="P12" s="261" t="str">
        <f>IF(ISERROR('Supporting Calendar'!AH7),"",INDEX('Todo-Holiday-Event'!$D$9:$D$258,'Supporting Calendar'!AH7))</f>
        <v/>
      </c>
      <c r="X12" s="77"/>
      <c r="AH12" s="78"/>
    </row>
    <row r="13" spans="1:34" s="76" customFormat="1" ht="15" customHeight="1" x14ac:dyDescent="0.25">
      <c r="A13" s="159"/>
      <c r="C13" s="260" t="str">
        <f ca="1">IF(ISERROR('Supporting Calendar'!AB8),"",INDEX('Todo-Holiday-Event'!$E$9:$E$258,'Supporting Calendar'!AB8))</f>
        <v/>
      </c>
      <c r="D13" s="261" t="str">
        <f ca="1">IF(ISERROR('Supporting Calendar'!AB8),"",INDEX('Todo-Holiday-Event'!$D$9:$D$258,'Supporting Calendar'!AB8))</f>
        <v/>
      </c>
      <c r="E13" s="260" t="str">
        <f ca="1">IF(ISERROR('Supporting Calendar'!AC8),"",INDEX('Todo-Holiday-Event'!$E$9:$E$258,'Supporting Calendar'!AC8))</f>
        <v/>
      </c>
      <c r="F13" s="261" t="str">
        <f ca="1">IF(ISERROR('Supporting Calendar'!AC8),"",INDEX('Todo-Holiday-Event'!$D$9:$D$258,'Supporting Calendar'!AC8))</f>
        <v/>
      </c>
      <c r="G13" s="260" t="str">
        <f ca="1">IF(ISERROR('Supporting Calendar'!AD8),"",INDEX('Todo-Holiday-Event'!$E$9:$E$258,'Supporting Calendar'!AD8))</f>
        <v/>
      </c>
      <c r="H13" s="261" t="str">
        <f ca="1">IF(ISERROR('Supporting Calendar'!AD8),"",INDEX('Todo-Holiday-Event'!$D$9:$D$258,'Supporting Calendar'!AD8))</f>
        <v/>
      </c>
      <c r="I13" s="260" t="str">
        <f ca="1">IF(ISERROR('Supporting Calendar'!AE8),"",INDEX('Todo-Holiday-Event'!$E$9:$E$258,'Supporting Calendar'!AE8))</f>
        <v/>
      </c>
      <c r="J13" s="261"/>
      <c r="K13" s="260" t="str">
        <f ca="1">IF(ISERROR('Supporting Calendar'!AF8),"",INDEX('Todo-Holiday-Event'!$E$9:$E$258,'Supporting Calendar'!AF8))</f>
        <v/>
      </c>
      <c r="L13" s="261" t="str">
        <f ca="1">IF(ISERROR('Supporting Calendar'!AF8),"",INDEX('Todo-Holiday-Event'!$D$9:$D$258,'Supporting Calendar'!AF8))</f>
        <v/>
      </c>
      <c r="M13" s="260" t="str">
        <f ca="1">IF(ISERROR('Supporting Calendar'!AG8),"",INDEX('Todo-Holiday-Event'!$E$9:$E$258,'Supporting Calendar'!AG8))</f>
        <v/>
      </c>
      <c r="N13" s="261" t="str">
        <f ca="1">IF(ISERROR('Supporting Calendar'!AG8),"",INDEX('Todo-Holiday-Event'!$D$9:$D$258,'Supporting Calendar'!AG8))</f>
        <v/>
      </c>
      <c r="O13" s="260" t="str">
        <f ca="1">IF(ISERROR('Supporting Calendar'!AH8),"",INDEX('Todo-Holiday-Event'!$E$9:$E$258,'Supporting Calendar'!AH8))</f>
        <v/>
      </c>
      <c r="P13" s="261" t="str">
        <f ca="1">IF(ISERROR('Supporting Calendar'!AH8),"",INDEX('Todo-Holiday-Event'!$D$9:$D$258,'Supporting Calendar'!AH8))</f>
        <v/>
      </c>
      <c r="X13" s="77"/>
      <c r="AH13" s="78"/>
    </row>
    <row r="14" spans="1:34" s="76" customFormat="1" ht="15" customHeight="1" x14ac:dyDescent="0.25">
      <c r="A14" s="159"/>
      <c r="C14" s="260" t="str">
        <f ca="1">IF(ISERROR('Supporting Calendar'!AB9),"",INDEX('Todo-Holiday-Event'!$E$9:$E$258,'Supporting Calendar'!AB9))</f>
        <v/>
      </c>
      <c r="D14" s="261" t="str">
        <f ca="1">IF(ISERROR('Supporting Calendar'!AB9),"",INDEX('Todo-Holiday-Event'!$D$9:$D$258,'Supporting Calendar'!AB9))</f>
        <v/>
      </c>
      <c r="E14" s="260" t="str">
        <f ca="1">IF(ISERROR('Supporting Calendar'!AC9),"",INDEX('Todo-Holiday-Event'!$E$9:$E$258,'Supporting Calendar'!AC9))</f>
        <v/>
      </c>
      <c r="F14" s="261" t="str">
        <f ca="1">IF(ISERROR('Supporting Calendar'!AC9),"",INDEX('Todo-Holiday-Event'!$D$9:$D$258,'Supporting Calendar'!AC9))</f>
        <v/>
      </c>
      <c r="G14" s="260" t="str">
        <f ca="1">IF(ISERROR('Supporting Calendar'!AD9),"",INDEX('Todo-Holiday-Event'!$E$9:$E$258,'Supporting Calendar'!AD9))</f>
        <v/>
      </c>
      <c r="H14" s="261" t="str">
        <f ca="1">IF(ISERROR('Supporting Calendar'!AD9),"",INDEX('Todo-Holiday-Event'!$D$9:$D$258,'Supporting Calendar'!AD9))</f>
        <v/>
      </c>
      <c r="I14" s="260" t="str">
        <f ca="1">IF(ISERROR('Supporting Calendar'!AE9),"",INDEX('Todo-Holiday-Event'!$E$9:$E$258,'Supporting Calendar'!AE9))</f>
        <v/>
      </c>
      <c r="J14" s="261"/>
      <c r="K14" s="260" t="str">
        <f ca="1">IF(ISERROR('Supporting Calendar'!AF9),"",INDEX('Todo-Holiday-Event'!$E$9:$E$258,'Supporting Calendar'!AF9))</f>
        <v/>
      </c>
      <c r="L14" s="261" t="str">
        <f ca="1">IF(ISERROR('Supporting Calendar'!AF9),"",INDEX('Todo-Holiday-Event'!$D$9:$D$258,'Supporting Calendar'!AF9))</f>
        <v/>
      </c>
      <c r="M14" s="260" t="str">
        <f ca="1">IF(ISERROR('Supporting Calendar'!AG9),"",INDEX('Todo-Holiday-Event'!$E$9:$E$258,'Supporting Calendar'!AG9))</f>
        <v/>
      </c>
      <c r="N14" s="261" t="str">
        <f ca="1">IF(ISERROR('Supporting Calendar'!AG9),"",INDEX('Todo-Holiday-Event'!$D$9:$D$258,'Supporting Calendar'!AG9))</f>
        <v/>
      </c>
      <c r="O14" s="260" t="str">
        <f ca="1">IF(ISERROR('Supporting Calendar'!AH9),"",INDEX('Todo-Holiday-Event'!$E$9:$E$258,'Supporting Calendar'!AH9))</f>
        <v/>
      </c>
      <c r="P14" s="261" t="str">
        <f ca="1">IF(ISERROR('Supporting Calendar'!AH9),"",INDEX('Todo-Holiday-Event'!$D$9:$D$258,'Supporting Calendar'!AH9))</f>
        <v/>
      </c>
      <c r="X14" s="77"/>
      <c r="AH14" s="78"/>
    </row>
    <row r="15" spans="1:34" s="76" customFormat="1" ht="15" customHeight="1" x14ac:dyDescent="0.25">
      <c r="A15" s="159"/>
      <c r="C15" s="262" t="str">
        <f ca="1">IF(ISERROR('Supporting Calendar'!AB10),"",INDEX('Todo-Holiday-Event'!$E$9:$E$258,'Supporting Calendar'!AB10))</f>
        <v/>
      </c>
      <c r="D15" s="263" t="str">
        <f ca="1">IF(ISERROR('Supporting Calendar'!AB10),"",INDEX('Todo-Holiday-Event'!$D$9:$D$258,'Supporting Calendar'!AB10))</f>
        <v/>
      </c>
      <c r="E15" s="262" t="str">
        <f ca="1">IF(ISERROR('Supporting Calendar'!AC10),"",INDEX('Todo-Holiday-Event'!$E$9:$E$258,'Supporting Calendar'!AC10))</f>
        <v/>
      </c>
      <c r="F15" s="263" t="str">
        <f ca="1">IF(ISERROR('Supporting Calendar'!AC10),"",INDEX('Todo-Holiday-Event'!$D$9:$D$258,'Supporting Calendar'!AC10))</f>
        <v/>
      </c>
      <c r="G15" s="262" t="str">
        <f ca="1">IF(ISERROR('Supporting Calendar'!AD10),"",INDEX('Todo-Holiday-Event'!$E$9:$E$258,'Supporting Calendar'!AD10))</f>
        <v/>
      </c>
      <c r="H15" s="263" t="str">
        <f ca="1">IF(ISERROR('Supporting Calendar'!AD10),"",INDEX('Todo-Holiday-Event'!$D$9:$D$258,'Supporting Calendar'!AD10))</f>
        <v/>
      </c>
      <c r="I15" s="262" t="str">
        <f ca="1">IF(ISERROR('Supporting Calendar'!AE10),"",INDEX('Todo-Holiday-Event'!$E$9:$E$258,'Supporting Calendar'!AE10))</f>
        <v/>
      </c>
      <c r="J15" s="263"/>
      <c r="K15" s="262" t="str">
        <f ca="1">IF(ISERROR('Supporting Calendar'!AF10),"",INDEX('Todo-Holiday-Event'!$E$9:$E$258,'Supporting Calendar'!AF10))</f>
        <v/>
      </c>
      <c r="L15" s="263" t="str">
        <f ca="1">IF(ISERROR('Supporting Calendar'!AF10),"",INDEX('Todo-Holiday-Event'!$D$9:$D$258,'Supporting Calendar'!AF10))</f>
        <v/>
      </c>
      <c r="M15" s="262" t="str">
        <f ca="1">IF(ISERROR('Supporting Calendar'!AG10),"",INDEX('Todo-Holiday-Event'!$E$9:$E$258,'Supporting Calendar'!AG10))</f>
        <v/>
      </c>
      <c r="N15" s="263" t="str">
        <f ca="1">IF(ISERROR('Supporting Calendar'!AG10),"",INDEX('Todo-Holiday-Event'!$D$9:$D$258,'Supporting Calendar'!AG10))</f>
        <v/>
      </c>
      <c r="O15" s="262" t="str">
        <f ca="1">IF(ISERROR('Supporting Calendar'!AH10),"",INDEX('Todo-Holiday-Event'!$E$9:$E$258,'Supporting Calendar'!AH10))</f>
        <v/>
      </c>
      <c r="P15" s="263" t="str">
        <f ca="1">IF(ISERROR('Supporting Calendar'!AH10),"",INDEX('Todo-Holiday-Event'!$D$9:$D$258,'Supporting Calendar'!AH10))</f>
        <v/>
      </c>
      <c r="X15" s="77"/>
      <c r="AH15" s="78"/>
    </row>
    <row r="16" spans="1:34" s="13" customFormat="1" ht="15" customHeight="1" x14ac:dyDescent="0.25">
      <c r="A16" s="159"/>
      <c r="C16" s="196" t="str">
        <f>IF(D16&lt;&gt;"",IF(ISNA(VLOOKUP(DATE($N$31,$P$31,D16),'Todo-Holiday-Event'!$L$9:$M$28,2,FALSE)),IF(ISNA(VLOOKUP(DATE($N$31,$P$31,D16),'Todo-Holiday-Event'!$H$9:$I$28,2,FALSE)),"",VLOOKUP(DATE($N$31,$P$31,D16),'Todo-Holiday-Event'!$H$9:$I$28,2,FALSE)),VLOOKUP(DATE($N$31,$P$31,D16),'Todo-Holiday-Event'!$L$9:$M$28,2,FALSE)),"")</f>
        <v/>
      </c>
      <c r="D16" s="197">
        <f>P11+1</f>
        <v>11</v>
      </c>
      <c r="E16" s="196" t="str">
        <f>IF(F16&lt;&gt;"",IF(ISNA(VLOOKUP(DATE($N$31,$P$31,F16),'Todo-Holiday-Event'!$L$9:$M$28,2,FALSE)),IF(ISNA(VLOOKUP(DATE($N$31,$P$31,F16),'Todo-Holiday-Event'!$H$9:$I$28,2,FALSE)),"",VLOOKUP(DATE($N$31,$P$31,F16),'Todo-Holiday-Event'!$H$9:$I$28,2,FALSE)),VLOOKUP(DATE($N$31,$P$31,F16),'Todo-Holiday-Event'!$L$9:$M$28,2,FALSE)),"")</f>
        <v/>
      </c>
      <c r="F16" s="197">
        <f>D16+1</f>
        <v>12</v>
      </c>
      <c r="G16" s="196" t="str">
        <f>IF(H16&lt;&gt;"",IF(ISNA(VLOOKUP(DATE($N$31,$P$31,H16),'Todo-Holiday-Event'!$L$9:$M$28,2,FALSE)),IF(ISNA(VLOOKUP(DATE($N$31,$P$31,H16),'Todo-Holiday-Event'!$H$9:$I$28,2,FALSE)),"",VLOOKUP(DATE($N$31,$P$31,H16),'Todo-Holiday-Event'!$H$9:$I$28,2,FALSE)),VLOOKUP(DATE($N$31,$P$31,H16),'Todo-Holiday-Event'!$L$9:$M$28,2,FALSE)),"")</f>
        <v/>
      </c>
      <c r="H16" s="197">
        <f>F16+1</f>
        <v>13</v>
      </c>
      <c r="I16" s="196" t="str">
        <f>IF(J16&lt;&gt;"",IF(ISNA(VLOOKUP(DATE($N$31,$P$31,J16),'Todo-Holiday-Event'!$L$9:$M$28,2,FALSE)),IF(ISNA(VLOOKUP(DATE($N$31,$P$31,J16),'Todo-Holiday-Event'!$H$9:$I$28,2,FALSE)),"",VLOOKUP(DATE($N$31,$P$31,J16),'Todo-Holiday-Event'!$H$9:$I$28,2,FALSE)),VLOOKUP(DATE($N$31,$P$31,J16),'Todo-Holiday-Event'!$L$9:$M$28,2,FALSE)),"")</f>
        <v/>
      </c>
      <c r="J16" s="197">
        <f>H16+1</f>
        <v>14</v>
      </c>
      <c r="K16" s="196" t="str">
        <f>IF(L16&lt;&gt;"",IF(ISNA(VLOOKUP(DATE($N$31,$P$31,L16),'Todo-Holiday-Event'!$L$9:$M$28,2,FALSE)),IF(ISNA(VLOOKUP(DATE($N$31,$P$31,L16),'Todo-Holiday-Event'!$H$9:$I$28,2,FALSE)),"",VLOOKUP(DATE($N$31,$P$31,L16),'Todo-Holiday-Event'!$H$9:$I$28,2,FALSE)),VLOOKUP(DATE($N$31,$P$31,L16),'Todo-Holiday-Event'!$L$9:$M$28,2,FALSE)),"")</f>
        <v/>
      </c>
      <c r="L16" s="197">
        <f>J16+1</f>
        <v>15</v>
      </c>
      <c r="M16" s="196" t="str">
        <f>IF(N16&lt;&gt;"",IF(ISNA(VLOOKUP(DATE($N$31,$P$31,N16),'Todo-Holiday-Event'!$L$9:$M$28,2,FALSE)),IF(ISNA(VLOOKUP(DATE($N$31,$P$31,N16),'Todo-Holiday-Event'!$H$9:$I$28,2,FALSE)),"",VLOOKUP(DATE($N$31,$P$31,N16),'Todo-Holiday-Event'!$H$9:$I$28,2,FALSE)),VLOOKUP(DATE($N$31,$P$31,N16),'Todo-Holiday-Event'!$L$9:$M$28,2,FALSE)),"")</f>
        <v/>
      </c>
      <c r="N16" s="197">
        <f>L16+1</f>
        <v>16</v>
      </c>
      <c r="O16" s="196" t="str">
        <f>IF(P16&lt;&gt;"",IF(ISNA(VLOOKUP(DATE($N$31,$P$31,P16),'Todo-Holiday-Event'!$L$9:$M$28,2,FALSE)),IF(ISNA(VLOOKUP(DATE($N$31,$P$31,P16),'Todo-Holiday-Event'!$H$9:$I$28,2,FALSE)),"",VLOOKUP(DATE($N$31,$P$31,P16),'Todo-Holiday-Event'!$H$9:$I$28,2,FALSE)),VLOOKUP(DATE($N$31,$P$31,P16),'Todo-Holiday-Event'!$L$9:$M$28,2,FALSE)),"")</f>
        <v/>
      </c>
      <c r="P16" s="197">
        <f>N16+1</f>
        <v>17</v>
      </c>
      <c r="X16" s="70"/>
      <c r="AH16" s="67"/>
    </row>
    <row r="17" spans="1:34" s="76" customFormat="1" ht="15" customHeight="1" x14ac:dyDescent="0.25">
      <c r="A17" s="159"/>
      <c r="C17" s="260" t="str">
        <f>IF(ISERROR('Supporting Calendar'!AB13),"",INDEX('Todo-Holiday-Event'!$E$9:$E$258,'Supporting Calendar'!AB13))</f>
        <v/>
      </c>
      <c r="D17" s="261" t="str">
        <f>IF(ISERROR('Supporting Calendar'!AB13),"",INDEX('Todo-Holiday-Event'!$D$9:$D$258,'Supporting Calendar'!AB13))</f>
        <v/>
      </c>
      <c r="E17" s="260" t="str">
        <f>IF(ISERROR('Supporting Calendar'!AC13),"",INDEX('Todo-Holiday-Event'!$E$9:$E$258,'Supporting Calendar'!AC13))</f>
        <v/>
      </c>
      <c r="F17" s="261" t="str">
        <f>IF(ISERROR('Supporting Calendar'!AC13),"",INDEX('Todo-Holiday-Event'!$D$9:$D$258,'Supporting Calendar'!AC13))</f>
        <v/>
      </c>
      <c r="G17" s="260" t="str">
        <f>IF(ISERROR('Supporting Calendar'!AD13),"",INDEX('Todo-Holiday-Event'!$E$9:$E$258,'Supporting Calendar'!AD13))</f>
        <v/>
      </c>
      <c r="H17" s="261" t="str">
        <f>IF(ISERROR('Supporting Calendar'!AD13),"",INDEX('Todo-Holiday-Event'!$D$9:$D$258,'Supporting Calendar'!AD13))</f>
        <v/>
      </c>
      <c r="I17" s="260" t="str">
        <f>IF(ISERROR('Supporting Calendar'!AE13),"",INDEX('Todo-Holiday-Event'!$E$9:$E$258,'Supporting Calendar'!AE13))</f>
        <v/>
      </c>
      <c r="J17" s="261" t="str">
        <f>IF(ISERROR('Supporting Calendar'!AE13),"",INDEX('Todo-Holiday-Event'!$D$9:$D$258,'Supporting Calendar'!AE13))</f>
        <v/>
      </c>
      <c r="K17" s="260" t="str">
        <f>IF(ISERROR('Supporting Calendar'!AF13),"",INDEX('Todo-Holiday-Event'!$E$9:$E$258,'Supporting Calendar'!AF13))</f>
        <v/>
      </c>
      <c r="L17" s="261" t="str">
        <f>IF(ISERROR('Supporting Calendar'!AF13),"",INDEX('Todo-Holiday-Event'!$D$9:$D$258,'Supporting Calendar'!AF13))</f>
        <v/>
      </c>
      <c r="M17" s="260" t="str">
        <f>IF(ISERROR('Supporting Calendar'!AG13),"",INDEX('Todo-Holiday-Event'!$E$9:$E$258,'Supporting Calendar'!AG13))</f>
        <v/>
      </c>
      <c r="N17" s="261" t="str">
        <f>IF(ISERROR('Supporting Calendar'!AG13),"",INDEX('Todo-Holiday-Event'!$D$9:$D$258,'Supporting Calendar'!AG13))</f>
        <v/>
      </c>
      <c r="O17" s="260" t="str">
        <f>IF(ISERROR('Supporting Calendar'!AH13),"",INDEX('Todo-Holiday-Event'!$E$9:$E$258,'Supporting Calendar'!AH13))</f>
        <v/>
      </c>
      <c r="P17" s="261" t="str">
        <f>IF(ISERROR('Supporting Calendar'!AH13),"",INDEX('Todo-Holiday-Event'!$D$9:$D$258,'Supporting Calendar'!AH13))</f>
        <v/>
      </c>
      <c r="X17" s="77"/>
      <c r="AH17" s="78"/>
    </row>
    <row r="18" spans="1:34" s="76" customFormat="1" ht="15" customHeight="1" x14ac:dyDescent="0.25">
      <c r="A18" s="159"/>
      <c r="C18" s="260" t="str">
        <f ca="1">IF(ISERROR('Supporting Calendar'!AB14),"",INDEX('Todo-Holiday-Event'!$E$9:$E$258,'Supporting Calendar'!AB14))</f>
        <v/>
      </c>
      <c r="D18" s="261" t="str">
        <f ca="1">IF(ISERROR('Supporting Calendar'!AB14),"",INDEX('Todo-Holiday-Event'!$D$9:$D$258,'Supporting Calendar'!AB14))</f>
        <v/>
      </c>
      <c r="E18" s="260" t="str">
        <f ca="1">IF(ISERROR('Supporting Calendar'!AC14),"",INDEX('Todo-Holiday-Event'!$E$9:$E$258,'Supporting Calendar'!AC14))</f>
        <v/>
      </c>
      <c r="F18" s="261" t="str">
        <f ca="1">IF(ISERROR('Supporting Calendar'!AC14),"",INDEX('Todo-Holiday-Event'!$D$9:$D$258,'Supporting Calendar'!AC14))</f>
        <v/>
      </c>
      <c r="G18" s="260" t="str">
        <f ca="1">IF(ISERROR('Supporting Calendar'!AD14),"",INDEX('Todo-Holiday-Event'!$E$9:$E$258,'Supporting Calendar'!AD14))</f>
        <v/>
      </c>
      <c r="H18" s="261" t="str">
        <f ca="1">IF(ISERROR('Supporting Calendar'!AD14),"",INDEX('Todo-Holiday-Event'!$D$9:$D$258,'Supporting Calendar'!AD14))</f>
        <v/>
      </c>
      <c r="I18" s="260" t="str">
        <f ca="1">IF(ISERROR('Supporting Calendar'!AE14),"",INDEX('Todo-Holiday-Event'!$E$9:$E$258,'Supporting Calendar'!AE14))</f>
        <v/>
      </c>
      <c r="J18" s="261" t="str">
        <f ca="1">IF(ISERROR('Supporting Calendar'!AE14),"",INDEX('Todo-Holiday-Event'!$D$9:$D$258,'Supporting Calendar'!AE14))</f>
        <v/>
      </c>
      <c r="K18" s="260" t="str">
        <f ca="1">IF(ISERROR('Supporting Calendar'!AF14),"",INDEX('Todo-Holiday-Event'!$E$9:$E$258,'Supporting Calendar'!AF14))</f>
        <v/>
      </c>
      <c r="L18" s="261" t="str">
        <f ca="1">IF(ISERROR('Supporting Calendar'!AF14),"",INDEX('Todo-Holiday-Event'!$D$9:$D$258,'Supporting Calendar'!AF14))</f>
        <v/>
      </c>
      <c r="M18" s="260" t="str">
        <f ca="1">IF(ISERROR('Supporting Calendar'!AG14),"",INDEX('Todo-Holiday-Event'!$E$9:$E$258,'Supporting Calendar'!AG14))</f>
        <v/>
      </c>
      <c r="N18" s="261" t="str">
        <f ca="1">IF(ISERROR('Supporting Calendar'!AG14),"",INDEX('Todo-Holiday-Event'!$D$9:$D$258,'Supporting Calendar'!AG14))</f>
        <v/>
      </c>
      <c r="O18" s="260" t="str">
        <f ca="1">IF(ISERROR('Supporting Calendar'!AH14),"",INDEX('Todo-Holiday-Event'!$E$9:$E$258,'Supporting Calendar'!AH14))</f>
        <v/>
      </c>
      <c r="P18" s="261" t="str">
        <f ca="1">IF(ISERROR('Supporting Calendar'!AH14),"",INDEX('Todo-Holiday-Event'!$D$9:$D$258,'Supporting Calendar'!AH14))</f>
        <v/>
      </c>
      <c r="X18" s="77"/>
      <c r="AH18" s="78"/>
    </row>
    <row r="19" spans="1:34" s="76" customFormat="1" ht="15" customHeight="1" x14ac:dyDescent="0.25">
      <c r="A19" s="159"/>
      <c r="C19" s="260" t="str">
        <f ca="1">IF(ISERROR('Supporting Calendar'!AB15),"",INDEX('Todo-Holiday-Event'!$E$9:$E$258,'Supporting Calendar'!AB15))</f>
        <v/>
      </c>
      <c r="D19" s="261" t="str">
        <f ca="1">IF(ISERROR('Supporting Calendar'!AB15),"",INDEX('Todo-Holiday-Event'!$D$9:$D$258,'Supporting Calendar'!AB15))</f>
        <v/>
      </c>
      <c r="E19" s="260" t="str">
        <f ca="1">IF(ISERROR('Supporting Calendar'!AC15),"",INDEX('Todo-Holiday-Event'!$E$9:$E$258,'Supporting Calendar'!AC15))</f>
        <v/>
      </c>
      <c r="F19" s="261" t="str">
        <f ca="1">IF(ISERROR('Supporting Calendar'!AC15),"",INDEX('Todo-Holiday-Event'!$D$9:$D$258,'Supporting Calendar'!AC15))</f>
        <v/>
      </c>
      <c r="G19" s="260" t="str">
        <f ca="1">IF(ISERROR('Supporting Calendar'!AD15),"",INDEX('Todo-Holiday-Event'!$E$9:$E$258,'Supporting Calendar'!AD15))</f>
        <v/>
      </c>
      <c r="H19" s="261" t="str">
        <f ca="1">IF(ISERROR('Supporting Calendar'!AD15),"",INDEX('Todo-Holiday-Event'!$D$9:$D$258,'Supporting Calendar'!AD15))</f>
        <v/>
      </c>
      <c r="I19" s="260" t="str">
        <f ca="1">IF(ISERROR('Supporting Calendar'!AE15),"",INDEX('Todo-Holiday-Event'!$E$9:$E$258,'Supporting Calendar'!AE15))</f>
        <v/>
      </c>
      <c r="J19" s="261" t="str">
        <f ca="1">IF(ISERROR('Supporting Calendar'!AE15),"",INDEX('Todo-Holiday-Event'!$D$9:$D$258,'Supporting Calendar'!AE15))</f>
        <v/>
      </c>
      <c r="K19" s="260" t="str">
        <f ca="1">IF(ISERROR('Supporting Calendar'!AF15),"",INDEX('Todo-Holiday-Event'!$E$9:$E$258,'Supporting Calendar'!AF15))</f>
        <v/>
      </c>
      <c r="L19" s="261" t="str">
        <f ca="1">IF(ISERROR('Supporting Calendar'!AF15),"",INDEX('Todo-Holiday-Event'!$D$9:$D$258,'Supporting Calendar'!AF15))</f>
        <v/>
      </c>
      <c r="M19" s="260" t="str">
        <f ca="1">IF(ISERROR('Supporting Calendar'!AG15),"",INDEX('Todo-Holiday-Event'!$E$9:$E$258,'Supporting Calendar'!AG15))</f>
        <v/>
      </c>
      <c r="N19" s="261" t="str">
        <f ca="1">IF(ISERROR('Supporting Calendar'!AG15),"",INDEX('Todo-Holiday-Event'!$D$9:$D$258,'Supporting Calendar'!AG15))</f>
        <v/>
      </c>
      <c r="O19" s="260" t="str">
        <f ca="1">IF(ISERROR('Supporting Calendar'!AH15),"",INDEX('Todo-Holiday-Event'!$E$9:$E$258,'Supporting Calendar'!AH15))</f>
        <v/>
      </c>
      <c r="P19" s="261" t="str">
        <f ca="1">IF(ISERROR('Supporting Calendar'!AH15),"",INDEX('Todo-Holiday-Event'!$D$9:$D$258,'Supporting Calendar'!AH15))</f>
        <v/>
      </c>
      <c r="X19" s="77"/>
      <c r="AH19" s="78"/>
    </row>
    <row r="20" spans="1:34" s="76" customFormat="1" ht="15" customHeight="1" x14ac:dyDescent="0.25">
      <c r="A20" s="159"/>
      <c r="C20" s="262" t="str">
        <f ca="1">IF(ISERROR('Supporting Calendar'!AB16),"",INDEX('Todo-Holiday-Event'!$E$9:$E$258,'Supporting Calendar'!AB16))</f>
        <v/>
      </c>
      <c r="D20" s="263" t="str">
        <f ca="1">IF(ISERROR('Supporting Calendar'!AB16),"",INDEX('Todo-Holiday-Event'!$D$9:$D$258,'Supporting Calendar'!AB16))</f>
        <v/>
      </c>
      <c r="E20" s="262" t="str">
        <f ca="1">IF(ISERROR('Supporting Calendar'!AC16),"",INDEX('Todo-Holiday-Event'!$E$9:$E$258,'Supporting Calendar'!AC16))</f>
        <v/>
      </c>
      <c r="F20" s="263" t="str">
        <f ca="1">IF(ISERROR('Supporting Calendar'!AC16),"",INDEX('Todo-Holiday-Event'!$D$9:$D$258,'Supporting Calendar'!AC16))</f>
        <v/>
      </c>
      <c r="G20" s="262" t="str">
        <f ca="1">IF(ISERROR('Supporting Calendar'!AD16),"",INDEX('Todo-Holiday-Event'!$E$9:$E$258,'Supporting Calendar'!AD16))</f>
        <v/>
      </c>
      <c r="H20" s="263" t="str">
        <f ca="1">IF(ISERROR('Supporting Calendar'!AD16),"",INDEX('Todo-Holiday-Event'!$D$9:$D$258,'Supporting Calendar'!AD16))</f>
        <v/>
      </c>
      <c r="I20" s="262" t="str">
        <f ca="1">IF(ISERROR('Supporting Calendar'!AE16),"",INDEX('Todo-Holiday-Event'!$E$9:$E$258,'Supporting Calendar'!AE16))</f>
        <v/>
      </c>
      <c r="J20" s="263" t="str">
        <f ca="1">IF(ISERROR('Supporting Calendar'!AE16),"",INDEX('Todo-Holiday-Event'!$D$9:$D$258,'Supporting Calendar'!AE16))</f>
        <v/>
      </c>
      <c r="K20" s="262" t="str">
        <f ca="1">IF(ISERROR('Supporting Calendar'!AF16),"",INDEX('Todo-Holiday-Event'!$E$9:$E$258,'Supporting Calendar'!AF16))</f>
        <v/>
      </c>
      <c r="L20" s="263" t="str">
        <f ca="1">IF(ISERROR('Supporting Calendar'!AF16),"",INDEX('Todo-Holiday-Event'!$D$9:$D$258,'Supporting Calendar'!AF16))</f>
        <v/>
      </c>
      <c r="M20" s="262" t="str">
        <f ca="1">IF(ISERROR('Supporting Calendar'!AG16),"",INDEX('Todo-Holiday-Event'!$E$9:$E$258,'Supporting Calendar'!AG16))</f>
        <v/>
      </c>
      <c r="N20" s="263" t="str">
        <f ca="1">IF(ISERROR('Supporting Calendar'!AG16),"",INDEX('Todo-Holiday-Event'!$D$9:$D$258,'Supporting Calendar'!AG16))</f>
        <v/>
      </c>
      <c r="O20" s="262" t="str">
        <f ca="1">IF(ISERROR('Supporting Calendar'!AH16),"",INDEX('Todo-Holiday-Event'!$E$9:$E$258,'Supporting Calendar'!AH16))</f>
        <v/>
      </c>
      <c r="P20" s="263" t="str">
        <f ca="1">IF(ISERROR('Supporting Calendar'!AH16),"",INDEX('Todo-Holiday-Event'!$D$9:$D$258,'Supporting Calendar'!AH16))</f>
        <v/>
      </c>
      <c r="X20" s="77"/>
      <c r="AH20" s="78"/>
    </row>
    <row r="21" spans="1:34" s="13" customFormat="1" ht="15" customHeight="1" x14ac:dyDescent="0.25">
      <c r="A21" s="159"/>
      <c r="C21" s="196" t="str">
        <f>IF(D21&lt;&gt;"",IF(ISNA(VLOOKUP(DATE($N$31,$P$31,D21),'Todo-Holiday-Event'!$L$9:$M$28,2,FALSE)),IF(ISNA(VLOOKUP(DATE($N$31,$P$31,D21),'Todo-Holiday-Event'!$H$9:$I$28,2,FALSE)),"",VLOOKUP(DATE($N$31,$P$31,D21),'Todo-Holiday-Event'!$H$9:$I$28,2,FALSE)),VLOOKUP(DATE($N$31,$P$31,D21),'Todo-Holiday-Event'!$L$9:$M$28,2,FALSE)),"")</f>
        <v/>
      </c>
      <c r="D21" s="197">
        <f>P16+1</f>
        <v>18</v>
      </c>
      <c r="E21" s="196" t="str">
        <f>IF(F21&lt;&gt;"",IF(ISNA(VLOOKUP(DATE($N$31,$P$31,F21),'Todo-Holiday-Event'!$L$9:$M$28,2,FALSE)),IF(ISNA(VLOOKUP(DATE($N$31,$P$31,F21),'Todo-Holiday-Event'!$H$9:$I$28,2,FALSE)),"",VLOOKUP(DATE($N$31,$P$31,F21),'Todo-Holiday-Event'!$H$9:$I$28,2,FALSE)),VLOOKUP(DATE($N$31,$P$31,F21),'Todo-Holiday-Event'!$L$9:$M$28,2,FALSE)),"")</f>
        <v/>
      </c>
      <c r="F21" s="197">
        <f>D21+1</f>
        <v>19</v>
      </c>
      <c r="G21" s="196" t="str">
        <f>IF(H21&lt;&gt;"",IF(ISNA(VLOOKUP(DATE($N$31,$P$31,H21),'Todo-Holiday-Event'!$L$9:$M$28,2,FALSE)),IF(ISNA(VLOOKUP(DATE($N$31,$P$31,H21),'Todo-Holiday-Event'!$H$9:$I$28,2,FALSE)),"",VLOOKUP(DATE($N$31,$P$31,H21),'Todo-Holiday-Event'!$H$9:$I$28,2,FALSE)),VLOOKUP(DATE($N$31,$P$31,H21),'Todo-Holiday-Event'!$L$9:$M$28,2,FALSE)),"")</f>
        <v/>
      </c>
      <c r="H21" s="197">
        <f>F21+1</f>
        <v>20</v>
      </c>
      <c r="I21" s="196" t="str">
        <f>IF(J21&lt;&gt;"",IF(ISNA(VLOOKUP(DATE($N$31,$P$31,J21),'Todo-Holiday-Event'!$L$9:$M$28,2,FALSE)),IF(ISNA(VLOOKUP(DATE($N$31,$P$31,J21),'Todo-Holiday-Event'!$H$9:$I$28,2,FALSE)),"",VLOOKUP(DATE($N$31,$P$31,J21),'Todo-Holiday-Event'!$H$9:$I$28,2,FALSE)),VLOOKUP(DATE($N$31,$P$31,J21),'Todo-Holiday-Event'!$L$9:$M$28,2,FALSE)),"")</f>
        <v/>
      </c>
      <c r="J21" s="197">
        <f>H21+1</f>
        <v>21</v>
      </c>
      <c r="K21" s="196" t="str">
        <f>IF(L21&lt;&gt;"",IF(ISNA(VLOOKUP(DATE($N$31,$P$31,L21),'Todo-Holiday-Event'!$L$9:$M$28,2,FALSE)),IF(ISNA(VLOOKUP(DATE($N$31,$P$31,L21),'Todo-Holiday-Event'!$H$9:$I$28,2,FALSE)),"",VLOOKUP(DATE($N$31,$P$31,L21),'Todo-Holiday-Event'!$H$9:$I$28,2,FALSE)),VLOOKUP(DATE($N$31,$P$31,L21),'Todo-Holiday-Event'!$L$9:$M$28,2,FALSE)),"")</f>
        <v/>
      </c>
      <c r="L21" s="197">
        <f>J21+1</f>
        <v>22</v>
      </c>
      <c r="M21" s="196" t="str">
        <f>IF(N21&lt;&gt;"",IF(ISNA(VLOOKUP(DATE($N$31,$P$31,N21),'Todo-Holiday-Event'!$L$9:$M$28,2,FALSE)),IF(ISNA(VLOOKUP(DATE($N$31,$P$31,N21),'Todo-Holiday-Event'!$H$9:$I$28,2,FALSE)),"",VLOOKUP(DATE($N$31,$P$31,N21),'Todo-Holiday-Event'!$H$9:$I$28,2,FALSE)),VLOOKUP(DATE($N$31,$P$31,N21),'Todo-Holiday-Event'!$L$9:$M$28,2,FALSE)),"")</f>
        <v/>
      </c>
      <c r="N21" s="197">
        <f>L21+1</f>
        <v>23</v>
      </c>
      <c r="O21" s="196" t="str">
        <f>IF(P21&lt;&gt;"",IF(ISNA(VLOOKUP(DATE($N$31,$P$31,P21),'Todo-Holiday-Event'!$L$9:$M$28,2,FALSE)),IF(ISNA(VLOOKUP(DATE($N$31,$P$31,P21),'Todo-Holiday-Event'!$H$9:$I$28,2,FALSE)),"",VLOOKUP(DATE($N$31,$P$31,P21),'Todo-Holiday-Event'!$H$9:$I$28,2,FALSE)),VLOOKUP(DATE($N$31,$P$31,P21),'Todo-Holiday-Event'!$L$9:$M$28,2,FALSE)),"")</f>
        <v/>
      </c>
      <c r="P21" s="197">
        <f>N21+1</f>
        <v>24</v>
      </c>
      <c r="X21" s="70"/>
      <c r="AH21" s="67"/>
    </row>
    <row r="22" spans="1:34" s="76" customFormat="1" ht="15" customHeight="1" x14ac:dyDescent="0.25">
      <c r="A22" s="159"/>
      <c r="C22" s="260" t="str">
        <f>IF(ISERROR('Supporting Calendar'!AB19),"",INDEX('Todo-Holiday-Event'!$E$9:$E$258,'Supporting Calendar'!AB19))</f>
        <v>Shopping</v>
      </c>
      <c r="D22" s="261">
        <f>IF(ISERROR('Supporting Calendar'!AB19),"",INDEX('Todo-Holiday-Event'!$D$9:$D$258,'Supporting Calendar'!AB19))</f>
        <v>0.70833333333333337</v>
      </c>
      <c r="E22" s="260" t="str">
        <f>IF(ISERROR('Supporting Calendar'!AC19),"",INDEX('Todo-Holiday-Event'!$E$9:$E$258,'Supporting Calendar'!AC19))</f>
        <v/>
      </c>
      <c r="F22" s="261" t="str">
        <f>IF(ISERROR('Supporting Calendar'!AC19),"",INDEX('Todo-Holiday-Event'!$D$9:$D$258,'Supporting Calendar'!AC19))</f>
        <v/>
      </c>
      <c r="G22" s="260" t="str">
        <f>IF(ISERROR('Supporting Calendar'!AD19),"",INDEX('Todo-Holiday-Event'!$E$9:$E$258,'Supporting Calendar'!AD19))</f>
        <v/>
      </c>
      <c r="H22" s="261" t="str">
        <f>IF(ISERROR('Supporting Calendar'!AD19),"",INDEX('Todo-Holiday-Event'!$D$9:$D$258,'Supporting Calendar'!AD19))</f>
        <v/>
      </c>
      <c r="I22" s="260" t="str">
        <f>IF(ISERROR('Supporting Calendar'!AE19),"",INDEX('Todo-Holiday-Event'!$E$9:$E$258,'Supporting Calendar'!AE19))</f>
        <v/>
      </c>
      <c r="J22" s="261" t="str">
        <f>IF(ISERROR('Supporting Calendar'!AE19),"",INDEX('Todo-Holiday-Event'!$D$9:$D$258,'Supporting Calendar'!AE19))</f>
        <v/>
      </c>
      <c r="K22" s="260" t="str">
        <f>IF(ISERROR('Supporting Calendar'!AF19),"",INDEX('Todo-Holiday-Event'!$E$9:$E$258,'Supporting Calendar'!AF19))</f>
        <v/>
      </c>
      <c r="L22" s="261" t="str">
        <f>IF(ISERROR('Supporting Calendar'!AF19),"",INDEX('Todo-Holiday-Event'!$D$9:$D$258,'Supporting Calendar'!AF19))</f>
        <v/>
      </c>
      <c r="M22" s="260" t="str">
        <f>IF(ISERROR('Supporting Calendar'!AG19),"",INDEX('Todo-Holiday-Event'!$E$9:$E$258,'Supporting Calendar'!AG19))</f>
        <v/>
      </c>
      <c r="N22" s="261" t="str">
        <f>IF(ISERROR('Supporting Calendar'!AG19),"",INDEX('Todo-Holiday-Event'!$D$9:$D$258,'Supporting Calendar'!AG19))</f>
        <v/>
      </c>
      <c r="O22" s="260" t="str">
        <f>IF(ISERROR('Supporting Calendar'!AH19),"",INDEX('Todo-Holiday-Event'!$E$9:$E$258,'Supporting Calendar'!AH19))</f>
        <v/>
      </c>
      <c r="P22" s="261" t="str">
        <f>IF(ISERROR('Supporting Calendar'!AH19),"",INDEX('Todo-Holiday-Event'!$D$9:$D$258,'Supporting Calendar'!AH19))</f>
        <v/>
      </c>
      <c r="X22" s="77"/>
    </row>
    <row r="23" spans="1:34" s="76" customFormat="1" ht="15" customHeight="1" x14ac:dyDescent="0.25">
      <c r="A23" s="159"/>
      <c r="C23" s="260" t="str">
        <f ca="1">IF(ISERROR('Supporting Calendar'!AB20),"",INDEX('Todo-Holiday-Event'!$E$9:$E$258,'Supporting Calendar'!AB20))</f>
        <v/>
      </c>
      <c r="D23" s="261" t="str">
        <f ca="1">IF(ISERROR('Supporting Calendar'!AB20),"",INDEX('Todo-Holiday-Event'!$D$9:$D$258,'Supporting Calendar'!AB20))</f>
        <v/>
      </c>
      <c r="E23" s="260" t="str">
        <f ca="1">IF(ISERROR('Supporting Calendar'!AC20),"",INDEX('Todo-Holiday-Event'!$E$9:$E$258,'Supporting Calendar'!AC20))</f>
        <v/>
      </c>
      <c r="F23" s="261" t="str">
        <f ca="1">IF(ISERROR('Supporting Calendar'!AC20),"",INDEX('Todo-Holiday-Event'!$D$9:$D$258,'Supporting Calendar'!AC20))</f>
        <v/>
      </c>
      <c r="G23" s="260" t="str">
        <f ca="1">IF(ISERROR('Supporting Calendar'!AD20),"",INDEX('Todo-Holiday-Event'!$E$9:$E$258,'Supporting Calendar'!AD20))</f>
        <v/>
      </c>
      <c r="H23" s="261" t="str">
        <f ca="1">IF(ISERROR('Supporting Calendar'!AD20),"",INDEX('Todo-Holiday-Event'!$D$9:$D$258,'Supporting Calendar'!AD20))</f>
        <v/>
      </c>
      <c r="I23" s="260" t="str">
        <f ca="1">IF(ISERROR('Supporting Calendar'!AE20),"",INDEX('Todo-Holiday-Event'!$E$9:$E$258,'Supporting Calendar'!AE20))</f>
        <v/>
      </c>
      <c r="J23" s="261" t="str">
        <f ca="1">IF(ISERROR('Supporting Calendar'!AE20),"",INDEX('Todo-Holiday-Event'!$D$9:$D$258,'Supporting Calendar'!AE20))</f>
        <v/>
      </c>
      <c r="K23" s="260" t="str">
        <f ca="1">IF(ISERROR('Supporting Calendar'!AF20),"",INDEX('Todo-Holiday-Event'!$E$9:$E$258,'Supporting Calendar'!AF20))</f>
        <v/>
      </c>
      <c r="L23" s="261" t="str">
        <f ca="1">IF(ISERROR('Supporting Calendar'!AF20),"",INDEX('Todo-Holiday-Event'!$D$9:$D$258,'Supporting Calendar'!AF20))</f>
        <v/>
      </c>
      <c r="M23" s="260" t="str">
        <f ca="1">IF(ISERROR('Supporting Calendar'!AG20),"",INDEX('Todo-Holiday-Event'!$E$9:$E$258,'Supporting Calendar'!AG20))</f>
        <v/>
      </c>
      <c r="N23" s="261" t="str">
        <f ca="1">IF(ISERROR('Supporting Calendar'!AG20),"",INDEX('Todo-Holiday-Event'!$D$9:$D$258,'Supporting Calendar'!AG20))</f>
        <v/>
      </c>
      <c r="O23" s="260" t="str">
        <f ca="1">IF(ISERROR('Supporting Calendar'!AH20),"",INDEX('Todo-Holiday-Event'!$E$9:$E$258,'Supporting Calendar'!AH20))</f>
        <v/>
      </c>
      <c r="P23" s="261" t="str">
        <f ca="1">IF(ISERROR('Supporting Calendar'!AH20),"",INDEX('Todo-Holiday-Event'!$D$9:$D$258,'Supporting Calendar'!AH20))</f>
        <v/>
      </c>
      <c r="X23" s="77"/>
    </row>
    <row r="24" spans="1:34" s="76" customFormat="1" ht="15" customHeight="1" x14ac:dyDescent="0.25">
      <c r="A24" s="159"/>
      <c r="C24" s="260" t="str">
        <f ca="1">IF(ISERROR('Supporting Calendar'!AB21),"",INDEX('Todo-Holiday-Event'!$E$9:$E$258,'Supporting Calendar'!AB21))</f>
        <v/>
      </c>
      <c r="D24" s="261" t="str">
        <f ca="1">IF(ISERROR('Supporting Calendar'!AB21),"",INDEX('Todo-Holiday-Event'!$D$9:$D$258,'Supporting Calendar'!AB21))</f>
        <v/>
      </c>
      <c r="E24" s="260" t="str">
        <f ca="1">IF(ISERROR('Supporting Calendar'!AC21),"",INDEX('Todo-Holiday-Event'!$E$9:$E$258,'Supporting Calendar'!AC21))</f>
        <v/>
      </c>
      <c r="F24" s="261" t="str">
        <f ca="1">IF(ISERROR('Supporting Calendar'!AC21),"",INDEX('Todo-Holiday-Event'!$D$9:$D$258,'Supporting Calendar'!AC21))</f>
        <v/>
      </c>
      <c r="G24" s="260" t="str">
        <f ca="1">IF(ISERROR('Supporting Calendar'!AD21),"",INDEX('Todo-Holiday-Event'!$E$9:$E$258,'Supporting Calendar'!AD21))</f>
        <v/>
      </c>
      <c r="H24" s="261" t="str">
        <f ca="1">IF(ISERROR('Supporting Calendar'!AD21),"",INDEX('Todo-Holiday-Event'!$D$9:$D$258,'Supporting Calendar'!AD21))</f>
        <v/>
      </c>
      <c r="I24" s="260" t="str">
        <f ca="1">IF(ISERROR('Supporting Calendar'!AE21),"",INDEX('Todo-Holiday-Event'!$E$9:$E$258,'Supporting Calendar'!AE21))</f>
        <v/>
      </c>
      <c r="J24" s="261" t="str">
        <f ca="1">IF(ISERROR('Supporting Calendar'!AE21),"",INDEX('Todo-Holiday-Event'!$D$9:$D$258,'Supporting Calendar'!AE21))</f>
        <v/>
      </c>
      <c r="K24" s="260" t="str">
        <f ca="1">IF(ISERROR('Supporting Calendar'!AF21),"",INDEX('Todo-Holiday-Event'!$E$9:$E$258,'Supporting Calendar'!AF21))</f>
        <v/>
      </c>
      <c r="L24" s="261" t="str">
        <f ca="1">IF(ISERROR('Supporting Calendar'!AF21),"",INDEX('Todo-Holiday-Event'!$D$9:$D$258,'Supporting Calendar'!AF21))</f>
        <v/>
      </c>
      <c r="M24" s="260" t="str">
        <f ca="1">IF(ISERROR('Supporting Calendar'!AG21),"",INDEX('Todo-Holiday-Event'!$E$9:$E$258,'Supporting Calendar'!AG21))</f>
        <v/>
      </c>
      <c r="N24" s="261" t="str">
        <f ca="1">IF(ISERROR('Supporting Calendar'!AG21),"",INDEX('Todo-Holiday-Event'!$D$9:$D$258,'Supporting Calendar'!AG21))</f>
        <v/>
      </c>
      <c r="O24" s="260" t="str">
        <f ca="1">IF(ISERROR('Supporting Calendar'!AH21),"",INDEX('Todo-Holiday-Event'!$E$9:$E$258,'Supporting Calendar'!AH21))</f>
        <v/>
      </c>
      <c r="P24" s="261" t="str">
        <f ca="1">IF(ISERROR('Supporting Calendar'!AH21),"",INDEX('Todo-Holiday-Event'!$D$9:$D$258,'Supporting Calendar'!AH21))</f>
        <v/>
      </c>
      <c r="X24" s="77"/>
    </row>
    <row r="25" spans="1:34" s="76" customFormat="1" ht="15" customHeight="1" x14ac:dyDescent="0.25">
      <c r="A25" s="159"/>
      <c r="C25" s="262" t="str">
        <f ca="1">IF(ISERROR('Supporting Calendar'!AB22),"",INDEX('Todo-Holiday-Event'!$E$9:$E$258,'Supporting Calendar'!AB22))</f>
        <v/>
      </c>
      <c r="D25" s="263" t="str">
        <f ca="1">IF(ISERROR('Supporting Calendar'!AB22),"",INDEX('Todo-Holiday-Event'!$D$9:$D$258,'Supporting Calendar'!AB22))</f>
        <v/>
      </c>
      <c r="E25" s="262" t="str">
        <f ca="1">IF(ISERROR('Supporting Calendar'!AC22),"",INDEX('Todo-Holiday-Event'!$E$9:$E$258,'Supporting Calendar'!AC22))</f>
        <v/>
      </c>
      <c r="F25" s="263" t="str">
        <f ca="1">IF(ISERROR('Supporting Calendar'!AC22),"",INDEX('Todo-Holiday-Event'!$D$9:$D$258,'Supporting Calendar'!AC22))</f>
        <v/>
      </c>
      <c r="G25" s="262" t="str">
        <f ca="1">IF(ISERROR('Supporting Calendar'!AD22),"",INDEX('Todo-Holiday-Event'!$E$9:$E$258,'Supporting Calendar'!AD22))</f>
        <v/>
      </c>
      <c r="H25" s="263" t="str">
        <f ca="1">IF(ISERROR('Supporting Calendar'!AD22),"",INDEX('Todo-Holiday-Event'!$D$9:$D$258,'Supporting Calendar'!AD22))</f>
        <v/>
      </c>
      <c r="I25" s="262" t="str">
        <f ca="1">IF(ISERROR('Supporting Calendar'!AE22),"",INDEX('Todo-Holiday-Event'!$E$9:$E$258,'Supporting Calendar'!AE22))</f>
        <v/>
      </c>
      <c r="J25" s="263" t="str">
        <f ca="1">IF(ISERROR('Supporting Calendar'!AE22),"",INDEX('Todo-Holiday-Event'!$D$9:$D$258,'Supporting Calendar'!AE22))</f>
        <v/>
      </c>
      <c r="K25" s="262" t="str">
        <f ca="1">IF(ISERROR('Supporting Calendar'!AF22),"",INDEX('Todo-Holiday-Event'!$E$9:$E$258,'Supporting Calendar'!AF22))</f>
        <v/>
      </c>
      <c r="L25" s="263" t="str">
        <f ca="1">IF(ISERROR('Supporting Calendar'!AF22),"",INDEX('Todo-Holiday-Event'!$D$9:$D$258,'Supporting Calendar'!AF22))</f>
        <v/>
      </c>
      <c r="M25" s="262" t="str">
        <f ca="1">IF(ISERROR('Supporting Calendar'!AG22),"",INDEX('Todo-Holiday-Event'!$E$9:$E$258,'Supporting Calendar'!AG22))</f>
        <v/>
      </c>
      <c r="N25" s="263" t="str">
        <f ca="1">IF(ISERROR('Supporting Calendar'!AG22),"",INDEX('Todo-Holiday-Event'!$D$9:$D$258,'Supporting Calendar'!AG22))</f>
        <v/>
      </c>
      <c r="O25" s="262" t="str">
        <f ca="1">IF(ISERROR('Supporting Calendar'!AH22),"",INDEX('Todo-Holiday-Event'!$E$9:$E$258,'Supporting Calendar'!AH22))</f>
        <v/>
      </c>
      <c r="P25" s="263" t="str">
        <f ca="1">IF(ISERROR('Supporting Calendar'!AH22),"",INDEX('Todo-Holiday-Event'!$D$9:$D$258,'Supporting Calendar'!AH22))</f>
        <v/>
      </c>
      <c r="X25" s="77"/>
    </row>
    <row r="26" spans="1:34" s="13" customFormat="1" ht="15" customHeight="1" x14ac:dyDescent="0.25">
      <c r="A26" s="159"/>
      <c r="C26" s="196" t="str">
        <f>IF(D26&lt;&gt;"",IF(ISNA(VLOOKUP(DATE($N$31,$P$31,D26),'Todo-Holiday-Event'!$L$9:$M$28,2,FALSE)),IF(ISNA(VLOOKUP(DATE($N$31,$P$31,D26),'Todo-Holiday-Event'!$H$9:$I$28,2,FALSE)),"",VLOOKUP(DATE($N$31,$P$31,D26),'Todo-Holiday-Event'!$H$9:$I$28,2,FALSE)),VLOOKUP(DATE($N$31,$P$31,D26),'Todo-Holiday-Event'!$L$9:$M$28,2,FALSE)),"")</f>
        <v/>
      </c>
      <c r="D26" s="197">
        <f>IF(P21&lt;&gt;"",IF(DAY(EOMONTH(DATE($N$31,$P$31,1),0))=P21,"",P21+1),"")</f>
        <v>25</v>
      </c>
      <c r="E26" s="196" t="str">
        <f>IF(F26&lt;&gt;"",IF(ISNA(VLOOKUP(DATE($N$31,$P$31,F26),'Todo-Holiday-Event'!$L$9:$M$28,2,FALSE)),IF(ISNA(VLOOKUP(DATE($N$31,$P$31,F26),'Todo-Holiday-Event'!$H$9:$I$28,2,FALSE)),"",VLOOKUP(DATE($N$31,$P$31,F26),'Todo-Holiday-Event'!$H$9:$I$28,2,FALSE)),VLOOKUP(DATE($N$31,$P$31,F26),'Todo-Holiday-Event'!$L$9:$M$28,2,FALSE)),"")</f>
        <v/>
      </c>
      <c r="F26" s="197">
        <f>IF(D26&lt;&gt;"",IF(DAY(EOMONTH(DATE($N$31,$P$31,1),0))=D26,"",D26+1),"")</f>
        <v>26</v>
      </c>
      <c r="G26" s="196" t="str">
        <f>IF(H26&lt;&gt;"",IF(ISNA(VLOOKUP(DATE($N$31,$P$31,H26),'Todo-Holiday-Event'!$L$9:$M$28,2,FALSE)),IF(ISNA(VLOOKUP(DATE($N$31,$P$31,H26),'Todo-Holiday-Event'!$H$9:$I$28,2,FALSE)),"",VLOOKUP(DATE($N$31,$P$31,H26),'Todo-Holiday-Event'!$H$9:$I$28,2,FALSE)),VLOOKUP(DATE($N$31,$P$31,H26),'Todo-Holiday-Event'!$L$9:$M$28,2,FALSE)),"")</f>
        <v/>
      </c>
      <c r="H26" s="197">
        <f>IF(F26&lt;&gt;"",IF(DAY(EOMONTH(DATE($N$31,$P$31,1),0))=F26,"",F26+1),"")</f>
        <v>27</v>
      </c>
      <c r="I26" s="196" t="str">
        <f>IF(J26&lt;&gt;"",IF(ISNA(VLOOKUP(DATE($N$31,$P$31,J26),'Todo-Holiday-Event'!$L$9:$M$28,2,FALSE)),IF(ISNA(VLOOKUP(DATE($N$31,$P$31,J26),'Todo-Holiday-Event'!$H$9:$I$28,2,FALSE)),"",VLOOKUP(DATE($N$31,$P$31,J26),'Todo-Holiday-Event'!$H$9:$I$28,2,FALSE)),VLOOKUP(DATE($N$31,$P$31,J26),'Todo-Holiday-Event'!$L$9:$M$28,2,FALSE)),"")</f>
        <v/>
      </c>
      <c r="J26" s="197">
        <f>IF(H26&lt;&gt;"",IF(DAY(EOMONTH(DATE($N$31,$P$31,1),0))=H26,"",H26+1),"")</f>
        <v>28</v>
      </c>
      <c r="K26" s="196" t="str">
        <f>IF(L26&lt;&gt;"",IF(ISNA(VLOOKUP(DATE($N$31,$P$31,L26),'Todo-Holiday-Event'!$L$9:$M$28,2,FALSE)),IF(ISNA(VLOOKUP(DATE($N$31,$P$31,L26),'Todo-Holiday-Event'!$H$9:$I$28,2,FALSE)),"",VLOOKUP(DATE($N$31,$P$31,L26),'Todo-Holiday-Event'!$H$9:$I$28,2,FALSE)),VLOOKUP(DATE($N$31,$P$31,L26),'Todo-Holiday-Event'!$L$9:$M$28,2,FALSE)),"")</f>
        <v/>
      </c>
      <c r="L26" s="197">
        <f>IF(J26&lt;&gt;"",IF(DAY(EOMONTH(DATE($N$31,$P$31,1),0))=J26,"",J26+1),"")</f>
        <v>29</v>
      </c>
      <c r="M26" s="196" t="str">
        <f>IF(N26&lt;&gt;"",IF(ISNA(VLOOKUP(DATE($N$31,$P$31,N26),'Todo-Holiday-Event'!$L$9:$M$28,2,FALSE)),IF(ISNA(VLOOKUP(DATE($N$31,$P$31,N26),'Todo-Holiday-Event'!$H$9:$I$28,2,FALSE)),"",VLOOKUP(DATE($N$31,$P$31,N26),'Todo-Holiday-Event'!$H$9:$I$28,2,FALSE)),VLOOKUP(DATE($N$31,$P$31,N26),'Todo-Holiday-Event'!$L$9:$M$28,2,FALSE)),"")</f>
        <v/>
      </c>
      <c r="N26" s="197">
        <f>IF(L26&lt;&gt;"",IF(DAY(EOMONTH(DATE($N$31,$P$31,1),0))=L26,"",L26+1),"")</f>
        <v>30</v>
      </c>
      <c r="O26" s="196" t="str">
        <f>IF(P26&lt;&gt;"",IF(ISNA(VLOOKUP(DATE($N$31,$P$31,P26),'Todo-Holiday-Event'!$L$9:$M$28,2,FALSE)),IF(ISNA(VLOOKUP(DATE($N$31,$P$31,P26),'Todo-Holiday-Event'!$H$9:$I$28,2,FALSE)),"",VLOOKUP(DATE($N$31,$P$31,P26),'Todo-Holiday-Event'!$H$9:$I$28,2,FALSE)),VLOOKUP(DATE($N$31,$P$31,P26),'Todo-Holiday-Event'!$L$9:$M$28,2,FALSE)),"")</f>
        <v/>
      </c>
      <c r="P26" s="197">
        <f>IF(N26&lt;&gt;"",IF(DAY(EOMONTH(DATE($N$31,$P$31,1),0))=N26,"",N26+1),"")</f>
        <v>31</v>
      </c>
      <c r="X26" s="70"/>
    </row>
    <row r="27" spans="1:34" s="76" customFormat="1" ht="15" customHeight="1" x14ac:dyDescent="0.25">
      <c r="A27" s="159"/>
      <c r="C27" s="260" t="str">
        <f>IF(ISERROR('Supporting Calendar'!AB25),"",INDEX('Todo-Holiday-Event'!$E$9:$E$258,'Supporting Calendar'!AB25))</f>
        <v/>
      </c>
      <c r="D27" s="261" t="str">
        <f>IF(ISERROR('Supporting Calendar'!AB25),"",INDEX('Todo-Holiday-Event'!$D$9:$D$258,'Supporting Calendar'!AB25))</f>
        <v/>
      </c>
      <c r="E27" s="260" t="str">
        <f>IF(ISERROR('Supporting Calendar'!AC25),"",INDEX('Todo-Holiday-Event'!$E$9:$E$258,'Supporting Calendar'!AC25))</f>
        <v/>
      </c>
      <c r="F27" s="261" t="str">
        <f>IF(ISERROR('Supporting Calendar'!AC25),"",INDEX('Todo-Holiday-Event'!$D$9:$D$258,'Supporting Calendar'!AC25))</f>
        <v/>
      </c>
      <c r="G27" s="260" t="str">
        <f>IF(ISERROR('Supporting Calendar'!AD25),"",INDEX('Todo-Holiday-Event'!$E$9:$E$258,'Supporting Calendar'!AD25))</f>
        <v/>
      </c>
      <c r="H27" s="261" t="str">
        <f>IF(ISERROR('Supporting Calendar'!AD25),"",INDEX('Todo-Holiday-Event'!$D$9:$D$258,'Supporting Calendar'!AD25))</f>
        <v/>
      </c>
      <c r="I27" s="260" t="str">
        <f>IF(ISERROR('Supporting Calendar'!AE25),"",INDEX('Todo-Holiday-Event'!$E$9:$E$258,'Supporting Calendar'!AE25))</f>
        <v/>
      </c>
      <c r="J27" s="261" t="str">
        <f>IF(ISERROR('Supporting Calendar'!AE25),"",INDEX('Todo-Holiday-Event'!$D$9:$D$258,'Supporting Calendar'!AE25))</f>
        <v/>
      </c>
      <c r="K27" s="260" t="str">
        <f>IF(ISERROR('Supporting Calendar'!AF25),"",INDEX('Todo-Holiday-Event'!$E$9:$E$258,'Supporting Calendar'!AF25))</f>
        <v/>
      </c>
      <c r="L27" s="261" t="str">
        <f>IF(ISERROR('Supporting Calendar'!AF25),"",INDEX('Todo-Holiday-Event'!$D$9:$D$258,'Supporting Calendar'!AF25))</f>
        <v/>
      </c>
      <c r="M27" s="260" t="str">
        <f>IF(ISERROR('Supporting Calendar'!AG25),"",INDEX('Todo-Holiday-Event'!$E$9:$E$258,'Supporting Calendar'!AG25))</f>
        <v/>
      </c>
      <c r="N27" s="261" t="str">
        <f>IF(ISERROR('Supporting Calendar'!AG25),"",INDEX('Todo-Holiday-Event'!$D$9:$D$258,'Supporting Calendar'!AG25))</f>
        <v/>
      </c>
      <c r="O27" s="260" t="str">
        <f>IF(ISERROR('Supporting Calendar'!AH25),"",INDEX('Todo-Holiday-Event'!$E$9:$E$258,'Supporting Calendar'!AH25))</f>
        <v/>
      </c>
      <c r="P27" s="261" t="str">
        <f>IF(ISERROR('Supporting Calendar'!AH25),"",INDEX('Todo-Holiday-Event'!$D$9:$D$258,'Supporting Calendar'!AH25))</f>
        <v/>
      </c>
      <c r="X27" s="77"/>
    </row>
    <row r="28" spans="1:34" s="76" customFormat="1" ht="15" customHeight="1" x14ac:dyDescent="0.25">
      <c r="A28" s="159"/>
      <c r="C28" s="260" t="str">
        <f ca="1">IF(ISERROR('Supporting Calendar'!AB26),"",INDEX('Todo-Holiday-Event'!$E$9:$E$258,'Supporting Calendar'!AB26))</f>
        <v/>
      </c>
      <c r="D28" s="261" t="str">
        <f ca="1">IF(ISERROR('Supporting Calendar'!AB26),"",INDEX('Todo-Holiday-Event'!$D$9:$D$258,'Supporting Calendar'!AB26))</f>
        <v/>
      </c>
      <c r="E28" s="260" t="str">
        <f ca="1">IF(ISERROR('Supporting Calendar'!AC26),"",INDEX('Todo-Holiday-Event'!$E$9:$E$258,'Supporting Calendar'!AC26))</f>
        <v/>
      </c>
      <c r="F28" s="261" t="str">
        <f ca="1">IF(ISERROR('Supporting Calendar'!AC26),"",INDEX('Todo-Holiday-Event'!$D$9:$D$258,'Supporting Calendar'!AC26))</f>
        <v/>
      </c>
      <c r="G28" s="260" t="str">
        <f ca="1">IF(ISERROR('Supporting Calendar'!AD26),"",INDEX('Todo-Holiday-Event'!$E$9:$E$258,'Supporting Calendar'!AD26))</f>
        <v/>
      </c>
      <c r="H28" s="261" t="str">
        <f ca="1">IF(ISERROR('Supporting Calendar'!AD26),"",INDEX('Todo-Holiday-Event'!$D$9:$D$258,'Supporting Calendar'!AD26))</f>
        <v/>
      </c>
      <c r="I28" s="260" t="str">
        <f ca="1">IF(ISERROR('Supporting Calendar'!AE26),"",INDEX('Todo-Holiday-Event'!$E$9:$E$258,'Supporting Calendar'!AE26))</f>
        <v/>
      </c>
      <c r="J28" s="261" t="str">
        <f ca="1">IF(ISERROR('Supporting Calendar'!AE26),"",INDEX('Todo-Holiday-Event'!$D$9:$D$258,'Supporting Calendar'!AE26))</f>
        <v/>
      </c>
      <c r="K28" s="260" t="str">
        <f ca="1">IF(ISERROR('Supporting Calendar'!AF26),"",INDEX('Todo-Holiday-Event'!$E$9:$E$258,'Supporting Calendar'!AF26))</f>
        <v/>
      </c>
      <c r="L28" s="261" t="str">
        <f ca="1">IF(ISERROR('Supporting Calendar'!AF26),"",INDEX('Todo-Holiday-Event'!$D$9:$D$258,'Supporting Calendar'!AF26))</f>
        <v/>
      </c>
      <c r="M28" s="260" t="str">
        <f ca="1">IF(ISERROR('Supporting Calendar'!AG26),"",INDEX('Todo-Holiday-Event'!$E$9:$E$258,'Supporting Calendar'!AG26))</f>
        <v/>
      </c>
      <c r="N28" s="261" t="str">
        <f ca="1">IF(ISERROR('Supporting Calendar'!AG26),"",INDEX('Todo-Holiday-Event'!$D$9:$D$258,'Supporting Calendar'!AG26))</f>
        <v/>
      </c>
      <c r="O28" s="260" t="str">
        <f ca="1">IF(ISERROR('Supporting Calendar'!AH26),"",INDEX('Todo-Holiday-Event'!$E$9:$E$258,'Supporting Calendar'!AH26))</f>
        <v/>
      </c>
      <c r="P28" s="261" t="str">
        <f ca="1">IF(ISERROR('Supporting Calendar'!AH26),"",INDEX('Todo-Holiday-Event'!$D$9:$D$258,'Supporting Calendar'!AH26))</f>
        <v/>
      </c>
      <c r="X28" s="77"/>
    </row>
    <row r="29" spans="1:34" s="76" customFormat="1" ht="15" customHeight="1" x14ac:dyDescent="0.25">
      <c r="A29" s="159"/>
      <c r="C29" s="260" t="str">
        <f ca="1">IF(ISERROR('Supporting Calendar'!AB27),"",INDEX('Todo-Holiday-Event'!$E$9:$E$258,'Supporting Calendar'!AB27))</f>
        <v/>
      </c>
      <c r="D29" s="261" t="str">
        <f ca="1">IF(ISERROR('Supporting Calendar'!AB27),"",INDEX('Todo-Holiday-Event'!$D$9:$D$258,'Supporting Calendar'!AB27))</f>
        <v/>
      </c>
      <c r="E29" s="260" t="str">
        <f ca="1">IF(ISERROR('Supporting Calendar'!AC27),"",INDEX('Todo-Holiday-Event'!$E$9:$E$258,'Supporting Calendar'!AC27))</f>
        <v/>
      </c>
      <c r="F29" s="261" t="str">
        <f ca="1">IF(ISERROR('Supporting Calendar'!AC27),"",INDEX('Todo-Holiday-Event'!$D$9:$D$258,'Supporting Calendar'!AC27))</f>
        <v/>
      </c>
      <c r="G29" s="260" t="str">
        <f ca="1">IF(ISERROR('Supporting Calendar'!AD27),"",INDEX('Todo-Holiday-Event'!$E$9:$E$258,'Supporting Calendar'!AD27))</f>
        <v/>
      </c>
      <c r="H29" s="261" t="str">
        <f ca="1">IF(ISERROR('Supporting Calendar'!AD27),"",INDEX('Todo-Holiday-Event'!$D$9:$D$258,'Supporting Calendar'!AD27))</f>
        <v/>
      </c>
      <c r="I29" s="260" t="str">
        <f ca="1">IF(ISERROR('Supporting Calendar'!AE27),"",INDEX('Todo-Holiday-Event'!$E$9:$E$258,'Supporting Calendar'!AE27))</f>
        <v/>
      </c>
      <c r="J29" s="261" t="str">
        <f ca="1">IF(ISERROR('Supporting Calendar'!AE27),"",INDEX('Todo-Holiday-Event'!$D$9:$D$258,'Supporting Calendar'!AE27))</f>
        <v/>
      </c>
      <c r="K29" s="260" t="str">
        <f ca="1">IF(ISERROR('Supporting Calendar'!AF27),"",INDEX('Todo-Holiday-Event'!$E$9:$E$258,'Supporting Calendar'!AF27))</f>
        <v/>
      </c>
      <c r="L29" s="261" t="str">
        <f ca="1">IF(ISERROR('Supporting Calendar'!AF27),"",INDEX('Todo-Holiday-Event'!$D$9:$D$258,'Supporting Calendar'!AF27))</f>
        <v/>
      </c>
      <c r="M29" s="260" t="str">
        <f ca="1">IF(ISERROR('Supporting Calendar'!AG27),"",INDEX('Todo-Holiday-Event'!$E$9:$E$258,'Supporting Calendar'!AG27))</f>
        <v/>
      </c>
      <c r="N29" s="261" t="str">
        <f ca="1">IF(ISERROR('Supporting Calendar'!AG27),"",INDEX('Todo-Holiday-Event'!$D$9:$D$258,'Supporting Calendar'!AG27))</f>
        <v/>
      </c>
      <c r="O29" s="260" t="str">
        <f ca="1">IF(ISERROR('Supporting Calendar'!AH27),"",INDEX('Todo-Holiday-Event'!$E$9:$E$258,'Supporting Calendar'!AH27))</f>
        <v/>
      </c>
      <c r="P29" s="261" t="str">
        <f ca="1">IF(ISERROR('Supporting Calendar'!AH27),"",INDEX('Todo-Holiday-Event'!$D$9:$D$258,'Supporting Calendar'!AH27))</f>
        <v/>
      </c>
      <c r="X29" s="77"/>
    </row>
    <row r="30" spans="1:34" s="76" customFormat="1" ht="15" customHeight="1" x14ac:dyDescent="0.25">
      <c r="A30" s="159"/>
      <c r="C30" s="262" t="str">
        <f ca="1">IF(ISERROR('Supporting Calendar'!AB28),"",INDEX('Todo-Holiday-Event'!$E$9:$E$258,'Supporting Calendar'!AB28))</f>
        <v/>
      </c>
      <c r="D30" s="263" t="str">
        <f ca="1">IF(ISERROR('Supporting Calendar'!AB28),"",INDEX('Todo-Holiday-Event'!$D$9:$D$258,'Supporting Calendar'!AB28))</f>
        <v/>
      </c>
      <c r="E30" s="262" t="str">
        <f ca="1">IF(ISERROR('Supporting Calendar'!AC28),"",INDEX('Todo-Holiday-Event'!$E$9:$E$258,'Supporting Calendar'!AC28))</f>
        <v/>
      </c>
      <c r="F30" s="263" t="str">
        <f ca="1">IF(ISERROR('Supporting Calendar'!AC28),"",INDEX('Todo-Holiday-Event'!$D$9:$D$258,'Supporting Calendar'!AC28))</f>
        <v/>
      </c>
      <c r="G30" s="262" t="str">
        <f ca="1">IF(ISERROR('Supporting Calendar'!AD28),"",INDEX('Todo-Holiday-Event'!$E$9:$E$258,'Supporting Calendar'!AD28))</f>
        <v/>
      </c>
      <c r="H30" s="263" t="str">
        <f ca="1">IF(ISERROR('Supporting Calendar'!AD28),"",INDEX('Todo-Holiday-Event'!$D$9:$D$258,'Supporting Calendar'!AD28))</f>
        <v/>
      </c>
      <c r="I30" s="262" t="str">
        <f ca="1">IF(ISERROR('Supporting Calendar'!AE28),"",INDEX('Todo-Holiday-Event'!$E$9:$E$258,'Supporting Calendar'!AE28))</f>
        <v/>
      </c>
      <c r="J30" s="263" t="str">
        <f ca="1">IF(ISERROR('Supporting Calendar'!AE28),"",INDEX('Todo-Holiday-Event'!$D$9:$D$258,'Supporting Calendar'!AE28))</f>
        <v/>
      </c>
      <c r="K30" s="262" t="str">
        <f ca="1">IF(ISERROR('Supporting Calendar'!AF28),"",INDEX('Todo-Holiday-Event'!$E$9:$E$258,'Supporting Calendar'!AF28))</f>
        <v/>
      </c>
      <c r="L30" s="263" t="str">
        <f ca="1">IF(ISERROR('Supporting Calendar'!AF28),"",INDEX('Todo-Holiday-Event'!$D$9:$D$258,'Supporting Calendar'!AF28))</f>
        <v/>
      </c>
      <c r="M30" s="262" t="str">
        <f ca="1">IF(ISERROR('Supporting Calendar'!AG28),"",INDEX('Todo-Holiday-Event'!$E$9:$E$258,'Supporting Calendar'!AG28))</f>
        <v/>
      </c>
      <c r="N30" s="263" t="str">
        <f ca="1">IF(ISERROR('Supporting Calendar'!AG28),"",INDEX('Todo-Holiday-Event'!$D$9:$D$258,'Supporting Calendar'!AG28))</f>
        <v/>
      </c>
      <c r="O30" s="262" t="str">
        <f ca="1">IF(ISERROR('Supporting Calendar'!AH28),"",INDEX('Todo-Holiday-Event'!$E$9:$E$258,'Supporting Calendar'!AH28))</f>
        <v/>
      </c>
      <c r="P30" s="263" t="str">
        <f ca="1">IF(ISERROR('Supporting Calendar'!AH28),"",INDEX('Todo-Holiday-Event'!$D$9:$D$258,'Supporting Calendar'!AH28))</f>
        <v/>
      </c>
      <c r="X30" s="77"/>
    </row>
    <row r="31" spans="1:34" s="13" customFormat="1" ht="15" customHeight="1" x14ac:dyDescent="0.25">
      <c r="A31" s="159"/>
      <c r="C31" s="196" t="str">
        <f>IF(D31&lt;&gt;"",IF(ISNA(VLOOKUP(DATE($N$31,$P$31,D31),'Todo-Holiday-Event'!$L$9:$M$28,2,FALSE)),IF(ISNA(VLOOKUP(DATE($N$31,$P$31,D31),'Todo-Holiday-Event'!$H$9:$I$28,2,FALSE)),"",VLOOKUP(DATE($N$31,$P$31,D31),'Todo-Holiday-Event'!$H$9:$I$28,2,FALSE)),VLOOKUP(DATE($N$31,$P$31,D31),'Todo-Holiday-Event'!$L$9:$M$28,2,FALSE)),"")</f>
        <v/>
      </c>
      <c r="D31" s="197" t="str">
        <f>IF(P26&lt;&gt;"",IF(DAY(EOMONTH(DATE($N$31,$P$31,1),0))=P26,"",P26+1),"")</f>
        <v/>
      </c>
      <c r="E31" s="196" t="str">
        <f>IF(F31&lt;&gt;"",IF(ISNA(VLOOKUP(DATE($N$31,$P$31,F31),'Todo-Holiday-Event'!$L$9:$M$28,2,FALSE)),IF(ISNA(VLOOKUP(DATE($N$31,$P$31,F31),'Todo-Holiday-Event'!$H$9:$I$28,2,FALSE)),"",VLOOKUP(DATE($N$31,$P$31,F31),'Todo-Holiday-Event'!$H$9:$I$28,2,FALSE)),VLOOKUP(DATE($N$31,$P$31,F31),'Todo-Holiday-Event'!$L$9:$M$28,2,FALSE)),"")</f>
        <v/>
      </c>
      <c r="F31" s="197" t="str">
        <f>IF(D31&lt;&gt;"",IF(DAY(EOMONTH(DATE($N$31,$P$31,1),0))=D31,"",D31+1),"")</f>
        <v/>
      </c>
      <c r="G31" s="204" t="s">
        <v>25</v>
      </c>
      <c r="H31" s="205"/>
      <c r="I31" s="206"/>
      <c r="J31" s="207"/>
      <c r="K31" s="206"/>
      <c r="L31" s="208"/>
      <c r="M31" s="209"/>
      <c r="N31" s="210">
        <f>IF(P33+P32&gt;24,N33+2,IF(P33+P32&gt;12,N33+1,N33))</f>
        <v>2019</v>
      </c>
      <c r="O31" s="211"/>
      <c r="P31" s="212">
        <f>IF(P33+P32&gt;24,P33+P32-24,IF(P33+P32&gt;12,P33+P32-12,P33+P32))</f>
        <v>8</v>
      </c>
      <c r="X31" s="70"/>
    </row>
    <row r="32" spans="1:34" s="76" customFormat="1" ht="15" customHeight="1" x14ac:dyDescent="0.25">
      <c r="A32" s="159"/>
      <c r="C32" s="260" t="str">
        <f>IF(ISERROR('Supporting Calendar'!AB31),"",INDEX('Todo-Holiday-Event'!$E$9:$E$258,'Supporting Calendar'!AB31))</f>
        <v/>
      </c>
      <c r="D32" s="261" t="str">
        <f>IF(ISERROR('Supporting Calendar'!AB31),"",INDEX('Todo-Holiday-Event'!$D$9:$D$258,'Supporting Calendar'!AB31))</f>
        <v/>
      </c>
      <c r="E32" s="260" t="str">
        <f>IF(ISERROR('Supporting Calendar'!AC31),"",INDEX('Todo-Holiday-Event'!$E$9:$E$258,'Supporting Calendar'!AC31))</f>
        <v/>
      </c>
      <c r="F32" s="261" t="str">
        <f>IF(ISERROR('Supporting Calendar'!AC31),"",INDEX('Todo-Holiday-Event'!$D$9:$D$258,'Supporting Calendar'!AC31))</f>
        <v/>
      </c>
      <c r="G32" s="213"/>
      <c r="H32" s="198"/>
      <c r="I32" s="199"/>
      <c r="J32" s="199"/>
      <c r="K32" s="199"/>
      <c r="L32" s="199"/>
      <c r="M32" s="200"/>
      <c r="N32" s="201"/>
      <c r="O32" s="202"/>
      <c r="P32" s="214">
        <f>'Layout 1'!O32</f>
        <v>6</v>
      </c>
      <c r="X32" s="77"/>
    </row>
    <row r="33" spans="1:32" s="76" customFormat="1" ht="15" customHeight="1" x14ac:dyDescent="0.25">
      <c r="A33" s="159"/>
      <c r="C33" s="260" t="str">
        <f ca="1">IF(ISERROR('Supporting Calendar'!AB32),"",INDEX('Todo-Holiday-Event'!$E$9:$E$258,'Supporting Calendar'!AB32))</f>
        <v/>
      </c>
      <c r="D33" s="261" t="str">
        <f ca="1">IF(ISERROR('Supporting Calendar'!AB32),"",INDEX('Todo-Holiday-Event'!$D$9:$D$258,'Supporting Calendar'!AB32))</f>
        <v/>
      </c>
      <c r="E33" s="260" t="str">
        <f ca="1">IF(ISERROR('Supporting Calendar'!AC32),"",INDEX('Todo-Holiday-Event'!$E$9:$E$258,'Supporting Calendar'!AC32))</f>
        <v/>
      </c>
      <c r="F33" s="261" t="str">
        <f ca="1">IF(ISERROR('Supporting Calendar'!AC32),"",INDEX('Todo-Holiday-Event'!$D$9:$D$258,'Supporting Calendar'!AC32))</f>
        <v/>
      </c>
      <c r="G33" s="213"/>
      <c r="H33" s="198"/>
      <c r="I33" s="199"/>
      <c r="J33" s="199"/>
      <c r="K33" s="199"/>
      <c r="L33" s="199"/>
      <c r="M33" s="200"/>
      <c r="N33" s="203">
        <f>'Todo-Holiday-Event'!E6</f>
        <v>2019</v>
      </c>
      <c r="O33" s="202"/>
      <c r="P33" s="215">
        <f>INDEX(MonthRef,MATCH(StartMonth,Months,0),0)</f>
        <v>2</v>
      </c>
      <c r="X33" s="77"/>
    </row>
    <row r="34" spans="1:32" s="76" customFormat="1" ht="15" customHeight="1" x14ac:dyDescent="0.25">
      <c r="A34" s="159"/>
      <c r="C34" s="260" t="str">
        <f ca="1">IF(ISERROR('Supporting Calendar'!AB33),"",INDEX('Todo-Holiday-Event'!$E$9:$E$258,'Supporting Calendar'!AB33))</f>
        <v/>
      </c>
      <c r="D34" s="261" t="str">
        <f ca="1">IF(ISERROR('Supporting Calendar'!AB33),"",INDEX('Todo-Holiday-Event'!$D$9:$D$258,'Supporting Calendar'!AB33))</f>
        <v/>
      </c>
      <c r="E34" s="260" t="str">
        <f ca="1">IF(ISERROR('Supporting Calendar'!AC33),"",INDEX('Todo-Holiday-Event'!$E$9:$E$258,'Supporting Calendar'!AC33))</f>
        <v/>
      </c>
      <c r="F34" s="261" t="str">
        <f ca="1">IF(ISERROR('Supporting Calendar'!AC33),"",INDEX('Todo-Holiday-Event'!$D$9:$D$258,'Supporting Calendar'!AC33))</f>
        <v/>
      </c>
      <c r="G34" s="213"/>
      <c r="H34" s="198"/>
      <c r="I34" s="199"/>
      <c r="J34" s="199"/>
      <c r="K34" s="199"/>
      <c r="L34" s="199"/>
      <c r="M34" s="200"/>
      <c r="N34" s="201"/>
      <c r="O34" s="202"/>
      <c r="P34" s="216"/>
      <c r="X34" s="77"/>
    </row>
    <row r="35" spans="1:32" s="76" customFormat="1" ht="15" customHeight="1" x14ac:dyDescent="0.25">
      <c r="A35" s="159"/>
      <c r="C35" s="262" t="str">
        <f ca="1">IF(ISERROR('Supporting Calendar'!AB34),"",INDEX('Todo-Holiday-Event'!$E$9:$E$258,'Supporting Calendar'!AB34))</f>
        <v/>
      </c>
      <c r="D35" s="263" t="str">
        <f ca="1">IF(ISERROR('Supporting Calendar'!AB34),"",INDEX('Todo-Holiday-Event'!$D$9:$D$258,'Supporting Calendar'!AB34))</f>
        <v/>
      </c>
      <c r="E35" s="262" t="str">
        <f ca="1">IF(ISERROR('Supporting Calendar'!AC34),"",INDEX('Todo-Holiday-Event'!$E$9:$E$258,'Supporting Calendar'!AC34))</f>
        <v/>
      </c>
      <c r="F35" s="263" t="str">
        <f ca="1">IF(ISERROR('Supporting Calendar'!AC34),"",INDEX('Todo-Holiday-Event'!$D$9:$D$258,'Supporting Calendar'!AC34))</f>
        <v/>
      </c>
      <c r="G35" s="217"/>
      <c r="H35" s="218"/>
      <c r="I35" s="219"/>
      <c r="J35" s="219"/>
      <c r="K35" s="219"/>
      <c r="L35" s="219"/>
      <c r="M35" s="220"/>
      <c r="N35" s="221"/>
      <c r="O35" s="222"/>
      <c r="P35" s="223"/>
      <c r="X35" s="77"/>
    </row>
    <row r="36" spans="1:32" ht="19.5" customHeight="1" x14ac:dyDescent="0.3">
      <c r="A36" s="160"/>
      <c r="C36" s="82" t="s">
        <v>62</v>
      </c>
    </row>
    <row r="37" spans="1:32" s="59" customFormat="1" ht="30" hidden="1" customHeight="1" x14ac:dyDescent="0.3">
      <c r="D37" s="81"/>
      <c r="F37" s="81"/>
      <c r="H37" s="81"/>
      <c r="J37" s="81"/>
      <c r="L37" s="81"/>
      <c r="N37" s="81"/>
      <c r="P37" s="81"/>
      <c r="Q37" s="57"/>
      <c r="R37" s="57"/>
      <c r="S37" s="57"/>
      <c r="T37" s="57"/>
      <c r="U37" s="57"/>
      <c r="V37" s="57"/>
      <c r="W37" s="57"/>
      <c r="X37" s="58"/>
      <c r="Z37" s="60"/>
      <c r="AA37" s="60"/>
      <c r="AB37" s="60"/>
      <c r="AC37" s="60"/>
      <c r="AD37" s="60"/>
      <c r="AE37" s="60"/>
      <c r="AF37" s="60"/>
    </row>
    <row r="38" spans="1:32" s="59" customFormat="1" ht="30" hidden="1" customHeight="1" x14ac:dyDescent="0.3">
      <c r="D38" s="81"/>
      <c r="F38" s="81"/>
      <c r="H38" s="81"/>
      <c r="J38" s="81"/>
      <c r="L38" s="81"/>
      <c r="N38" s="81"/>
      <c r="P38" s="81"/>
      <c r="Q38" s="57"/>
      <c r="R38" s="57"/>
      <c r="S38" s="57"/>
      <c r="T38" s="57"/>
      <c r="U38" s="57"/>
      <c r="V38" s="57"/>
      <c r="W38" s="57"/>
      <c r="X38" s="58"/>
      <c r="Z38" s="60"/>
      <c r="AA38" s="60"/>
      <c r="AB38" s="60"/>
      <c r="AC38" s="60"/>
      <c r="AD38" s="60"/>
      <c r="AE38" s="60"/>
      <c r="AF38" s="60"/>
    </row>
    <row r="39" spans="1:32" s="59" customFormat="1" ht="30" hidden="1" customHeight="1" x14ac:dyDescent="0.3">
      <c r="D39" s="81"/>
      <c r="F39" s="81"/>
      <c r="H39" s="81"/>
      <c r="J39" s="81"/>
      <c r="L39" s="81"/>
      <c r="N39" s="81"/>
      <c r="P39" s="81"/>
      <c r="Q39" s="57"/>
      <c r="R39" s="57"/>
      <c r="S39" s="57"/>
      <c r="T39" s="57"/>
      <c r="U39" s="57"/>
      <c r="V39" s="57"/>
      <c r="W39" s="57"/>
      <c r="X39" s="58"/>
      <c r="Z39" s="60"/>
      <c r="AA39" s="60"/>
      <c r="AB39" s="60"/>
      <c r="AC39" s="60"/>
      <c r="AD39" s="60"/>
      <c r="AE39" s="60"/>
      <c r="AF39" s="60"/>
    </row>
    <row r="40" spans="1:32" s="59" customFormat="1" ht="30" hidden="1" customHeight="1" x14ac:dyDescent="0.3">
      <c r="D40" s="81"/>
      <c r="F40" s="81"/>
      <c r="H40" s="81"/>
      <c r="J40" s="81"/>
      <c r="L40" s="81"/>
      <c r="N40" s="81"/>
      <c r="P40" s="81"/>
      <c r="Q40" s="57"/>
      <c r="R40" s="57"/>
      <c r="S40" s="57"/>
      <c r="T40" s="57"/>
      <c r="U40" s="57"/>
      <c r="V40" s="57"/>
      <c r="W40" s="57"/>
      <c r="X40" s="58"/>
      <c r="Z40" s="60"/>
      <c r="AA40" s="60"/>
      <c r="AB40" s="60"/>
      <c r="AC40" s="60"/>
      <c r="AD40" s="60"/>
      <c r="AE40" s="60"/>
      <c r="AF40" s="60"/>
    </row>
    <row r="41" spans="1:32" s="59" customFormat="1" ht="30" hidden="1" customHeight="1" x14ac:dyDescent="0.3">
      <c r="D41" s="81"/>
      <c r="F41" s="81"/>
      <c r="H41" s="81"/>
      <c r="J41" s="81"/>
      <c r="L41" s="81"/>
      <c r="N41" s="81"/>
      <c r="P41" s="81"/>
      <c r="Q41" s="57"/>
      <c r="R41" s="57"/>
      <c r="S41" s="57"/>
      <c r="T41" s="57"/>
      <c r="U41" s="57"/>
      <c r="V41" s="57"/>
      <c r="W41" s="57"/>
      <c r="X41" s="58"/>
      <c r="Z41" s="60"/>
      <c r="AA41" s="60"/>
      <c r="AB41" s="60"/>
      <c r="AC41" s="60"/>
      <c r="AD41" s="60"/>
      <c r="AE41" s="60"/>
      <c r="AF41" s="60"/>
    </row>
    <row r="42" spans="1:32" s="59" customFormat="1" ht="30" hidden="1" customHeight="1" x14ac:dyDescent="0.3">
      <c r="D42" s="81"/>
      <c r="F42" s="81"/>
      <c r="H42" s="81"/>
      <c r="J42" s="81"/>
      <c r="L42" s="81"/>
      <c r="N42" s="81"/>
      <c r="P42" s="81"/>
      <c r="Q42" s="57"/>
      <c r="R42" s="57"/>
      <c r="S42" s="57"/>
      <c r="T42" s="57"/>
      <c r="U42" s="57"/>
      <c r="V42" s="57"/>
      <c r="W42" s="57"/>
      <c r="X42" s="58"/>
      <c r="Z42" s="60"/>
      <c r="AA42" s="60"/>
      <c r="AB42" s="60"/>
      <c r="AC42" s="60"/>
      <c r="AD42" s="60"/>
      <c r="AE42" s="60"/>
      <c r="AF42" s="60"/>
    </row>
    <row r="43" spans="1:32" s="59" customFormat="1" ht="30" hidden="1" customHeight="1" x14ac:dyDescent="0.3">
      <c r="D43" s="81"/>
      <c r="F43" s="81"/>
      <c r="H43" s="81"/>
      <c r="J43" s="81"/>
      <c r="L43" s="81"/>
      <c r="N43" s="81"/>
      <c r="P43" s="81"/>
      <c r="Q43" s="57"/>
      <c r="R43" s="57"/>
      <c r="S43" s="57"/>
      <c r="T43" s="57"/>
      <c r="U43" s="57"/>
      <c r="V43" s="57"/>
      <c r="W43" s="57"/>
      <c r="X43" s="58"/>
      <c r="Z43" s="60"/>
      <c r="AA43" s="60"/>
      <c r="AB43" s="60"/>
      <c r="AC43" s="60"/>
      <c r="AD43" s="60"/>
      <c r="AE43" s="60"/>
      <c r="AF43" s="60"/>
    </row>
    <row r="44" spans="1:32" s="59" customFormat="1" ht="17.25" hidden="1" customHeight="1" x14ac:dyDescent="0.3">
      <c r="D44" s="81"/>
      <c r="F44" s="81"/>
      <c r="H44" s="81"/>
      <c r="J44" s="81"/>
      <c r="L44" s="81"/>
      <c r="N44" s="81"/>
      <c r="P44" s="81"/>
      <c r="Q44" s="57"/>
      <c r="R44" s="57"/>
      <c r="S44" s="57"/>
      <c r="T44" s="57"/>
      <c r="U44" s="57"/>
      <c r="V44" s="57"/>
      <c r="W44" s="57"/>
      <c r="X44" s="58"/>
      <c r="Z44" s="60"/>
      <c r="AA44" s="60"/>
      <c r="AB44" s="60"/>
      <c r="AC44" s="60"/>
      <c r="AD44" s="60"/>
      <c r="AE44" s="60"/>
      <c r="AF44" s="60"/>
    </row>
    <row r="45" spans="1:32" ht="17.25" hidden="1" customHeight="1" x14ac:dyDescent="0.3"/>
    <row r="46" spans="1:32" ht="17.25" hidden="1" customHeight="1" x14ac:dyDescent="0.3"/>
    <row r="47" spans="1:32" ht="17.25" hidden="1" customHeight="1" x14ac:dyDescent="0.3"/>
    <row r="48" spans="1:32" ht="17.25" hidden="1" customHeight="1" x14ac:dyDescent="0.3"/>
    <row r="49" ht="17.25" hidden="1" customHeight="1" x14ac:dyDescent="0.3"/>
    <row r="50" ht="17.25" hidden="1" customHeight="1" x14ac:dyDescent="0.3"/>
    <row r="51" ht="17.25" hidden="1" customHeight="1" x14ac:dyDescent="0.3"/>
    <row r="52" ht="17.25" hidden="1" customHeight="1" x14ac:dyDescent="0.3"/>
    <row r="53" ht="17.25" hidden="1" customHeight="1" x14ac:dyDescent="0.3"/>
    <row r="54" ht="17.25" hidden="1" customHeight="1" x14ac:dyDescent="0.3"/>
    <row r="55" ht="17.25" hidden="1" customHeight="1" x14ac:dyDescent="0.3"/>
    <row r="56" ht="17.25" hidden="1" customHeight="1" x14ac:dyDescent="0.3"/>
    <row r="57" ht="17.25" hidden="1" customHeight="1" x14ac:dyDescent="0.3"/>
    <row r="58" ht="17.25" hidden="1" customHeight="1" x14ac:dyDescent="0.3"/>
    <row r="59" ht="17.25" hidden="1" customHeight="1" x14ac:dyDescent="0.3"/>
    <row r="60" ht="17.25" hidden="1" customHeight="1" x14ac:dyDescent="0.3"/>
    <row r="61" ht="17.25" hidden="1" customHeight="1" x14ac:dyDescent="0.3"/>
    <row r="62" ht="17.25" hidden="1" customHeight="1" x14ac:dyDescent="0.3"/>
    <row r="63" ht="17.25" hidden="1" customHeight="1" x14ac:dyDescent="0.3"/>
    <row r="64" ht="17.25" hidden="1" customHeight="1" x14ac:dyDescent="0.3"/>
    <row r="65" ht="17.25" hidden="1" customHeight="1" x14ac:dyDescent="0.3"/>
    <row r="66" ht="17.25" hidden="1" customHeight="1" x14ac:dyDescent="0.3"/>
    <row r="67" ht="17.25" hidden="1" customHeight="1" x14ac:dyDescent="0.3"/>
    <row r="68" ht="17.25" hidden="1" customHeight="1" x14ac:dyDescent="0.3"/>
    <row r="69" ht="17.25" hidden="1" customHeight="1" x14ac:dyDescent="0.3"/>
    <row r="70" ht="17.25" hidden="1" customHeight="1" x14ac:dyDescent="0.3"/>
    <row r="71" ht="17.25" hidden="1" customHeight="1" x14ac:dyDescent="0.3"/>
    <row r="72" ht="17.25" hidden="1" customHeight="1" x14ac:dyDescent="0.3"/>
    <row r="73" ht="17.25" hidden="1" customHeight="1" x14ac:dyDescent="0.3"/>
    <row r="74" ht="17.25" hidden="1" customHeight="1" x14ac:dyDescent="0.3"/>
    <row r="75" ht="17.25" hidden="1" customHeight="1" x14ac:dyDescent="0.3"/>
    <row r="76" ht="17.25" hidden="1" customHeight="1" x14ac:dyDescent="0.3"/>
    <row r="77" ht="17.25" hidden="1" customHeight="1" x14ac:dyDescent="0.3"/>
    <row r="78" ht="17.25" hidden="1" customHeight="1" x14ac:dyDescent="0.3"/>
    <row r="79" ht="17.25" hidden="1" customHeight="1" x14ac:dyDescent="0.3"/>
    <row r="80" ht="17.25" hidden="1" customHeight="1" x14ac:dyDescent="0.3"/>
    <row r="81" ht="17.25" hidden="1" customHeight="1" x14ac:dyDescent="0.3"/>
    <row r="82" ht="17.25" hidden="1" customHeight="1" x14ac:dyDescent="0.3"/>
    <row r="83" ht="17.25" hidden="1" customHeight="1" x14ac:dyDescent="0.3"/>
    <row r="84" ht="17.25" hidden="1" customHeight="1" x14ac:dyDescent="0.3"/>
    <row r="85" ht="17.25" hidden="1" customHeight="1" x14ac:dyDescent="0.3"/>
    <row r="86" ht="17.25" hidden="1" customHeight="1" x14ac:dyDescent="0.3"/>
    <row r="87" ht="17.25" hidden="1" customHeight="1" x14ac:dyDescent="0.3"/>
    <row r="88" ht="17.25" hidden="1" customHeight="1" x14ac:dyDescent="0.3"/>
    <row r="89" ht="17.25" hidden="1" customHeight="1" x14ac:dyDescent="0.3"/>
    <row r="90" ht="17.25" hidden="1" customHeight="1" x14ac:dyDescent="0.3"/>
    <row r="91" ht="17.25" hidden="1" customHeight="1" x14ac:dyDescent="0.3"/>
    <row r="92" ht="17.25" hidden="1" customHeight="1" x14ac:dyDescent="0.3"/>
    <row r="93" ht="17.25" hidden="1" customHeight="1" x14ac:dyDescent="0.3"/>
    <row r="94" ht="17.25" hidden="1" customHeight="1" x14ac:dyDescent="0.3"/>
    <row r="95" ht="17.25" hidden="1" customHeight="1" x14ac:dyDescent="0.3"/>
    <row r="96" ht="17.25" hidden="1" customHeight="1" x14ac:dyDescent="0.3"/>
    <row r="97" ht="17.25" hidden="1" customHeight="1" x14ac:dyDescent="0.3"/>
    <row r="98" ht="17.25" hidden="1" customHeight="1" x14ac:dyDescent="0.3"/>
    <row r="99" ht="17.25" hidden="1" customHeight="1" x14ac:dyDescent="0.3"/>
    <row r="100" ht="17.25" hidden="1" customHeight="1" x14ac:dyDescent="0.3"/>
    <row r="101" ht="17.25" hidden="1" customHeight="1" x14ac:dyDescent="0.3"/>
    <row r="102" ht="17.25" hidden="1" customHeight="1" x14ac:dyDescent="0.3"/>
    <row r="103" ht="17.25" hidden="1" customHeight="1" x14ac:dyDescent="0.3"/>
    <row r="104" ht="17.25" hidden="1" customHeight="1" x14ac:dyDescent="0.3"/>
    <row r="105" ht="17.25" hidden="1" customHeight="1" x14ac:dyDescent="0.3"/>
    <row r="106" ht="17.25" hidden="1" customHeight="1" x14ac:dyDescent="0.3"/>
    <row r="107" ht="17.25" hidden="1" customHeight="1" x14ac:dyDescent="0.3"/>
    <row r="108" ht="17.25" hidden="1" customHeight="1" x14ac:dyDescent="0.3"/>
    <row r="109" ht="17.25" hidden="1" customHeight="1" x14ac:dyDescent="0.3"/>
    <row r="110" ht="17.25" hidden="1" customHeight="1" x14ac:dyDescent="0.3"/>
    <row r="111" ht="17.25" hidden="1" customHeight="1" x14ac:dyDescent="0.3"/>
    <row r="112" ht="17.25" hidden="1" customHeight="1" x14ac:dyDescent="0.3"/>
    <row r="113" ht="17.25" hidden="1" customHeight="1" x14ac:dyDescent="0.3"/>
    <row r="114" ht="17.25" hidden="1" customHeight="1" x14ac:dyDescent="0.3"/>
    <row r="115" ht="17.25" hidden="1" customHeight="1" x14ac:dyDescent="0.3"/>
    <row r="116" ht="17.25" hidden="1" customHeight="1" x14ac:dyDescent="0.3"/>
    <row r="117" ht="17.25" hidden="1" customHeight="1" x14ac:dyDescent="0.3"/>
    <row r="118" ht="17.25" hidden="1" customHeight="1" x14ac:dyDescent="0.3"/>
    <row r="119" ht="17.25" hidden="1" customHeight="1" x14ac:dyDescent="0.3"/>
    <row r="120" ht="17.25" hidden="1" customHeight="1" x14ac:dyDescent="0.3"/>
    <row r="121" ht="17.25" hidden="1" customHeight="1" x14ac:dyDescent="0.3"/>
    <row r="122" ht="17.25" hidden="1" customHeight="1" x14ac:dyDescent="0.3"/>
    <row r="123" ht="17.25" hidden="1" customHeight="1" x14ac:dyDescent="0.3"/>
    <row r="124" ht="17.25" hidden="1" customHeight="1" x14ac:dyDescent="0.3"/>
    <row r="125" ht="17.25" hidden="1" customHeight="1" x14ac:dyDescent="0.3"/>
    <row r="126" ht="17.25" hidden="1" customHeight="1" x14ac:dyDescent="0.3"/>
    <row r="127" ht="17.25" hidden="1" customHeight="1" x14ac:dyDescent="0.3"/>
    <row r="128" ht="17.25" hidden="1" customHeight="1" x14ac:dyDescent="0.3"/>
    <row r="129" ht="17.25" hidden="1" customHeight="1" x14ac:dyDescent="0.3"/>
    <row r="130" ht="17.25" hidden="1" customHeight="1" x14ac:dyDescent="0.3"/>
    <row r="131" ht="17.25" hidden="1" customHeight="1" x14ac:dyDescent="0.3"/>
    <row r="132" ht="17.25" hidden="1" customHeight="1" x14ac:dyDescent="0.3"/>
    <row r="133" ht="17.25" hidden="1" customHeight="1" x14ac:dyDescent="0.3"/>
    <row r="134" ht="17.25" hidden="1" customHeight="1" x14ac:dyDescent="0.3"/>
    <row r="135" ht="17.25" hidden="1" customHeight="1" x14ac:dyDescent="0.3"/>
    <row r="136" ht="17.25" hidden="1" customHeight="1" x14ac:dyDescent="0.3"/>
    <row r="137" ht="17.25" hidden="1" customHeight="1" x14ac:dyDescent="0.3"/>
    <row r="138" ht="17.25" hidden="1" customHeight="1" x14ac:dyDescent="0.3"/>
    <row r="139" ht="17.25" hidden="1" customHeight="1" x14ac:dyDescent="0.3"/>
    <row r="140" ht="17.25" hidden="1" customHeight="1" x14ac:dyDescent="0.3"/>
    <row r="141" ht="17.25" hidden="1" customHeight="1" x14ac:dyDescent="0.3"/>
    <row r="142" ht="17.25" hidden="1" customHeight="1" x14ac:dyDescent="0.3"/>
    <row r="143" ht="17.25" hidden="1" customHeight="1" x14ac:dyDescent="0.3"/>
    <row r="144" ht="17.25" hidden="1" customHeight="1" x14ac:dyDescent="0.3"/>
    <row r="145" ht="17.25" hidden="1" customHeight="1" x14ac:dyDescent="0.3"/>
    <row r="146" ht="17.25" hidden="1" customHeight="1" x14ac:dyDescent="0.3"/>
    <row r="147" ht="17.25" hidden="1" customHeight="1" x14ac:dyDescent="0.3"/>
    <row r="148" ht="17.25" hidden="1" customHeight="1" x14ac:dyDescent="0.3"/>
    <row r="149" ht="17.25" hidden="1" customHeight="1" x14ac:dyDescent="0.3"/>
    <row r="150" ht="17.25" hidden="1" customHeight="1" x14ac:dyDescent="0.3"/>
    <row r="151" ht="17.25" hidden="1" customHeight="1" x14ac:dyDescent="0.3"/>
    <row r="152" ht="17.25" hidden="1" customHeight="1" x14ac:dyDescent="0.3"/>
    <row r="153" ht="17.25" hidden="1" customHeight="1" x14ac:dyDescent="0.3"/>
    <row r="154" ht="17.25" hidden="1" customHeight="1" x14ac:dyDescent="0.3"/>
    <row r="155" ht="17.25" hidden="1" customHeight="1" x14ac:dyDescent="0.3"/>
    <row r="156" ht="17.25" hidden="1" customHeight="1" x14ac:dyDescent="0.3"/>
    <row r="157" ht="17.25" hidden="1" customHeight="1" x14ac:dyDescent="0.3"/>
    <row r="158" ht="17.25" hidden="1" customHeight="1" x14ac:dyDescent="0.3"/>
    <row r="159" ht="17.25" hidden="1" customHeight="1" x14ac:dyDescent="0.3"/>
    <row r="160" ht="17.25" hidden="1" customHeight="1" x14ac:dyDescent="0.3"/>
    <row r="161" ht="17.25" hidden="1" customHeight="1" x14ac:dyDescent="0.3"/>
    <row r="162" ht="17.25" hidden="1" customHeight="1" x14ac:dyDescent="0.3"/>
    <row r="163" ht="17.25" hidden="1" customHeight="1" x14ac:dyDescent="0.3"/>
    <row r="164" ht="17.25" hidden="1" customHeight="1" x14ac:dyDescent="0.3"/>
    <row r="165" ht="17.25" hidden="1" customHeight="1" x14ac:dyDescent="0.3"/>
    <row r="166" ht="17.25" hidden="1" customHeight="1" x14ac:dyDescent="0.3"/>
    <row r="167" ht="17.25" hidden="1" customHeight="1" x14ac:dyDescent="0.3"/>
    <row r="168" ht="17.25" hidden="1" customHeight="1" x14ac:dyDescent="0.3"/>
    <row r="169" ht="17.25" hidden="1" customHeight="1" x14ac:dyDescent="0.3"/>
    <row r="170" ht="17.25" hidden="1" customHeight="1" x14ac:dyDescent="0.3"/>
    <row r="171" ht="17.25" hidden="1" customHeight="1" x14ac:dyDescent="0.3"/>
    <row r="172" ht="17.25" hidden="1" customHeight="1" x14ac:dyDescent="0.3"/>
    <row r="173" ht="17.25" hidden="1" customHeight="1" x14ac:dyDescent="0.3"/>
    <row r="174" ht="17.25" hidden="1" customHeight="1" x14ac:dyDescent="0.3"/>
    <row r="175" ht="17.25" hidden="1" customHeight="1" x14ac:dyDescent="0.3"/>
    <row r="176" ht="17.25" hidden="1" customHeight="1" x14ac:dyDescent="0.3"/>
    <row r="177" ht="17.25" hidden="1" customHeight="1" x14ac:dyDescent="0.3"/>
    <row r="178" ht="17.25" hidden="1" customHeight="1" x14ac:dyDescent="0.3"/>
    <row r="179" ht="17.25" hidden="1" customHeight="1" x14ac:dyDescent="0.3"/>
    <row r="180" ht="17.25" hidden="1" customHeight="1" x14ac:dyDescent="0.3"/>
    <row r="181" ht="17.25" hidden="1" customHeight="1" x14ac:dyDescent="0.3"/>
    <row r="182" ht="17.25" hidden="1" customHeight="1" x14ac:dyDescent="0.3"/>
    <row r="183" ht="17.25" hidden="1" customHeight="1" x14ac:dyDescent="0.3"/>
    <row r="184" ht="17.25" hidden="1" customHeight="1" x14ac:dyDescent="0.3"/>
    <row r="185" ht="17.25" hidden="1" customHeight="1" x14ac:dyDescent="0.3"/>
    <row r="186" ht="17.25" hidden="1" customHeight="1" x14ac:dyDescent="0.3"/>
    <row r="187" ht="17.25" hidden="1" customHeight="1" x14ac:dyDescent="0.3"/>
    <row r="188" ht="17.25" hidden="1" customHeight="1" x14ac:dyDescent="0.3"/>
    <row r="189" ht="17.25" hidden="1" customHeight="1" x14ac:dyDescent="0.3"/>
    <row r="190" ht="17.25" hidden="1" customHeight="1" x14ac:dyDescent="0.3"/>
    <row r="191" ht="17.25" hidden="1" customHeight="1" x14ac:dyDescent="0.3"/>
    <row r="192" ht="17.25" hidden="1" customHeight="1" x14ac:dyDescent="0.3"/>
    <row r="193" ht="17.25" hidden="1" customHeight="1" x14ac:dyDescent="0.3"/>
    <row r="194" ht="17.25" hidden="1" customHeight="1" x14ac:dyDescent="0.3"/>
    <row r="195" ht="17.25" hidden="1" customHeight="1" x14ac:dyDescent="0.3"/>
    <row r="196" ht="17.25" hidden="1" customHeight="1" x14ac:dyDescent="0.3"/>
    <row r="197" ht="17.25" hidden="1" customHeight="1" x14ac:dyDescent="0.3"/>
    <row r="198" ht="17.25" hidden="1" customHeight="1" x14ac:dyDescent="0.3"/>
    <row r="199" ht="17.25" hidden="1" customHeight="1" x14ac:dyDescent="0.3"/>
    <row r="200" ht="17.25" hidden="1" customHeight="1" x14ac:dyDescent="0.3"/>
    <row r="201" ht="17.25" hidden="1" customHeight="1" x14ac:dyDescent="0.3"/>
    <row r="202" ht="17.25" hidden="1" customHeight="1" x14ac:dyDescent="0.3"/>
    <row r="203" ht="17.25" hidden="1" customHeight="1" x14ac:dyDescent="0.3"/>
    <row r="204" ht="17.25" hidden="1" customHeight="1" x14ac:dyDescent="0.3"/>
    <row r="205" ht="17.25" hidden="1" customHeight="1" x14ac:dyDescent="0.3"/>
    <row r="206" ht="17.25" hidden="1" customHeight="1" x14ac:dyDescent="0.3"/>
    <row r="207" ht="17.25" hidden="1" customHeight="1" x14ac:dyDescent="0.3"/>
    <row r="208" ht="17.25" hidden="1" customHeight="1" x14ac:dyDescent="0.3"/>
    <row r="209" ht="17.25" hidden="1" customHeight="1" x14ac:dyDescent="0.3"/>
    <row r="210" ht="17.25" hidden="1" customHeight="1" x14ac:dyDescent="0.3"/>
    <row r="211" ht="17.25" hidden="1" customHeight="1" x14ac:dyDescent="0.3"/>
    <row r="212" ht="17.25" hidden="1" customHeight="1" x14ac:dyDescent="0.3"/>
    <row r="213" ht="17.25" hidden="1" customHeight="1" x14ac:dyDescent="0.3"/>
    <row r="214" ht="17.25" hidden="1" customHeight="1" x14ac:dyDescent="0.3"/>
    <row r="215" ht="17.25" hidden="1" customHeight="1" x14ac:dyDescent="0.3"/>
    <row r="216" ht="17.25" hidden="1" customHeight="1" x14ac:dyDescent="0.3"/>
    <row r="217" ht="17.25" hidden="1" customHeight="1" x14ac:dyDescent="0.3"/>
    <row r="218" ht="17.25" hidden="1" customHeight="1" x14ac:dyDescent="0.3"/>
    <row r="219" ht="17.25" hidden="1" customHeight="1" x14ac:dyDescent="0.3"/>
    <row r="220" ht="17.25" hidden="1" customHeight="1" x14ac:dyDescent="0.3"/>
    <row r="221" ht="17.25" hidden="1" customHeight="1" x14ac:dyDescent="0.3"/>
    <row r="222" ht="17.25" hidden="1" customHeight="1" x14ac:dyDescent="0.3"/>
    <row r="223" ht="17.25" hidden="1" customHeight="1" x14ac:dyDescent="0.3"/>
    <row r="224" ht="17.25" hidden="1" customHeight="1" x14ac:dyDescent="0.3"/>
    <row r="225" ht="17.25" hidden="1" customHeight="1" x14ac:dyDescent="0.3"/>
    <row r="226" ht="17.25" hidden="1" customHeight="1" x14ac:dyDescent="0.3"/>
    <row r="227" ht="17.25" hidden="1" customHeight="1" x14ac:dyDescent="0.3"/>
    <row r="228" ht="17.25" hidden="1" customHeight="1" x14ac:dyDescent="0.3"/>
    <row r="229" ht="17.25" hidden="1" customHeight="1" x14ac:dyDescent="0.3"/>
    <row r="230" ht="17.25" hidden="1" customHeight="1" x14ac:dyDescent="0.3"/>
    <row r="231" ht="17.25" hidden="1" customHeight="1" x14ac:dyDescent="0.3"/>
    <row r="232" ht="17.25" hidden="1" customHeight="1" x14ac:dyDescent="0.3"/>
    <row r="233" ht="17.25" hidden="1" customHeight="1" x14ac:dyDescent="0.3"/>
    <row r="234" ht="17.25" hidden="1" customHeight="1" x14ac:dyDescent="0.3"/>
    <row r="235" ht="17.25" hidden="1" customHeight="1" x14ac:dyDescent="0.3"/>
    <row r="236" ht="17.25" hidden="1" customHeight="1" x14ac:dyDescent="0.3"/>
    <row r="237" ht="17.25" hidden="1" customHeight="1" x14ac:dyDescent="0.3"/>
    <row r="238" ht="17.25" hidden="1" customHeight="1" x14ac:dyDescent="0.3"/>
    <row r="239" ht="17.25" hidden="1" customHeight="1" x14ac:dyDescent="0.3"/>
    <row r="240" ht="17.25" hidden="1" customHeight="1" x14ac:dyDescent="0.3"/>
    <row r="241" ht="17.25" hidden="1" customHeight="1" x14ac:dyDescent="0.3"/>
    <row r="242" ht="17.25" hidden="1" customHeight="1" x14ac:dyDescent="0.3"/>
    <row r="243" ht="17.25" hidden="1" customHeight="1" x14ac:dyDescent="0.3"/>
    <row r="244" ht="17.25" hidden="1" customHeight="1" x14ac:dyDescent="0.3"/>
    <row r="245" ht="17.25" hidden="1" customHeight="1" x14ac:dyDescent="0.3"/>
    <row r="246" ht="17.25" hidden="1" customHeight="1" x14ac:dyDescent="0.3"/>
    <row r="247" ht="17.25" hidden="1" customHeight="1" x14ac:dyDescent="0.3"/>
    <row r="248" ht="17.25" hidden="1" customHeight="1" x14ac:dyDescent="0.3"/>
    <row r="249" ht="17.25" hidden="1" customHeight="1" x14ac:dyDescent="0.3"/>
    <row r="250" ht="17.25" hidden="1" customHeight="1" x14ac:dyDescent="0.3"/>
    <row r="251" ht="17.25" hidden="1" customHeight="1" x14ac:dyDescent="0.3"/>
    <row r="252" ht="17.25" hidden="1" customHeight="1" x14ac:dyDescent="0.3"/>
    <row r="253" ht="17.25" hidden="1" customHeight="1" x14ac:dyDescent="0.3"/>
    <row r="254" ht="17.25" hidden="1" customHeight="1" x14ac:dyDescent="0.3"/>
    <row r="255" ht="17.25" hidden="1" customHeight="1" x14ac:dyDescent="0.3"/>
    <row r="256" ht="17.25" hidden="1" customHeight="1" x14ac:dyDescent="0.3"/>
    <row r="257" ht="17.25" hidden="1" customHeight="1" x14ac:dyDescent="0.3"/>
    <row r="258" ht="17.25" hidden="1" customHeight="1" x14ac:dyDescent="0.3"/>
    <row r="259" ht="17.25" hidden="1" customHeight="1" x14ac:dyDescent="0.3"/>
    <row r="260" ht="17.25" hidden="1" customHeight="1" x14ac:dyDescent="0.3"/>
    <row r="261" ht="17.25" hidden="1" customHeight="1" x14ac:dyDescent="0.3"/>
    <row r="262" ht="17.25" hidden="1" customHeight="1" x14ac:dyDescent="0.3"/>
    <row r="263" ht="17.25" hidden="1" customHeight="1" x14ac:dyDescent="0.3"/>
    <row r="264" ht="17.25" hidden="1" customHeight="1" x14ac:dyDescent="0.3"/>
    <row r="265" ht="17.25" hidden="1" customHeight="1" x14ac:dyDescent="0.3"/>
    <row r="266" ht="17.25" hidden="1" customHeight="1" x14ac:dyDescent="0.3"/>
    <row r="267" ht="17.25" hidden="1" customHeight="1" x14ac:dyDescent="0.3"/>
    <row r="268" ht="17.25" hidden="1" customHeight="1" x14ac:dyDescent="0.3"/>
    <row r="269" ht="17.25" hidden="1" customHeight="1" x14ac:dyDescent="0.3"/>
    <row r="270" ht="17.25" hidden="1" customHeight="1" x14ac:dyDescent="0.3"/>
    <row r="271" ht="17.25" hidden="1" customHeight="1" x14ac:dyDescent="0.3"/>
    <row r="272" ht="17.25" hidden="1" customHeight="1" x14ac:dyDescent="0.3"/>
    <row r="273" ht="17.25" hidden="1" customHeight="1" x14ac:dyDescent="0.3"/>
    <row r="274" ht="17.25" hidden="1" customHeight="1" x14ac:dyDescent="0.3"/>
    <row r="275" ht="17.25" hidden="1" customHeight="1" x14ac:dyDescent="0.3"/>
    <row r="276" ht="17.25" hidden="1" customHeight="1" x14ac:dyDescent="0.3"/>
    <row r="277" ht="17.25" hidden="1" customHeight="1" x14ac:dyDescent="0.3"/>
    <row r="278" ht="17.25" hidden="1" customHeight="1" x14ac:dyDescent="0.3"/>
    <row r="279" ht="17.25" hidden="1" customHeight="1" x14ac:dyDescent="0.3"/>
    <row r="280" ht="17.25" hidden="1" customHeight="1" x14ac:dyDescent="0.3"/>
    <row r="281" ht="17.25" hidden="1" customHeight="1" x14ac:dyDescent="0.3"/>
    <row r="282" ht="17.25" hidden="1" customHeight="1" x14ac:dyDescent="0.3"/>
    <row r="283" ht="17.25" hidden="1" customHeight="1" x14ac:dyDescent="0.3"/>
    <row r="284" ht="17.25" hidden="1" customHeight="1" x14ac:dyDescent="0.3"/>
    <row r="285" ht="17.25" hidden="1" customHeight="1" x14ac:dyDescent="0.3"/>
    <row r="286" ht="17.25" hidden="1" customHeight="1" x14ac:dyDescent="0.3"/>
    <row r="287" ht="17.25" hidden="1" customHeight="1" x14ac:dyDescent="0.3"/>
    <row r="288" ht="17.25" hidden="1" customHeight="1" x14ac:dyDescent="0.3"/>
    <row r="289" ht="17.25" hidden="1" customHeight="1" x14ac:dyDescent="0.3"/>
    <row r="290" ht="17.25" hidden="1" customHeight="1" x14ac:dyDescent="0.3"/>
    <row r="291" ht="17.25" hidden="1" customHeight="1" x14ac:dyDescent="0.3"/>
    <row r="292" ht="17.25" hidden="1" customHeight="1" x14ac:dyDescent="0.3"/>
    <row r="293" ht="17.25" hidden="1" customHeight="1" x14ac:dyDescent="0.3"/>
    <row r="294" ht="17.25" hidden="1" customHeight="1" x14ac:dyDescent="0.3"/>
    <row r="295" ht="17.25" hidden="1" customHeight="1" x14ac:dyDescent="0.3"/>
    <row r="296" ht="17.25" hidden="1" customHeight="1" x14ac:dyDescent="0.3"/>
    <row r="297" ht="17.25" hidden="1" customHeight="1" x14ac:dyDescent="0.3"/>
    <row r="298" ht="17.25" hidden="1" customHeight="1" x14ac:dyDescent="0.3"/>
    <row r="299" ht="17.25" hidden="1" customHeight="1" x14ac:dyDescent="0.3"/>
    <row r="300" ht="17.25" hidden="1" customHeight="1" x14ac:dyDescent="0.3"/>
    <row r="301" ht="17.25" hidden="1" customHeight="1" x14ac:dyDescent="0.3"/>
    <row r="302" ht="17.25" hidden="1" customHeight="1" x14ac:dyDescent="0.3"/>
    <row r="303" ht="17.25" hidden="1" customHeight="1" x14ac:dyDescent="0.3"/>
    <row r="304" ht="17.25" hidden="1" customHeight="1" x14ac:dyDescent="0.3"/>
    <row r="305" ht="17.25" hidden="1" customHeight="1" x14ac:dyDescent="0.3"/>
    <row r="306" ht="15.6" hidden="1" x14ac:dyDescent="0.3"/>
    <row r="307" ht="15.6" hidden="1" x14ac:dyDescent="0.3"/>
    <row r="308" ht="15.6" hidden="1" x14ac:dyDescent="0.3"/>
    <row r="309" ht="15.6" hidden="1" x14ac:dyDescent="0.3"/>
    <row r="310" ht="15.6" hidden="1" x14ac:dyDescent="0.3"/>
    <row r="311" ht="15.6" hidden="1" x14ac:dyDescent="0.3"/>
    <row r="312" ht="15.6" hidden="1" x14ac:dyDescent="0.3"/>
    <row r="313" ht="15.6" hidden="1" x14ac:dyDescent="0.3"/>
    <row r="314" ht="15.6" hidden="1" x14ac:dyDescent="0.3"/>
    <row r="315" ht="15.6" hidden="1" x14ac:dyDescent="0.3"/>
    <row r="316" ht="15.6" hidden="1" x14ac:dyDescent="0.3"/>
    <row r="317" ht="15.6" hidden="1" x14ac:dyDescent="0.3"/>
  </sheetData>
  <sheetProtection formatCells="0" formatColumns="0" formatRows="0"/>
  <mergeCells count="156">
    <mergeCell ref="C35:D35"/>
    <mergeCell ref="E35:F35"/>
    <mergeCell ref="C32:D32"/>
    <mergeCell ref="E32:F32"/>
    <mergeCell ref="C33:D33"/>
    <mergeCell ref="E33:F33"/>
    <mergeCell ref="C34:D34"/>
    <mergeCell ref="E34:F34"/>
    <mergeCell ref="O29:P29"/>
    <mergeCell ref="C30:D30"/>
    <mergeCell ref="E30:F30"/>
    <mergeCell ref="G30:H30"/>
    <mergeCell ref="I30:J30"/>
    <mergeCell ref="K30:L30"/>
    <mergeCell ref="M30:N30"/>
    <mergeCell ref="O30:P30"/>
    <mergeCell ref="C29:D29"/>
    <mergeCell ref="E29:F29"/>
    <mergeCell ref="G29:H29"/>
    <mergeCell ref="I29:J29"/>
    <mergeCell ref="K29:L29"/>
    <mergeCell ref="M29:N29"/>
    <mergeCell ref="O27:P27"/>
    <mergeCell ref="C28:D28"/>
    <mergeCell ref="E28:F28"/>
    <mergeCell ref="G28:H28"/>
    <mergeCell ref="I28:J28"/>
    <mergeCell ref="K28:L28"/>
    <mergeCell ref="M28:N28"/>
    <mergeCell ref="O28:P28"/>
    <mergeCell ref="C27:D27"/>
    <mergeCell ref="E27:F27"/>
    <mergeCell ref="G27:H27"/>
    <mergeCell ref="I27:J27"/>
    <mergeCell ref="K27:L27"/>
    <mergeCell ref="M27:N27"/>
    <mergeCell ref="O24:P24"/>
    <mergeCell ref="C25:D25"/>
    <mergeCell ref="E25:F25"/>
    <mergeCell ref="G25:H25"/>
    <mergeCell ref="I25:J25"/>
    <mergeCell ref="K25:L25"/>
    <mergeCell ref="M25:N25"/>
    <mergeCell ref="O25:P25"/>
    <mergeCell ref="C24:D24"/>
    <mergeCell ref="E24:F24"/>
    <mergeCell ref="G24:H24"/>
    <mergeCell ref="I24:J24"/>
    <mergeCell ref="K24:L24"/>
    <mergeCell ref="M24:N24"/>
    <mergeCell ref="O22:P22"/>
    <mergeCell ref="C23:D23"/>
    <mergeCell ref="E23:F23"/>
    <mergeCell ref="G23:H23"/>
    <mergeCell ref="I23:J23"/>
    <mergeCell ref="K23:L23"/>
    <mergeCell ref="M23:N23"/>
    <mergeCell ref="O23:P23"/>
    <mergeCell ref="C22:D22"/>
    <mergeCell ref="E22:F22"/>
    <mergeCell ref="G22:H22"/>
    <mergeCell ref="I22:J22"/>
    <mergeCell ref="K22:L22"/>
    <mergeCell ref="M22:N22"/>
    <mergeCell ref="O19:P19"/>
    <mergeCell ref="C20:D20"/>
    <mergeCell ref="E20:F20"/>
    <mergeCell ref="G20:H20"/>
    <mergeCell ref="I20:J20"/>
    <mergeCell ref="K20:L20"/>
    <mergeCell ref="M20:N20"/>
    <mergeCell ref="O20:P20"/>
    <mergeCell ref="C19:D19"/>
    <mergeCell ref="E19:F19"/>
    <mergeCell ref="G19:H19"/>
    <mergeCell ref="I19:J19"/>
    <mergeCell ref="K19:L19"/>
    <mergeCell ref="M19:N19"/>
    <mergeCell ref="O17:P17"/>
    <mergeCell ref="C18:D18"/>
    <mergeCell ref="E18:F18"/>
    <mergeCell ref="G18:H18"/>
    <mergeCell ref="I18:J18"/>
    <mergeCell ref="K18:L18"/>
    <mergeCell ref="M18:N18"/>
    <mergeCell ref="O18:P18"/>
    <mergeCell ref="C17:D17"/>
    <mergeCell ref="E17:F17"/>
    <mergeCell ref="G17:H17"/>
    <mergeCell ref="I17:J17"/>
    <mergeCell ref="K17:L17"/>
    <mergeCell ref="M17:N17"/>
    <mergeCell ref="O14:P14"/>
    <mergeCell ref="C15:D15"/>
    <mergeCell ref="E15:F15"/>
    <mergeCell ref="G15:H15"/>
    <mergeCell ref="I15:J15"/>
    <mergeCell ref="K15:L15"/>
    <mergeCell ref="M15:N15"/>
    <mergeCell ref="O15:P15"/>
    <mergeCell ref="C14:D14"/>
    <mergeCell ref="E14:F14"/>
    <mergeCell ref="G14:H14"/>
    <mergeCell ref="I14:J14"/>
    <mergeCell ref="K14:L14"/>
    <mergeCell ref="M14:N14"/>
    <mergeCell ref="O12:P12"/>
    <mergeCell ref="C13:D13"/>
    <mergeCell ref="E13:F13"/>
    <mergeCell ref="G13:H13"/>
    <mergeCell ref="I13:J13"/>
    <mergeCell ref="K13:L13"/>
    <mergeCell ref="M13:N13"/>
    <mergeCell ref="O13:P13"/>
    <mergeCell ref="C12:D12"/>
    <mergeCell ref="E12:F12"/>
    <mergeCell ref="G12:H12"/>
    <mergeCell ref="I12:J12"/>
    <mergeCell ref="K12:L12"/>
    <mergeCell ref="M12:N12"/>
    <mergeCell ref="M8:N8"/>
    <mergeCell ref="O8:P8"/>
    <mergeCell ref="I9:J9"/>
    <mergeCell ref="K9:L9"/>
    <mergeCell ref="M9:N9"/>
    <mergeCell ref="O9:P9"/>
    <mergeCell ref="E10:F10"/>
    <mergeCell ref="G10:H10"/>
    <mergeCell ref="I10:J10"/>
    <mergeCell ref="K10:L10"/>
    <mergeCell ref="M10:N10"/>
    <mergeCell ref="O10:P10"/>
    <mergeCell ref="C7:D7"/>
    <mergeCell ref="C8:D8"/>
    <mergeCell ref="C9:D9"/>
    <mergeCell ref="C10:D10"/>
    <mergeCell ref="E7:F7"/>
    <mergeCell ref="G7:H7"/>
    <mergeCell ref="E9:F9"/>
    <mergeCell ref="G9:H9"/>
    <mergeCell ref="A2:P3"/>
    <mergeCell ref="C5:D5"/>
    <mergeCell ref="E5:F5"/>
    <mergeCell ref="G5:H5"/>
    <mergeCell ref="I5:J5"/>
    <mergeCell ref="K5:L5"/>
    <mergeCell ref="M5:N5"/>
    <mergeCell ref="O5:P5"/>
    <mergeCell ref="I7:J7"/>
    <mergeCell ref="K7:L7"/>
    <mergeCell ref="M7:N7"/>
    <mergeCell ref="O7:P7"/>
    <mergeCell ref="E8:F8"/>
    <mergeCell ref="G8:H8"/>
    <mergeCell ref="I8:J8"/>
    <mergeCell ref="K8:L8"/>
  </mergeCells>
  <conditionalFormatting sqref="D6 D11 D16 D21 D26 F6 F11 F16 F21 F26 H6 H11 H16 H21 H26 J6 J11 J16 J21 J26 L6 L11 L16 L21 L26 N6 N11 N16 N21 N26 P6 P11 P16 P21 P26">
    <cfRule type="expression" dxfId="68" priority="43">
      <formula>OR(C6&lt;&gt;"",#REF!&lt;&gt;"")</formula>
    </cfRule>
  </conditionalFormatting>
  <conditionalFormatting sqref="C6 C11 C16 C21 C26 E6 E11 E16 E21 E26 G6 G11 G16 G21 G26 I6 I11 I16 I21 I26 K6 K11 K16 K21 K26 M6 M11 M16 M21 M26 O6 O11 O16 O21 O26">
    <cfRule type="expression" dxfId="67" priority="44">
      <formula>MATCH(C6,Event,0)</formula>
    </cfRule>
    <cfRule type="expression" dxfId="66" priority="45">
      <formula>MATCH(C6,Holiday,0)</formula>
    </cfRule>
  </conditionalFormatting>
  <conditionalFormatting sqref="F6 H6 J6 L6 N6 P6">
    <cfRule type="expression" dxfId="65" priority="40">
      <formula>OR(E6&lt;&gt;"",#REF!&lt;&gt;"")</formula>
    </cfRule>
  </conditionalFormatting>
  <conditionalFormatting sqref="E6 G6 I6 K6 M6 O6">
    <cfRule type="expression" dxfId="64" priority="41">
      <formula>MATCH(E6,Event,0)</formula>
    </cfRule>
    <cfRule type="expression" dxfId="63" priority="42">
      <formula>MATCH(E6,Holiday,0)</formula>
    </cfRule>
  </conditionalFormatting>
  <conditionalFormatting sqref="D11">
    <cfRule type="expression" dxfId="62" priority="37">
      <formula>OR(C11&lt;&gt;"",#REF!&lt;&gt;"")</formula>
    </cfRule>
  </conditionalFormatting>
  <conditionalFormatting sqref="C11">
    <cfRule type="expression" dxfId="61" priority="38">
      <formula>MATCH(C11,Event,0)</formula>
    </cfRule>
    <cfRule type="expression" dxfId="60" priority="39">
      <formula>MATCH(C11,Holiday,0)</formula>
    </cfRule>
  </conditionalFormatting>
  <conditionalFormatting sqref="F11 H11 J11 L11 N11 P11">
    <cfRule type="expression" dxfId="59" priority="34">
      <formula>OR(E11&lt;&gt;"",#REF!&lt;&gt;"")</formula>
    </cfRule>
  </conditionalFormatting>
  <conditionalFormatting sqref="E11 G11 I11 K11 M11 O11">
    <cfRule type="expression" dxfId="58" priority="35">
      <formula>MATCH(E11,Event,0)</formula>
    </cfRule>
    <cfRule type="expression" dxfId="57" priority="36">
      <formula>MATCH(E11,Holiday,0)</formula>
    </cfRule>
  </conditionalFormatting>
  <conditionalFormatting sqref="D16">
    <cfRule type="expression" dxfId="56" priority="31">
      <formula>OR(C16&lt;&gt;"",#REF!&lt;&gt;"")</formula>
    </cfRule>
  </conditionalFormatting>
  <conditionalFormatting sqref="C16">
    <cfRule type="expression" dxfId="55" priority="32">
      <formula>MATCH(C16,Event,0)</formula>
    </cfRule>
    <cfRule type="expression" dxfId="54" priority="33">
      <formula>MATCH(C16,Holiday,0)</formula>
    </cfRule>
  </conditionalFormatting>
  <conditionalFormatting sqref="F16 H16 J16 L16 N16 P16">
    <cfRule type="expression" dxfId="53" priority="28">
      <formula>OR(E16&lt;&gt;"",#REF!&lt;&gt;"")</formula>
    </cfRule>
  </conditionalFormatting>
  <conditionalFormatting sqref="E16 G16 I16 K16 M16 O16">
    <cfRule type="expression" dxfId="52" priority="29">
      <formula>MATCH(E16,Event,0)</formula>
    </cfRule>
    <cfRule type="expression" dxfId="51" priority="30">
      <formula>MATCH(E16,Holiday,0)</formula>
    </cfRule>
  </conditionalFormatting>
  <conditionalFormatting sqref="D21">
    <cfRule type="expression" dxfId="50" priority="25">
      <formula>OR(C21&lt;&gt;"",#REF!&lt;&gt;"")</formula>
    </cfRule>
  </conditionalFormatting>
  <conditionalFormatting sqref="C21">
    <cfRule type="expression" dxfId="49" priority="26">
      <formula>MATCH(C21,Event,0)</formula>
    </cfRule>
    <cfRule type="expression" dxfId="48" priority="27">
      <formula>MATCH(C21,Holiday,0)</formula>
    </cfRule>
  </conditionalFormatting>
  <conditionalFormatting sqref="F21 H21 J21 L21 N21 P21">
    <cfRule type="expression" dxfId="47" priority="22">
      <formula>OR(E21&lt;&gt;"",#REF!&lt;&gt;"")</formula>
    </cfRule>
  </conditionalFormatting>
  <conditionalFormatting sqref="E21 G21 I21 K21 M21 O21">
    <cfRule type="expression" dxfId="46" priority="23">
      <formula>MATCH(E21,Event,0)</formula>
    </cfRule>
    <cfRule type="expression" dxfId="45" priority="24">
      <formula>MATCH(E21,Holiday,0)</formula>
    </cfRule>
  </conditionalFormatting>
  <conditionalFormatting sqref="D26">
    <cfRule type="expression" dxfId="44" priority="19">
      <formula>OR(C26&lt;&gt;"",#REF!&lt;&gt;"")</formula>
    </cfRule>
  </conditionalFormatting>
  <conditionalFormatting sqref="C26">
    <cfRule type="expression" dxfId="43" priority="20">
      <formula>MATCH(C26,Event,0)</formula>
    </cfRule>
    <cfRule type="expression" dxfId="42" priority="21">
      <formula>MATCH(C26,Holiday,0)</formula>
    </cfRule>
  </conditionalFormatting>
  <conditionalFormatting sqref="F26 H26 J26 L26 N26 P26">
    <cfRule type="expression" dxfId="41" priority="16">
      <formula>OR(E26&lt;&gt;"",#REF!&lt;&gt;"")</formula>
    </cfRule>
  </conditionalFormatting>
  <conditionalFormatting sqref="E26 G26 I26 K26 M26 O26">
    <cfRule type="expression" dxfId="40" priority="17">
      <formula>MATCH(E26,Event,0)</formula>
    </cfRule>
    <cfRule type="expression" dxfId="39" priority="18">
      <formula>MATCH(E26,Holiday,0)</formula>
    </cfRule>
  </conditionalFormatting>
  <conditionalFormatting sqref="D31 F31">
    <cfRule type="expression" dxfId="38" priority="7">
      <formula>OR(C31&lt;&gt;"",#REF!&lt;&gt;"")</formula>
    </cfRule>
  </conditionalFormatting>
  <conditionalFormatting sqref="C31 E31">
    <cfRule type="expression" dxfId="37" priority="8">
      <formula>MATCH(C31,Event,0)</formula>
    </cfRule>
    <cfRule type="expression" dxfId="36" priority="9">
      <formula>MATCH(C31,Holiday,0)</formula>
    </cfRule>
  </conditionalFormatting>
  <conditionalFormatting sqref="D31">
    <cfRule type="expression" dxfId="35" priority="4">
      <formula>OR(C31&lt;&gt;"",#REF!&lt;&gt;"")</formula>
    </cfRule>
  </conditionalFormatting>
  <conditionalFormatting sqref="C31">
    <cfRule type="expression" dxfId="34" priority="5">
      <formula>MATCH(C31,Event,0)</formula>
    </cfRule>
    <cfRule type="expression" dxfId="33" priority="6">
      <formula>MATCH(C31,Holiday,0)</formula>
    </cfRule>
  </conditionalFormatting>
  <conditionalFormatting sqref="F31">
    <cfRule type="expression" dxfId="32" priority="1">
      <formula>OR(E31&lt;&gt;"",#REF!&lt;&gt;"")</formula>
    </cfRule>
  </conditionalFormatting>
  <conditionalFormatting sqref="E31">
    <cfRule type="expression" dxfId="31" priority="2">
      <formula>MATCH(E31,Event,0)</formula>
    </cfRule>
    <cfRule type="expression" dxfId="30" priority="3">
      <formula>MATCH(E31,Holiday,0)</formula>
    </cfRule>
  </conditionalFormatting>
  <printOptions horizontalCentered="1"/>
  <pageMargins left="0.34" right="0.26" top="0.44" bottom="0.36" header="0.28000000000000003" footer="0.25"/>
  <pageSetup paperSize="9" scale="99" orientation="landscape" r:id="rId1"/>
  <headerFooter alignWithMargins="0"/>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41"/>
  <sheetViews>
    <sheetView zoomScale="80" zoomScaleNormal="80" workbookViewId="0">
      <selection activeCell="G49" sqref="G49"/>
    </sheetView>
  </sheetViews>
  <sheetFormatPr defaultColWidth="11.109375" defaultRowHeight="15.45" customHeight="1" x14ac:dyDescent="0.25"/>
  <sheetData>
    <row r="4" spans="1:1" s="230" customFormat="1" ht="25.8" x14ac:dyDescent="0.5">
      <c r="A4" s="229"/>
    </row>
    <row r="5" spans="1:1" s="230" customFormat="1" ht="25.8" x14ac:dyDescent="0.5">
      <c r="A5" s="231"/>
    </row>
    <row r="6" spans="1:1" ht="13.2" x14ac:dyDescent="0.25"/>
    <row r="7" spans="1:1" ht="13.2" x14ac:dyDescent="0.25"/>
    <row r="8" spans="1:1" ht="13.2" x14ac:dyDescent="0.25"/>
    <row r="9" spans="1:1" ht="13.2" x14ac:dyDescent="0.25"/>
    <row r="10" spans="1:1" ht="13.2" x14ac:dyDescent="0.25"/>
    <row r="11" spans="1:1" ht="13.2" x14ac:dyDescent="0.25"/>
    <row r="12" spans="1:1" ht="13.2" x14ac:dyDescent="0.25"/>
    <row r="13" spans="1:1" ht="13.2" x14ac:dyDescent="0.25"/>
    <row r="14" spans="1:1" ht="13.2" x14ac:dyDescent="0.25"/>
    <row r="15" spans="1:1" ht="13.2" x14ac:dyDescent="0.25"/>
    <row r="16" spans="1:1" ht="13.2" x14ac:dyDescent="0.25"/>
    <row r="17" ht="13.2" x14ac:dyDescent="0.25"/>
    <row r="18" ht="13.2" x14ac:dyDescent="0.25"/>
    <row r="19" ht="13.2" x14ac:dyDescent="0.25"/>
    <row r="20" ht="13.2" x14ac:dyDescent="0.25"/>
    <row r="21" ht="13.2" x14ac:dyDescent="0.25"/>
    <row r="22" ht="13.2" x14ac:dyDescent="0.25"/>
    <row r="23" ht="13.2" x14ac:dyDescent="0.25"/>
    <row r="24" ht="13.2" x14ac:dyDescent="0.25"/>
    <row r="25" ht="13.2" x14ac:dyDescent="0.25"/>
    <row r="26" ht="13.2" x14ac:dyDescent="0.25"/>
    <row r="27" ht="13.2" x14ac:dyDescent="0.25"/>
    <row r="28" ht="13.2" x14ac:dyDescent="0.25"/>
    <row r="29" ht="13.2" x14ac:dyDescent="0.25"/>
    <row r="30" ht="13.2" x14ac:dyDescent="0.25"/>
    <row r="31" ht="13.2" x14ac:dyDescent="0.25"/>
    <row r="32" ht="13.2" x14ac:dyDescent="0.25"/>
    <row r="33" spans="1:15" ht="13.2" x14ac:dyDescent="0.25"/>
    <row r="34" spans="1:15" ht="13.2" x14ac:dyDescent="0.25"/>
    <row r="35" spans="1:15" ht="13.2" x14ac:dyDescent="0.25"/>
    <row r="36" spans="1:15" ht="13.2" x14ac:dyDescent="0.25"/>
    <row r="37" spans="1:15" ht="13.2" x14ac:dyDescent="0.25"/>
    <row r="38" spans="1:15" ht="13.2" x14ac:dyDescent="0.25"/>
    <row r="39" spans="1:15" ht="39" customHeight="1" x14ac:dyDescent="0.25"/>
    <row r="40" spans="1:15" s="230" customFormat="1" ht="25.8" x14ac:dyDescent="0.5">
      <c r="A40" s="271" t="s">
        <v>60</v>
      </c>
      <c r="B40" s="271"/>
      <c r="C40" s="271"/>
      <c r="D40" s="271"/>
      <c r="E40" s="271"/>
      <c r="F40" s="271"/>
      <c r="G40" s="271"/>
      <c r="H40" s="271"/>
      <c r="I40" s="271"/>
      <c r="J40" s="271"/>
      <c r="K40" s="271"/>
      <c r="L40" s="271"/>
      <c r="M40" s="229"/>
      <c r="N40" s="229"/>
      <c r="O40" s="229"/>
    </row>
    <row r="41" spans="1:15" s="230" customFormat="1" ht="25.8" x14ac:dyDescent="0.5">
      <c r="A41" s="272" t="s">
        <v>61</v>
      </c>
      <c r="B41" s="272"/>
      <c r="C41" s="272"/>
      <c r="D41" s="272"/>
      <c r="E41" s="272"/>
      <c r="F41" s="272"/>
      <c r="G41" s="272"/>
      <c r="H41" s="272"/>
      <c r="I41" s="272"/>
      <c r="J41" s="272"/>
      <c r="K41" s="272"/>
      <c r="L41" s="272"/>
      <c r="M41" s="232"/>
      <c r="N41" s="232"/>
      <c r="O41" s="232"/>
    </row>
  </sheetData>
  <mergeCells count="2">
    <mergeCell ref="A40:L40"/>
    <mergeCell ref="A41:L41"/>
  </mergeCells>
  <hyperlinks>
    <hyperlink ref="A41" r:id="rId1" display="https://exceltemplate.net/support/ "/>
    <hyperlink ref="A41:L41" r:id="rId2" display="https://exceltemplate.net/support/"/>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41"/>
  <sheetViews>
    <sheetView zoomScale="80" zoomScaleNormal="80" workbookViewId="0">
      <selection activeCell="E47" sqref="E47"/>
    </sheetView>
  </sheetViews>
  <sheetFormatPr defaultColWidth="11.109375" defaultRowHeight="15.45" customHeight="1" x14ac:dyDescent="0.25"/>
  <sheetData>
    <row r="4" spans="1:1" s="230" customFormat="1" ht="25.8" x14ac:dyDescent="0.5">
      <c r="A4" s="229"/>
    </row>
    <row r="5" spans="1:1" s="230" customFormat="1" ht="25.8" x14ac:dyDescent="0.5">
      <c r="A5" s="231"/>
    </row>
    <row r="6" spans="1:1" ht="13.2" x14ac:dyDescent="0.25"/>
    <row r="7" spans="1:1" ht="13.2" x14ac:dyDescent="0.25"/>
    <row r="8" spans="1:1" ht="13.2" x14ac:dyDescent="0.25"/>
    <row r="9" spans="1:1" ht="13.2" x14ac:dyDescent="0.25"/>
    <row r="10" spans="1:1" ht="13.2" x14ac:dyDescent="0.25"/>
    <row r="11" spans="1:1" ht="13.2" x14ac:dyDescent="0.25"/>
    <row r="12" spans="1:1" ht="13.2" x14ac:dyDescent="0.25"/>
    <row r="13" spans="1:1" ht="13.2" x14ac:dyDescent="0.25"/>
    <row r="14" spans="1:1" ht="13.2" x14ac:dyDescent="0.25"/>
    <row r="15" spans="1:1" ht="13.2" x14ac:dyDescent="0.25"/>
    <row r="16" spans="1:1" ht="13.2" x14ac:dyDescent="0.25"/>
    <row r="17" ht="13.2" x14ac:dyDescent="0.25"/>
    <row r="18" ht="13.2" x14ac:dyDescent="0.25"/>
    <row r="19" ht="13.2" x14ac:dyDescent="0.25"/>
    <row r="20" ht="13.2" x14ac:dyDescent="0.25"/>
    <row r="21" ht="13.2" x14ac:dyDescent="0.25"/>
    <row r="22" ht="13.2" x14ac:dyDescent="0.25"/>
    <row r="23" ht="13.2" x14ac:dyDescent="0.25"/>
    <row r="24" ht="13.2" x14ac:dyDescent="0.25"/>
    <row r="25" ht="13.2" x14ac:dyDescent="0.25"/>
    <row r="26" ht="13.2" x14ac:dyDescent="0.25"/>
    <row r="27" ht="13.2" x14ac:dyDescent="0.25"/>
    <row r="28" ht="13.2" x14ac:dyDescent="0.25"/>
    <row r="29" ht="13.2" x14ac:dyDescent="0.25"/>
    <row r="30" ht="13.2" x14ac:dyDescent="0.25"/>
    <row r="31" ht="13.2" x14ac:dyDescent="0.25"/>
    <row r="32" ht="13.2" x14ac:dyDescent="0.25"/>
    <row r="33" spans="1:15" ht="13.2" x14ac:dyDescent="0.25"/>
    <row r="34" spans="1:15" ht="13.2" x14ac:dyDescent="0.25"/>
    <row r="35" spans="1:15" ht="13.2" x14ac:dyDescent="0.25"/>
    <row r="36" spans="1:15" ht="13.2" x14ac:dyDescent="0.25"/>
    <row r="37" spans="1:15" ht="13.2" x14ac:dyDescent="0.25"/>
    <row r="38" spans="1:15" ht="13.2" x14ac:dyDescent="0.25"/>
    <row r="39" spans="1:15" ht="39" customHeight="1" x14ac:dyDescent="0.25"/>
    <row r="40" spans="1:15" s="230" customFormat="1" ht="25.8" x14ac:dyDescent="0.5">
      <c r="A40" s="271" t="s">
        <v>60</v>
      </c>
      <c r="B40" s="271"/>
      <c r="C40" s="271"/>
      <c r="D40" s="271"/>
      <c r="E40" s="271"/>
      <c r="F40" s="271"/>
      <c r="G40" s="271"/>
      <c r="H40" s="271"/>
      <c r="I40" s="271"/>
      <c r="J40" s="271"/>
      <c r="K40" s="271"/>
      <c r="L40" s="271"/>
      <c r="M40" s="229"/>
      <c r="N40" s="229"/>
      <c r="O40" s="229"/>
    </row>
    <row r="41" spans="1:15" s="230" customFormat="1" ht="25.8" x14ac:dyDescent="0.5">
      <c r="A41" s="272" t="s">
        <v>61</v>
      </c>
      <c r="B41" s="272"/>
      <c r="C41" s="272"/>
      <c r="D41" s="272"/>
      <c r="E41" s="272"/>
      <c r="F41" s="272"/>
      <c r="G41" s="272"/>
      <c r="H41" s="272"/>
      <c r="I41" s="272"/>
      <c r="J41" s="272"/>
      <c r="K41" s="272"/>
      <c r="L41" s="272"/>
      <c r="M41" s="232"/>
      <c r="N41" s="232"/>
      <c r="O41" s="232"/>
    </row>
  </sheetData>
  <mergeCells count="2">
    <mergeCell ref="A40:L40"/>
    <mergeCell ref="A41:L41"/>
  </mergeCells>
  <hyperlinks>
    <hyperlink ref="A41" r:id="rId1" display="https://exceltemplate.net/support/ "/>
    <hyperlink ref="A41:L41" r:id="rId2" display="https://exceltemplate.net/support/"/>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4"/>
  <sheetViews>
    <sheetView showGridLines="0" topLeftCell="A106" workbookViewId="0">
      <selection activeCell="M124" sqref="M124"/>
    </sheetView>
  </sheetViews>
  <sheetFormatPr defaultColWidth="9.109375" defaultRowHeight="17.25" customHeight="1" x14ac:dyDescent="0.35"/>
  <cols>
    <col min="1" max="1" width="3.6640625" style="99" customWidth="1"/>
    <col min="2" max="8" width="3.6640625" style="102" customWidth="1"/>
    <col min="9" max="9" width="9.109375" style="96"/>
    <col min="10" max="10" width="6.44140625" style="109" customWidth="1"/>
    <col min="11" max="11" width="19.33203125" style="109" customWidth="1"/>
    <col min="12" max="12" width="9.109375" style="96"/>
    <col min="13" max="15" width="9.109375" style="107"/>
    <col min="16" max="19" width="9.109375" style="8"/>
    <col min="20" max="26" width="9.109375" style="7"/>
    <col min="27" max="27" width="0" style="2" hidden="1" customWidth="1"/>
    <col min="28" max="34" width="9.109375" style="6" hidden="1" customWidth="1"/>
    <col min="35" max="35" width="0" style="2" hidden="1" customWidth="1"/>
    <col min="36" max="16384" width="9.109375" style="1"/>
  </cols>
  <sheetData>
    <row r="1" spans="1:34" ht="17.25" customHeight="1" x14ac:dyDescent="0.3">
      <c r="A1" s="273" t="str">
        <f>UPPER(TEXT(DATE(G7,H7,E4),"mmm"))</f>
        <v>JUL</v>
      </c>
      <c r="B1" s="108" t="s">
        <v>55</v>
      </c>
      <c r="C1" s="108" t="s">
        <v>56</v>
      </c>
      <c r="D1" s="108" t="s">
        <v>57</v>
      </c>
      <c r="E1" s="108" t="s">
        <v>58</v>
      </c>
      <c r="F1" s="108" t="s">
        <v>57</v>
      </c>
      <c r="G1" s="108" t="s">
        <v>59</v>
      </c>
      <c r="H1" s="108" t="s">
        <v>55</v>
      </c>
      <c r="I1" s="106"/>
      <c r="J1" s="109" t="s">
        <v>15</v>
      </c>
      <c r="AB1" s="3" t="e">
        <f>MATCH(DATE('Layout 1'!$M$31,'Layout 1'!$O$31,'Layout 1'!C$6),'Todo-Holiday-Event'!$C$9:$C$258,0)</f>
        <v>#VALUE!</v>
      </c>
      <c r="AC1" s="3" t="e">
        <f>MATCH(DATE('Layout 1'!$M$31,'Layout 1'!$O$31,'Layout 1'!E$6),'Todo-Holiday-Event'!$C$9:$C$258,0)</f>
        <v>#VALUE!</v>
      </c>
      <c r="AD1" s="3" t="e">
        <f>MATCH(DATE('Layout 1'!$M$31,'Layout 1'!$O$31,'Layout 1'!G$6),'Todo-Holiday-Event'!$C$9:$C$258,0)</f>
        <v>#VALUE!</v>
      </c>
      <c r="AE1" s="3" t="e">
        <f>MATCH(DATE('Layout 1'!$M$31,'Layout 1'!$O$31,'Layout 1'!I$6),'Todo-Holiday-Event'!$C$9:$C$258,0)</f>
        <v>#VALUE!</v>
      </c>
      <c r="AF1" s="3" t="e">
        <f>MATCH(DATE('Layout 1'!$M$31,'Layout 1'!$O$31,'Layout 1'!K$6),'Todo-Holiday-Event'!$C$9:$C$258,0)</f>
        <v>#N/A</v>
      </c>
      <c r="AG1" s="3" t="e">
        <f>MATCH(DATE('Layout 1'!$M$31,'Layout 1'!$O$31,'Layout 1'!M$6),'Todo-Holiday-Event'!$C$9:$C$258,0)</f>
        <v>#N/A</v>
      </c>
      <c r="AH1" s="3" t="e">
        <f>MATCH(DATE('Layout 1'!$M$31,'Layout 1'!$O$31,'Layout 1'!O$6),'Todo-Holiday-Event'!$C$9:$C$258,0)</f>
        <v>#N/A</v>
      </c>
    </row>
    <row r="2" spans="1:34" ht="17.25" customHeight="1" x14ac:dyDescent="0.3">
      <c r="A2" s="273"/>
      <c r="B2" s="103" t="str">
        <f>IF(WEEKDAY(DATE($G$7,$H$7,1))=1,1,"")</f>
        <v/>
      </c>
      <c r="C2" s="103">
        <f>IF(B2&lt;&gt;"",B2+1,IF(WEEKDAY(DATE($G$7,$H$7,1))=2,1,""))</f>
        <v>1</v>
      </c>
      <c r="D2" s="103">
        <f>IF(C2&lt;&gt;"",C2+1,IF(WEEKDAY(DATE($G$7,$H$7,1))=3,1,""))</f>
        <v>2</v>
      </c>
      <c r="E2" s="103">
        <f>IF(D2&lt;&gt;"",D2+1,IF(WEEKDAY(DATE($G$7,$H$7,1))=4,1,""))</f>
        <v>3</v>
      </c>
      <c r="F2" s="103">
        <f>IF(E2&lt;&gt;"",E2+1,IF(WEEKDAY(DATE($G$7,$H$7,1))=5,1,""))</f>
        <v>4</v>
      </c>
      <c r="G2" s="103">
        <f>IF(F2&lt;&gt;"",F2+1,IF(WEEKDAY(DATE($G$7,$H$7,1))=6,1,""))</f>
        <v>5</v>
      </c>
      <c r="H2" s="103">
        <f>IF(G2&lt;&gt;"",G2+1,IF(WEEKDAY(DATE($G$7,$H$7,1))=7,1,""))</f>
        <v>6</v>
      </c>
      <c r="I2" s="106"/>
      <c r="J2" s="109">
        <v>1</v>
      </c>
      <c r="K2" s="109" t="s">
        <v>1</v>
      </c>
      <c r="AB2" s="3" t="e">
        <f ca="1">IF(AB1&gt;0,MATCH(DATE('Layout 1'!$M$31,'Layout 1'!$O$31,'Layout 1'!C$6),OFFSET('Todo-Holiday-Event'!$C$9:$C$258,AB1,0),0)+AB1,"")</f>
        <v>#VALUE!</v>
      </c>
      <c r="AC2" s="3" t="e">
        <f ca="1">IF(AC1&gt;0,MATCH(DATE('Layout 1'!$M$31,'Layout 1'!$O$31,'Layout 1'!E$6),OFFSET('Todo-Holiday-Event'!$C$9:$C$258,AC1,0),0)+AC1,"")</f>
        <v>#VALUE!</v>
      </c>
      <c r="AD2" s="3" t="e">
        <f ca="1">IF(AD1&gt;0,MATCH(DATE('Layout 1'!$M$31,'Layout 1'!$O$31,'Layout 1'!G$6),OFFSET('Todo-Holiday-Event'!$C$9:$C$258,AD1,0),0)+AD1,"")</f>
        <v>#VALUE!</v>
      </c>
      <c r="AE2" s="3" t="e">
        <f ca="1">IF(AE1&gt;0,MATCH(DATE('Layout 1'!$M$31,'Layout 1'!$O$31,'Layout 1'!I$6),OFFSET('Todo-Holiday-Event'!$C$9:$C$258,AE1,0),0)+AE1,"")</f>
        <v>#VALUE!</v>
      </c>
      <c r="AF2" s="3" t="e">
        <f ca="1">IF(AF1&gt;0,MATCH(DATE('Layout 1'!$M$31,'Layout 1'!$O$31,'Layout 1'!K$6),OFFSET('Todo-Holiday-Event'!$C$9:$C$258,AF1,0),0)+AF1,"")</f>
        <v>#N/A</v>
      </c>
      <c r="AG2" s="3" t="e">
        <f ca="1">IF(AG1&gt;0,MATCH(DATE('Layout 1'!$M$31,'Layout 1'!$O$31,'Layout 1'!M$6),OFFSET('Todo-Holiday-Event'!$C$9:$C$258,AG1,0),0)+AG1,"")</f>
        <v>#N/A</v>
      </c>
      <c r="AH2" s="3" t="e">
        <f ca="1">IF(AH1&gt;0,MATCH(DATE('Layout 1'!$M$31,'Layout 1'!$O$31,'Layout 1'!O$6),OFFSET('Todo-Holiday-Event'!$C$9:$C$258,AH1,0),0)+AH1,"")</f>
        <v>#N/A</v>
      </c>
    </row>
    <row r="3" spans="1:34" ht="17.25" customHeight="1" x14ac:dyDescent="0.3">
      <c r="A3" s="273"/>
      <c r="B3" s="103">
        <f>H2+1</f>
        <v>7</v>
      </c>
      <c r="C3" s="103">
        <f t="shared" ref="C3:H5" si="0">B3+1</f>
        <v>8</v>
      </c>
      <c r="D3" s="103">
        <f t="shared" si="0"/>
        <v>9</v>
      </c>
      <c r="E3" s="103">
        <f t="shared" si="0"/>
        <v>10</v>
      </c>
      <c r="F3" s="103">
        <f t="shared" si="0"/>
        <v>11</v>
      </c>
      <c r="G3" s="103">
        <f t="shared" si="0"/>
        <v>12</v>
      </c>
      <c r="H3" s="103">
        <f t="shared" si="0"/>
        <v>13</v>
      </c>
      <c r="I3" s="106"/>
      <c r="J3" s="109">
        <v>2</v>
      </c>
      <c r="K3" s="109" t="s">
        <v>3</v>
      </c>
      <c r="AB3" s="3" t="e">
        <f ca="1">IF(AB2&gt;0,MATCH(DATE('Layout 1'!$M$31,'Layout 1'!$O$31,'Layout 1'!C$6),OFFSET('Todo-Holiday-Event'!$C$9:$C$258,AB2,0),0)+AB2,"")</f>
        <v>#VALUE!</v>
      </c>
      <c r="AC3" s="3" t="e">
        <f ca="1">IF(AC2&gt;0,MATCH(DATE('Layout 1'!$M$31,'Layout 1'!$O$31,'Layout 1'!E$6),OFFSET('Todo-Holiday-Event'!$C$9:$C$258,AC2,0),0)+AC2,"")</f>
        <v>#VALUE!</v>
      </c>
      <c r="AD3" s="3" t="e">
        <f ca="1">IF(AD2&gt;0,MATCH(DATE('Layout 1'!$M$31,'Layout 1'!$O$31,'Layout 1'!G$6),OFFSET('Todo-Holiday-Event'!$C$9:$C$258,AD2,0),0)+AD2,"")</f>
        <v>#VALUE!</v>
      </c>
      <c r="AE3" s="3" t="e">
        <f ca="1">IF(AE2&gt;0,MATCH(DATE('Layout 1'!$M$31,'Layout 1'!$O$31,'Layout 1'!I$6),OFFSET('Todo-Holiday-Event'!$C$9:$C$258,AE2,0),0)+AE2,"")</f>
        <v>#VALUE!</v>
      </c>
      <c r="AF3" s="3" t="e">
        <f ca="1">IF(AF2&gt;0,MATCH(DATE('Layout 1'!$M$31,'Layout 1'!$O$31,'Layout 1'!K$6),OFFSET('Todo-Holiday-Event'!$C$9:$C$258,AF2,0),0)+AF2,"")</f>
        <v>#N/A</v>
      </c>
      <c r="AG3" s="3" t="e">
        <f ca="1">IF(AG2&gt;0,MATCH(DATE('Layout 1'!$M$31,'Layout 1'!$O$31,'Layout 1'!M$6),OFFSET('Todo-Holiday-Event'!$C$9:$C$258,AG2,0),0)+AG2,"")</f>
        <v>#N/A</v>
      </c>
      <c r="AH3" s="3" t="e">
        <f ca="1">IF(AH2&gt;0,MATCH(DATE('Layout 1'!$M$31,'Layout 1'!$O$31,'Layout 1'!O$6),OFFSET('Todo-Holiday-Event'!$C$9:$C$258,AH2,0),0)+AH2,"")</f>
        <v>#N/A</v>
      </c>
    </row>
    <row r="4" spans="1:34" ht="17.25" customHeight="1" x14ac:dyDescent="0.3">
      <c r="A4" s="273"/>
      <c r="B4" s="103">
        <f>H3+1</f>
        <v>14</v>
      </c>
      <c r="C4" s="103">
        <f t="shared" si="0"/>
        <v>15</v>
      </c>
      <c r="D4" s="103">
        <f t="shared" si="0"/>
        <v>16</v>
      </c>
      <c r="E4" s="103">
        <f t="shared" si="0"/>
        <v>17</v>
      </c>
      <c r="F4" s="103">
        <f t="shared" si="0"/>
        <v>18</v>
      </c>
      <c r="G4" s="103">
        <f t="shared" si="0"/>
        <v>19</v>
      </c>
      <c r="H4" s="103">
        <f t="shared" si="0"/>
        <v>20</v>
      </c>
      <c r="I4" s="106"/>
      <c r="J4" s="109">
        <v>3</v>
      </c>
      <c r="K4" s="109" t="s">
        <v>0</v>
      </c>
      <c r="AB4" s="3" t="e">
        <f ca="1">IF(AB3&gt;0,MATCH(DATE('Layout 1'!$M$31,'Layout 1'!$O$31,'Layout 1'!C$6),OFFSET('Todo-Holiday-Event'!$C$9:$C$258,AB3,0),0)+AB3,"")</f>
        <v>#VALUE!</v>
      </c>
      <c r="AC4" s="3" t="e">
        <f ca="1">IF(AC3&gt;0,MATCH(DATE('Layout 1'!$M$31,'Layout 1'!$O$31,'Layout 1'!E$6),OFFSET('Todo-Holiday-Event'!$C$9:$C$258,AC3,0),0)+AC3,"")</f>
        <v>#VALUE!</v>
      </c>
      <c r="AD4" s="3" t="e">
        <f ca="1">IF(AD3&gt;0,MATCH(DATE('Layout 1'!$M$31,'Layout 1'!$O$31,'Layout 1'!G$6),OFFSET('Todo-Holiday-Event'!$C$9:$C$258,AD3,0),0)+AD3,"")</f>
        <v>#VALUE!</v>
      </c>
      <c r="AE4" s="3" t="e">
        <f ca="1">IF(AE3&gt;0,MATCH(DATE('Layout 1'!$M$31,'Layout 1'!$O$31,'Layout 1'!I$6),OFFSET('Todo-Holiday-Event'!$C$9:$C$258,AE3,0),0)+AE3,"")</f>
        <v>#VALUE!</v>
      </c>
      <c r="AF4" s="3" t="e">
        <f ca="1">IF(AF3&gt;0,MATCH(DATE('Layout 1'!$M$31,'Layout 1'!$O$31,'Layout 1'!K$6),OFFSET('Todo-Holiday-Event'!$C$9:$C$258,AF3,0),0)+AF3,"")</f>
        <v>#N/A</v>
      </c>
      <c r="AG4" s="3" t="e">
        <f ca="1">IF(AG3&gt;0,MATCH(DATE('Layout 1'!$M$31,'Layout 1'!$O$31,'Layout 1'!M$6),OFFSET('Todo-Holiday-Event'!$C$9:$C$258,AG3,0),0)+AG3,"")</f>
        <v>#N/A</v>
      </c>
      <c r="AH4" s="3" t="e">
        <f ca="1">IF(AH3&gt;0,MATCH(DATE('Layout 1'!$M$31,'Layout 1'!$O$31,'Layout 1'!O$6),OFFSET('Todo-Holiday-Event'!$C$9:$C$258,AH3,0),0)+AH3,"")</f>
        <v>#N/A</v>
      </c>
    </row>
    <row r="5" spans="1:34" ht="17.25" customHeight="1" x14ac:dyDescent="0.3">
      <c r="A5" s="273"/>
      <c r="B5" s="103">
        <f>H4+1</f>
        <v>21</v>
      </c>
      <c r="C5" s="103">
        <f t="shared" si="0"/>
        <v>22</v>
      </c>
      <c r="D5" s="103">
        <f t="shared" si="0"/>
        <v>23</v>
      </c>
      <c r="E5" s="103">
        <f t="shared" si="0"/>
        <v>24</v>
      </c>
      <c r="F5" s="103">
        <f t="shared" si="0"/>
        <v>25</v>
      </c>
      <c r="G5" s="103">
        <f t="shared" si="0"/>
        <v>26</v>
      </c>
      <c r="H5" s="103">
        <f t="shared" si="0"/>
        <v>27</v>
      </c>
      <c r="I5" s="106"/>
      <c r="J5" s="109">
        <v>4</v>
      </c>
      <c r="K5" s="109" t="s">
        <v>4</v>
      </c>
      <c r="AB5" s="3" t="e">
        <f ca="1">IF(AB4&gt;0,MATCH(DATE('Layout 1'!$M$31,'Layout 1'!$O$31,'Layout 1'!C$6),OFFSET('Todo-Holiday-Event'!$C$9:$C$258,AB4,0),0)+AB4,"")</f>
        <v>#VALUE!</v>
      </c>
      <c r="AC5" s="3" t="e">
        <f ca="1">IF(AC4&gt;0,MATCH(DATE('Layout 1'!$M$31,'Layout 1'!$O$31,'Layout 1'!E$6),OFFSET('Todo-Holiday-Event'!$C$9:$C$258,AC4,0),0)+AC4,"")</f>
        <v>#VALUE!</v>
      </c>
      <c r="AD5" s="3" t="e">
        <f ca="1">IF(AD4&gt;0,MATCH(DATE('Layout 1'!$M$31,'Layout 1'!$O$31,'Layout 1'!G$6),OFFSET('Todo-Holiday-Event'!$C$9:$C$258,AD4,0),0)+AD4,"")</f>
        <v>#VALUE!</v>
      </c>
      <c r="AE5" s="3" t="e">
        <f ca="1">IF(AE4&gt;0,MATCH(DATE('Layout 1'!$M$31,'Layout 1'!$O$31,'Layout 1'!I$6),OFFSET('Todo-Holiday-Event'!$C$9:$C$258,AE4,0),0)+AE4,"")</f>
        <v>#VALUE!</v>
      </c>
      <c r="AF5" s="3" t="e">
        <f ca="1">IF(AF4&gt;0,MATCH(DATE('Layout 1'!$M$31,'Layout 1'!$O$31,'Layout 1'!K$6),OFFSET('Todo-Holiday-Event'!$C$9:$C$258,AF4,0),0)+AF4,"")</f>
        <v>#N/A</v>
      </c>
      <c r="AG5" s="3" t="e">
        <f ca="1">IF(AG4&gt;0,MATCH(DATE('Layout 1'!$M$31,'Layout 1'!$O$31,'Layout 1'!M$6),OFFSET('Todo-Holiday-Event'!$C$9:$C$258,AG4,0),0)+AG4,"")</f>
        <v>#N/A</v>
      </c>
      <c r="AH5" s="3" t="e">
        <f ca="1">IF(AH4&gt;0,MATCH(DATE('Layout 1'!$M$31,'Layout 1'!$O$31,'Layout 1'!O$6),OFFSET('Todo-Holiday-Event'!$C$9:$C$258,AH4,0),0)+AH4,"")</f>
        <v>#N/A</v>
      </c>
    </row>
    <row r="6" spans="1:34" ht="17.25" customHeight="1" x14ac:dyDescent="0.3">
      <c r="A6" s="273"/>
      <c r="B6" s="103">
        <f>IF(H5&lt;&gt;"",IF(DAY(EOMONTH(DATE($G$7,$H$7,1),0))=H5,"",H5+1),"")</f>
        <v>28</v>
      </c>
      <c r="C6" s="103">
        <f t="shared" ref="C6:H6" si="1">IF(B6&lt;&gt;"",IF(DAY(EOMONTH(DATE($G$7,$H$7,1),0))=B6,"",B6+1),"")</f>
        <v>29</v>
      </c>
      <c r="D6" s="103">
        <f t="shared" si="1"/>
        <v>30</v>
      </c>
      <c r="E6" s="103">
        <f t="shared" si="1"/>
        <v>31</v>
      </c>
      <c r="F6" s="103" t="str">
        <f t="shared" si="1"/>
        <v/>
      </c>
      <c r="G6" s="103" t="str">
        <f t="shared" si="1"/>
        <v/>
      </c>
      <c r="H6" s="103" t="str">
        <f t="shared" si="1"/>
        <v/>
      </c>
      <c r="I6" s="106"/>
      <c r="J6" s="109">
        <v>5</v>
      </c>
      <c r="K6" s="109" t="s">
        <v>5</v>
      </c>
      <c r="AB6" s="3" t="e">
        <f ca="1">IF(AB5&gt;0,MATCH(DATE('Layout 1'!$M$31,'Layout 1'!$O$31,'Layout 1'!C$6),OFFSET('Todo-Holiday-Event'!$C$9:$C$258,AB5,0),0)+AB5,"")</f>
        <v>#VALUE!</v>
      </c>
      <c r="AC6" s="3" t="e">
        <f ca="1">IF(AC5&gt;0,MATCH(DATE('Layout 1'!$M$31,'Layout 1'!$O$31,'Layout 1'!E$6),OFFSET('Todo-Holiday-Event'!$C$9:$C$258,AC5,0),0)+AC5,"")</f>
        <v>#VALUE!</v>
      </c>
      <c r="AD6" s="3" t="e">
        <f ca="1">IF(AD5&gt;0,MATCH(DATE('Layout 1'!$M$31,'Layout 1'!$O$31,'Layout 1'!G$6),OFFSET('Todo-Holiday-Event'!$C$9:$C$258,AD5,0),0)+AD5,"")</f>
        <v>#VALUE!</v>
      </c>
      <c r="AE6" s="3" t="e">
        <f ca="1">IF(AE5&gt;0,MATCH(DATE('Layout 1'!$M$31,'Layout 1'!$O$31,'Layout 1'!I$6),OFFSET('Todo-Holiday-Event'!$C$9:$C$258,AE5,0),0)+AE5,"")</f>
        <v>#VALUE!</v>
      </c>
      <c r="AF6" s="3" t="e">
        <f ca="1">IF(AF5&gt;0,MATCH(DATE('Layout 1'!$M$31,'Layout 1'!$O$31,'Layout 1'!K$6),OFFSET('Todo-Holiday-Event'!$C$9:$C$258,AF5,0),0)+AF5,"")</f>
        <v>#N/A</v>
      </c>
      <c r="AG6" s="3" t="e">
        <f ca="1">IF(AG5&gt;0,MATCH(DATE('Layout 1'!$M$31,'Layout 1'!$O$31,'Layout 1'!M$6),OFFSET('Todo-Holiday-Event'!$C$9:$C$258,AG5,0),0)+AG5,"")</f>
        <v>#N/A</v>
      </c>
      <c r="AH6" s="3" t="e">
        <f ca="1">IF(AH5&gt;0,MATCH(DATE('Layout 1'!$M$31,'Layout 1'!$O$31,'Layout 1'!O$6),OFFSET('Todo-Holiday-Event'!$C$9:$C$258,AH5,0),0)+AH5,"")</f>
        <v>#N/A</v>
      </c>
    </row>
    <row r="7" spans="1:34" ht="17.25" customHeight="1" x14ac:dyDescent="0.3">
      <c r="A7" s="273"/>
      <c r="B7" s="103" t="str">
        <f>IF(H6&lt;&gt;"",IF(DAY(EOMONTH(DATE($G$7,$H$7,1),0))=H6,"",H6+1),"")</f>
        <v/>
      </c>
      <c r="C7" s="103" t="str">
        <f>IF(B7&lt;&gt;"",IF(DAY(EOMONTH(DATE($G$7,$H$7,1),0))=B7,"",B7+1),"")</f>
        <v/>
      </c>
      <c r="D7" s="103"/>
      <c r="E7" s="103"/>
      <c r="F7" s="104"/>
      <c r="G7" s="105">
        <f>IF('Layout 1'!O31=1,'Layout 1'!M31-1,'Layout 1'!M31)</f>
        <v>2019</v>
      </c>
      <c r="H7" s="105">
        <f>IF('Layout 1'!O31=1,12,'Layout 1'!O31-1)</f>
        <v>7</v>
      </c>
      <c r="I7" s="106"/>
      <c r="J7" s="109">
        <v>6</v>
      </c>
      <c r="K7" s="109" t="s">
        <v>6</v>
      </c>
      <c r="AB7" s="3" t="e">
        <f>MATCH(DATE('Layout 1'!$M$31,'Layout 1'!$O$31,'Layout 1'!C$11),'Todo-Holiday-Event'!$C$9:$C$258,0)</f>
        <v>#N/A</v>
      </c>
      <c r="AC7" s="3" t="e">
        <f>MATCH(DATE('Layout 1'!$M$31,'Layout 1'!$O$31,'Layout 1'!E$11),'Todo-Holiday-Event'!$C$9:$C$258,0)</f>
        <v>#N/A</v>
      </c>
      <c r="AD7" s="3" t="e">
        <f>MATCH(DATE('Layout 1'!$M$31,'Layout 1'!$O$31,'Layout 1'!G$11),'Todo-Holiday-Event'!$C$9:$C$258,0)</f>
        <v>#N/A</v>
      </c>
      <c r="AE7" s="3">
        <f>MATCH(DATE('Layout 1'!$M$31,'Layout 1'!$O$31,'Layout 1'!I$11),'Todo-Holiday-Event'!$C$9:$C$258,0)</f>
        <v>6</v>
      </c>
      <c r="AF7" s="3" t="e">
        <f>MATCH(DATE('Layout 1'!$M$31,'Layout 1'!$O$31,'Layout 1'!K$11),'Todo-Holiday-Event'!$C$9:$C$258,0)</f>
        <v>#N/A</v>
      </c>
      <c r="AG7" s="3" t="e">
        <f>MATCH(DATE('Layout 1'!$M$31,'Layout 1'!$O$31,'Layout 1'!M$11),'Todo-Holiday-Event'!$C$9:$C$258,0)</f>
        <v>#N/A</v>
      </c>
      <c r="AH7" s="3" t="e">
        <f>MATCH(DATE('Layout 1'!$M$31,'Layout 1'!$O$31,'Layout 1'!O$11),'Todo-Holiday-Event'!$C$9:$C$258,0)</f>
        <v>#N/A</v>
      </c>
    </row>
    <row r="8" spans="1:34" ht="17.25" customHeight="1" x14ac:dyDescent="0.3">
      <c r="A8" s="97"/>
      <c r="B8" s="100"/>
      <c r="C8" s="100"/>
      <c r="D8" s="100"/>
      <c r="E8" s="100"/>
      <c r="F8" s="100"/>
      <c r="G8" s="100"/>
      <c r="H8" s="100"/>
      <c r="I8" s="106"/>
      <c r="J8" s="109">
        <v>7</v>
      </c>
      <c r="K8" s="109" t="s">
        <v>7</v>
      </c>
      <c r="AB8" s="3" t="e">
        <f ca="1">IF(AB7&gt;0,MATCH(DATE('Layout 1'!$M$31,'Layout 1'!$O$31,'Layout 1'!C$11),OFFSET('Todo-Holiday-Event'!$C$9:$C$258,AB7,0),0)+AB7,"")</f>
        <v>#N/A</v>
      </c>
      <c r="AC8" s="3" t="e">
        <f ca="1">IF(AC7&gt;0,MATCH(DATE('Layout 1'!$M$31,'Layout 1'!$O$31,'Layout 1'!E$11),OFFSET('Todo-Holiday-Event'!$C$9:$C$258,AC7,0),0)+AC7,"")</f>
        <v>#N/A</v>
      </c>
      <c r="AD8" s="3" t="e">
        <f ca="1">IF(AD7&gt;0,MATCH(DATE('Layout 1'!$M$31,'Layout 1'!$O$31,'Layout 1'!G$11),OFFSET('Todo-Holiday-Event'!$C$9:$C$258,AD7,0),0)+AD7,"")</f>
        <v>#N/A</v>
      </c>
      <c r="AE8" s="3" t="e">
        <f ca="1">IF(AE7&gt;0,MATCH(DATE('Layout 1'!$M$31,'Layout 1'!$O$31,'Layout 1'!I$11),OFFSET('Todo-Holiday-Event'!$C$9:$C$258,AE7,0),0)+AE7,"")</f>
        <v>#N/A</v>
      </c>
      <c r="AF8" s="3" t="e">
        <f ca="1">IF(AF7&gt;0,MATCH(DATE('Layout 1'!$M$31,'Layout 1'!$O$31,'Layout 1'!K$11),OFFSET('Todo-Holiday-Event'!$C$9:$C$258,AF7,0),0)+AF7,"")</f>
        <v>#N/A</v>
      </c>
      <c r="AG8" s="3" t="e">
        <f ca="1">IF(AG7&gt;0,MATCH(DATE('Layout 1'!$M$31,'Layout 1'!$O$31,'Layout 1'!M$11),OFFSET('Todo-Holiday-Event'!$C$9:$C$258,AG7,0),0)+AG7,"")</f>
        <v>#N/A</v>
      </c>
      <c r="AH8" s="3" t="e">
        <f ca="1">IF(AH7&gt;0,MATCH(DATE('Layout 1'!$M$31,'Layout 1'!$O$31,'Layout 1'!O$11),OFFSET('Todo-Holiday-Event'!$C$9:$C$258,AH7,0),0)+AH7,"")</f>
        <v>#N/A</v>
      </c>
    </row>
    <row r="9" spans="1:34" ht="17.25" customHeight="1" x14ac:dyDescent="0.3">
      <c r="A9" s="273" t="str">
        <f>UPPER(TEXT(DATE(G15,H15,E12),"mmm"))</f>
        <v>AUG</v>
      </c>
      <c r="B9" s="108" t="str">
        <f>B1</f>
        <v>S</v>
      </c>
      <c r="C9" s="108" t="str">
        <f t="shared" ref="C9:H9" si="2">C1</f>
        <v>M</v>
      </c>
      <c r="D9" s="108" t="str">
        <f t="shared" si="2"/>
        <v>T</v>
      </c>
      <c r="E9" s="108" t="str">
        <f t="shared" si="2"/>
        <v>W</v>
      </c>
      <c r="F9" s="108" t="str">
        <f t="shared" si="2"/>
        <v>T</v>
      </c>
      <c r="G9" s="108" t="str">
        <f t="shared" si="2"/>
        <v>F</v>
      </c>
      <c r="H9" s="108" t="str">
        <f t="shared" si="2"/>
        <v>S</v>
      </c>
      <c r="I9" s="106"/>
      <c r="J9" s="109">
        <v>8</v>
      </c>
      <c r="K9" s="109" t="s">
        <v>8</v>
      </c>
      <c r="AB9" s="3" t="e">
        <f ca="1">IF(AB8&gt;0,MATCH(DATE('Layout 1'!$M$31,'Layout 1'!$O$31,'Layout 1'!C$11),OFFSET('Todo-Holiday-Event'!$C$9:$C$258,AB8,0),0)+AB8,"")</f>
        <v>#N/A</v>
      </c>
      <c r="AC9" s="3" t="e">
        <f ca="1">IF(AC8&gt;0,MATCH(DATE('Layout 1'!$M$31,'Layout 1'!$O$31,'Layout 1'!E$11),OFFSET('Todo-Holiday-Event'!$C$9:$C$258,AC8,0),0)+AC8,"")</f>
        <v>#N/A</v>
      </c>
      <c r="AD9" s="3" t="e">
        <f ca="1">IF(AD8&gt;0,MATCH(DATE('Layout 1'!$M$31,'Layout 1'!$O$31,'Layout 1'!G$11),OFFSET('Todo-Holiday-Event'!$C$9:$C$258,AD8,0),0)+AD8,"")</f>
        <v>#N/A</v>
      </c>
      <c r="AE9" s="3" t="e">
        <f ca="1">IF(AE8&gt;0,MATCH(DATE('Layout 1'!$M$31,'Layout 1'!$O$31,'Layout 1'!I$11),OFFSET('Todo-Holiday-Event'!$C$9:$C$258,AE8,0),0)+AE8,"")</f>
        <v>#N/A</v>
      </c>
      <c r="AF9" s="3" t="e">
        <f ca="1">IF(AF8&gt;0,MATCH(DATE('Layout 1'!$M$31,'Layout 1'!$O$31,'Layout 1'!K$11),OFFSET('Todo-Holiday-Event'!$C$9:$C$258,AF8,0),0)+AF8,"")</f>
        <v>#N/A</v>
      </c>
      <c r="AG9" s="3" t="e">
        <f ca="1">IF(AG8&gt;0,MATCH(DATE('Layout 1'!$M$31,'Layout 1'!$O$31,'Layout 1'!M$11),OFFSET('Todo-Holiday-Event'!$C$9:$C$258,AG8,0),0)+AG8,"")</f>
        <v>#N/A</v>
      </c>
      <c r="AH9" s="3" t="e">
        <f ca="1">IF(AH8&gt;0,MATCH(DATE('Layout 1'!$M$31,'Layout 1'!$O$31,'Layout 1'!O$11),OFFSET('Todo-Holiday-Event'!$C$9:$C$258,AH8,0),0)+AH8,"")</f>
        <v>#N/A</v>
      </c>
    </row>
    <row r="10" spans="1:34" ht="17.25" customHeight="1" x14ac:dyDescent="0.3">
      <c r="A10" s="273"/>
      <c r="B10" s="103" t="str">
        <f>IF(WEEKDAY(DATE($G$15,$H$15,1))=1,1,"")</f>
        <v/>
      </c>
      <c r="C10" s="103" t="str">
        <f>IF(B10&lt;&gt;"",B10+1,IF(WEEKDAY(DATE($G$15,$H$15,1))=2,1,""))</f>
        <v/>
      </c>
      <c r="D10" s="103" t="str">
        <f>IF(C10&lt;&gt;"",C10+1,IF(WEEKDAY(DATE($G$15,$H$15,1))=3,1,""))</f>
        <v/>
      </c>
      <c r="E10" s="103" t="str">
        <f>IF(D10&lt;&gt;"",D10+1,IF(WEEKDAY(DATE($G$15,$H$15,1))=4,1,""))</f>
        <v/>
      </c>
      <c r="F10" s="103">
        <f>IF(E10&lt;&gt;"",E10+1,IF(WEEKDAY(DATE($G$15,$H$15,1))=5,1,""))</f>
        <v>1</v>
      </c>
      <c r="G10" s="103">
        <f>IF(F10&lt;&gt;"",F10+1,IF(WEEKDAY(DATE($G$15,$H$15,1))=6,1,""))</f>
        <v>2</v>
      </c>
      <c r="H10" s="103">
        <f>IF(G10&lt;&gt;"",G10+1,IF(WEEKDAY(DATE($G$15,$H$15,1))=7,1,""))</f>
        <v>3</v>
      </c>
      <c r="I10" s="106"/>
      <c r="J10" s="109">
        <v>9</v>
      </c>
      <c r="K10" s="109" t="s">
        <v>9</v>
      </c>
      <c r="AB10" s="3" t="e">
        <f ca="1">IF(AB9&gt;0,MATCH(DATE('Layout 1'!$M$31,'Layout 1'!$O$31,'Layout 1'!C$11),OFFSET('Todo-Holiday-Event'!$C$9:$C$258,AB9,0),0)+AB9,"")</f>
        <v>#N/A</v>
      </c>
      <c r="AC10" s="3" t="e">
        <f ca="1">IF(AC9&gt;0,MATCH(DATE('Layout 1'!$M$31,'Layout 1'!$O$31,'Layout 1'!E$11),OFFSET('Todo-Holiday-Event'!$C$9:$C$258,AC9,0),0)+AC9,"")</f>
        <v>#N/A</v>
      </c>
      <c r="AD10" s="3" t="e">
        <f ca="1">IF(AD9&gt;0,MATCH(DATE('Layout 1'!$M$31,'Layout 1'!$O$31,'Layout 1'!G$11),OFFSET('Todo-Holiday-Event'!$C$9:$C$258,AD9,0),0)+AD9,"")</f>
        <v>#N/A</v>
      </c>
      <c r="AE10" s="3" t="e">
        <f ca="1">IF(AE9&gt;0,MATCH(DATE('Layout 1'!$M$31,'Layout 1'!$O$31,'Layout 1'!I$11),OFFSET('Todo-Holiday-Event'!$C$9:$C$258,AE9,0),0)+AE9,"")</f>
        <v>#N/A</v>
      </c>
      <c r="AF10" s="3" t="e">
        <f ca="1">IF(AF9&gt;0,MATCH(DATE('Layout 1'!$M$31,'Layout 1'!$O$31,'Layout 1'!K$11),OFFSET('Todo-Holiday-Event'!$C$9:$C$258,AF9,0),0)+AF9,"")</f>
        <v>#N/A</v>
      </c>
      <c r="AG10" s="3" t="e">
        <f ca="1">IF(AG9&gt;0,MATCH(DATE('Layout 1'!$M$31,'Layout 1'!$O$31,'Layout 1'!M$11),OFFSET('Todo-Holiday-Event'!$C$9:$C$258,AG9,0),0)+AG9,"")</f>
        <v>#N/A</v>
      </c>
      <c r="AH10" s="3" t="e">
        <f ca="1">IF(AH9&gt;0,MATCH(DATE('Layout 1'!$M$31,'Layout 1'!$O$31,'Layout 1'!O$11),OFFSET('Todo-Holiday-Event'!$C$9:$C$258,AH9,0),0)+AH9,"")</f>
        <v>#N/A</v>
      </c>
    </row>
    <row r="11" spans="1:34" ht="17.25" customHeight="1" x14ac:dyDescent="0.3">
      <c r="A11" s="273"/>
      <c r="B11" s="103">
        <f>H10+1</f>
        <v>4</v>
      </c>
      <c r="C11" s="103">
        <f t="shared" ref="C11:H13" si="3">B11+1</f>
        <v>5</v>
      </c>
      <c r="D11" s="103">
        <f t="shared" si="3"/>
        <v>6</v>
      </c>
      <c r="E11" s="103">
        <f t="shared" si="3"/>
        <v>7</v>
      </c>
      <c r="F11" s="103">
        <f t="shared" si="3"/>
        <v>8</v>
      </c>
      <c r="G11" s="103">
        <f t="shared" si="3"/>
        <v>9</v>
      </c>
      <c r="H11" s="103">
        <f t="shared" si="3"/>
        <v>10</v>
      </c>
      <c r="I11" s="106"/>
      <c r="J11" s="109">
        <v>10</v>
      </c>
      <c r="K11" s="109" t="s">
        <v>10</v>
      </c>
      <c r="AB11" s="3" t="e">
        <f ca="1">IF(AB10&gt;0,MATCH(DATE('Layout 1'!$M$31,'Layout 1'!$O$31,'Layout 1'!C$11),OFFSET('Todo-Holiday-Event'!$C$9:$C$258,AB10,0),0)+AB10,"")</f>
        <v>#N/A</v>
      </c>
      <c r="AC11" s="3" t="e">
        <f ca="1">IF(AC10&gt;0,MATCH(DATE('Layout 1'!$M$31,'Layout 1'!$O$31,'Layout 1'!E$11),OFFSET('Todo-Holiday-Event'!$C$9:$C$258,AC10,0),0)+AC10,"")</f>
        <v>#N/A</v>
      </c>
      <c r="AD11" s="3" t="e">
        <f ca="1">IF(AD10&gt;0,MATCH(DATE('Layout 1'!$M$31,'Layout 1'!$O$31,'Layout 1'!G$11),OFFSET('Todo-Holiday-Event'!$C$9:$C$258,AD10,0),0)+AD10,"")</f>
        <v>#N/A</v>
      </c>
      <c r="AE11" s="3" t="e">
        <f ca="1">IF(AE10&gt;0,MATCH(DATE('Layout 1'!$M$31,'Layout 1'!$O$31,'Layout 1'!I$11),OFFSET('Todo-Holiday-Event'!$C$9:$C$258,AE10,0),0)+AE10,"")</f>
        <v>#N/A</v>
      </c>
      <c r="AF11" s="3" t="e">
        <f ca="1">IF(AF10&gt;0,MATCH(DATE('Layout 1'!$M$31,'Layout 1'!$O$31,'Layout 1'!K$11),OFFSET('Todo-Holiday-Event'!$C$9:$C$258,AF10,0),0)+AF10,"")</f>
        <v>#N/A</v>
      </c>
      <c r="AG11" s="3" t="e">
        <f ca="1">IF(AG10&gt;0,MATCH(DATE('Layout 1'!$M$31,'Layout 1'!$O$31,'Layout 1'!M$11),OFFSET('Todo-Holiday-Event'!$C$9:$C$258,AG10,0),0)+AG10,"")</f>
        <v>#N/A</v>
      </c>
      <c r="AH11" s="3" t="e">
        <f ca="1">IF(AH10&gt;0,MATCH(DATE('Layout 1'!$M$31,'Layout 1'!$O$31,'Layout 1'!O$11),OFFSET('Todo-Holiday-Event'!$C$9:$C$258,AH10,0),0)+AH10,"")</f>
        <v>#N/A</v>
      </c>
    </row>
    <row r="12" spans="1:34" ht="17.25" customHeight="1" x14ac:dyDescent="0.3">
      <c r="A12" s="273"/>
      <c r="B12" s="103">
        <f>H11+1</f>
        <v>11</v>
      </c>
      <c r="C12" s="103">
        <f t="shared" si="3"/>
        <v>12</v>
      </c>
      <c r="D12" s="103">
        <f t="shared" si="3"/>
        <v>13</v>
      </c>
      <c r="E12" s="103">
        <f t="shared" si="3"/>
        <v>14</v>
      </c>
      <c r="F12" s="103">
        <f t="shared" si="3"/>
        <v>15</v>
      </c>
      <c r="G12" s="103">
        <f t="shared" si="3"/>
        <v>16</v>
      </c>
      <c r="H12" s="103">
        <f t="shared" si="3"/>
        <v>17</v>
      </c>
      <c r="I12" s="106"/>
      <c r="J12" s="109">
        <v>11</v>
      </c>
      <c r="K12" s="109" t="s">
        <v>11</v>
      </c>
      <c r="AB12" s="3" t="e">
        <f ca="1">IF(AB11&gt;0,MATCH(DATE('Layout 1'!$M$31,'Layout 1'!$O$31,'Layout 1'!C$11),OFFSET('Todo-Holiday-Event'!$C$9:$C$258,AB11,0),0)+AB11,"")</f>
        <v>#N/A</v>
      </c>
      <c r="AC12" s="3" t="e">
        <f ca="1">IF(AC11&gt;0,MATCH(DATE('Layout 1'!$M$31,'Layout 1'!$O$31,'Layout 1'!E$11),OFFSET('Todo-Holiday-Event'!$C$9:$C$258,AC11,0),0)+AC11,"")</f>
        <v>#N/A</v>
      </c>
      <c r="AD12" s="3" t="e">
        <f ca="1">IF(AD11&gt;0,MATCH(DATE('Layout 1'!$M$31,'Layout 1'!$O$31,'Layout 1'!G$11),OFFSET('Todo-Holiday-Event'!$C$9:$C$258,AD11,0),0)+AD11,"")</f>
        <v>#N/A</v>
      </c>
      <c r="AE12" s="3" t="e">
        <f ca="1">IF(AE11&gt;0,MATCH(DATE('Layout 1'!$M$31,'Layout 1'!$O$31,'Layout 1'!I$11),OFFSET('Todo-Holiday-Event'!$C$9:$C$258,AE11,0),0)+AE11,"")</f>
        <v>#N/A</v>
      </c>
      <c r="AF12" s="3" t="e">
        <f ca="1">IF(AF11&gt;0,MATCH(DATE('Layout 1'!$M$31,'Layout 1'!$O$31,'Layout 1'!K$11),OFFSET('Todo-Holiday-Event'!$C$9:$C$258,AF11,0),0)+AF11,"")</f>
        <v>#N/A</v>
      </c>
      <c r="AG12" s="3" t="e">
        <f ca="1">IF(AG11&gt;0,MATCH(DATE('Layout 1'!$M$31,'Layout 1'!$O$31,'Layout 1'!M$11),OFFSET('Todo-Holiday-Event'!$C$9:$C$258,AG11,0),0)+AG11,"")</f>
        <v>#N/A</v>
      </c>
      <c r="AH12" s="3" t="e">
        <f ca="1">IF(AH11&gt;0,MATCH(DATE('Layout 1'!$M$31,'Layout 1'!$O$31,'Layout 1'!O$11),OFFSET('Todo-Holiday-Event'!$C$9:$C$258,AH11,0),0)+AH11,"")</f>
        <v>#N/A</v>
      </c>
    </row>
    <row r="13" spans="1:34" ht="17.25" customHeight="1" x14ac:dyDescent="0.3">
      <c r="A13" s="273"/>
      <c r="B13" s="103">
        <f>H12+1</f>
        <v>18</v>
      </c>
      <c r="C13" s="103">
        <f t="shared" si="3"/>
        <v>19</v>
      </c>
      <c r="D13" s="103">
        <f t="shared" si="3"/>
        <v>20</v>
      </c>
      <c r="E13" s="103">
        <f t="shared" si="3"/>
        <v>21</v>
      </c>
      <c r="F13" s="103">
        <f t="shared" si="3"/>
        <v>22</v>
      </c>
      <c r="G13" s="103">
        <f t="shared" si="3"/>
        <v>23</v>
      </c>
      <c r="H13" s="103">
        <f t="shared" si="3"/>
        <v>24</v>
      </c>
      <c r="I13" s="106"/>
      <c r="J13" s="109">
        <v>12</v>
      </c>
      <c r="K13" s="109" t="s">
        <v>12</v>
      </c>
      <c r="AB13" s="3" t="e">
        <f>MATCH(DATE('Layout 1'!$M$31,'Layout 1'!$O$31,'Layout 1'!C$16),'Todo-Holiday-Event'!$C$9:$C$258,0)</f>
        <v>#N/A</v>
      </c>
      <c r="AC13" s="3" t="e">
        <f>MATCH(DATE('Layout 1'!$M$31,'Layout 1'!$O$31,'Layout 1'!E$16),'Todo-Holiday-Event'!$C$9:$C$258,0)</f>
        <v>#N/A</v>
      </c>
      <c r="AD13" s="3" t="e">
        <f>MATCH(DATE('Layout 1'!$M$31,'Layout 1'!$O$31,'Layout 1'!G$16),'Todo-Holiday-Event'!$C$9:$C$258,0)</f>
        <v>#N/A</v>
      </c>
      <c r="AE13" s="3" t="e">
        <f>MATCH(DATE('Layout 1'!$M$31,'Layout 1'!$O$31,'Layout 1'!I$16),'Todo-Holiday-Event'!$C$9:$C$258,0)</f>
        <v>#N/A</v>
      </c>
      <c r="AF13" s="3" t="e">
        <f>MATCH(DATE('Layout 1'!$M$31,'Layout 1'!$O$31,'Layout 1'!K$16),'Todo-Holiday-Event'!$C$9:$C$258,0)</f>
        <v>#N/A</v>
      </c>
      <c r="AG13" s="3" t="e">
        <f>MATCH(DATE('Layout 1'!$M$31,'Layout 1'!$O$31,'Layout 1'!M$16),'Todo-Holiday-Event'!$C$9:$C$258,0)</f>
        <v>#N/A</v>
      </c>
      <c r="AH13" s="3" t="e">
        <f>MATCH(DATE('Layout 1'!$M$31,'Layout 1'!$O$31,'Layout 1'!O$16),'Todo-Holiday-Event'!$C$9:$C$258,0)</f>
        <v>#N/A</v>
      </c>
    </row>
    <row r="14" spans="1:34" ht="17.25" customHeight="1" x14ac:dyDescent="0.3">
      <c r="A14" s="273"/>
      <c r="B14" s="103">
        <f>IF(H13&lt;&gt;"",IF(DAY(EOMONTH(DATE($G$15,$H$15,1),0))=H13,"",H13+1),"")</f>
        <v>25</v>
      </c>
      <c r="C14" s="103">
        <f t="shared" ref="C14:H14" si="4">IF(B14&lt;&gt;"",IF(DAY(EOMONTH(DATE($G$15,$H$15,1),0))=B14,"",B14+1),"")</f>
        <v>26</v>
      </c>
      <c r="D14" s="103">
        <f t="shared" si="4"/>
        <v>27</v>
      </c>
      <c r="E14" s="103">
        <f t="shared" si="4"/>
        <v>28</v>
      </c>
      <c r="F14" s="103">
        <f t="shared" si="4"/>
        <v>29</v>
      </c>
      <c r="G14" s="103">
        <f t="shared" si="4"/>
        <v>30</v>
      </c>
      <c r="H14" s="103">
        <f t="shared" si="4"/>
        <v>31</v>
      </c>
      <c r="I14" s="106"/>
      <c r="AB14" s="3" t="e">
        <f ca="1">IF(AB13&gt;0,MATCH(DATE('Layout 1'!$M$31,'Layout 1'!$O$31,'Layout 1'!C$16),OFFSET('Todo-Holiday-Event'!$C$9:$C$258,AB13,0),0)+AB13,"")</f>
        <v>#N/A</v>
      </c>
      <c r="AC14" s="3" t="e">
        <f ca="1">IF(AC13&gt;0,MATCH(DATE('Layout 1'!$M$31,'Layout 1'!$O$31,'Layout 1'!E$16),OFFSET('Todo-Holiday-Event'!$C$9:$C$258,AC13,0),0)+AC13,"")</f>
        <v>#N/A</v>
      </c>
      <c r="AD14" s="3" t="e">
        <f ca="1">IF(AD13&gt;0,MATCH(DATE('Layout 1'!$M$31,'Layout 1'!$O$31,'Layout 1'!G$16),OFFSET('Todo-Holiday-Event'!$C$9:$C$258,AD13,0),0)+AD13,"")</f>
        <v>#N/A</v>
      </c>
      <c r="AE14" s="3" t="e">
        <f ca="1">IF(AE13&gt;0,MATCH(DATE('Layout 1'!$M$31,'Layout 1'!$O$31,'Layout 1'!I$16),OFFSET('Todo-Holiday-Event'!$C$9:$C$258,AE13,0),0)+AE13,"")</f>
        <v>#N/A</v>
      </c>
      <c r="AF14" s="3" t="e">
        <f ca="1">IF(AF13&gt;0,MATCH(DATE('Layout 1'!$M$31,'Layout 1'!$O$31,'Layout 1'!K$16),OFFSET('Todo-Holiday-Event'!$C$9:$C$258,AF13,0),0)+AF13,"")</f>
        <v>#N/A</v>
      </c>
      <c r="AG14" s="3" t="e">
        <f ca="1">IF(AG13&gt;0,MATCH(DATE('Layout 1'!$M$31,'Layout 1'!$O$31,'Layout 1'!M$16),OFFSET('Todo-Holiday-Event'!$C$9:$C$258,AG13,0),0)+AG13,"")</f>
        <v>#N/A</v>
      </c>
      <c r="AH14" s="3" t="e">
        <f ca="1">IF(AH13&gt;0,MATCH(DATE('Layout 1'!$M$31,'Layout 1'!$O$31,'Layout 1'!O$16),OFFSET('Todo-Holiday-Event'!$C$9:$C$258,AH13,0),0)+AH13,"")</f>
        <v>#N/A</v>
      </c>
    </row>
    <row r="15" spans="1:34" ht="17.25" customHeight="1" x14ac:dyDescent="0.3">
      <c r="A15" s="273"/>
      <c r="B15" s="103" t="str">
        <f>IF(H14&lt;&gt;"",IF(DAY(EOMONTH(DATE($G$15,$H$15,1),0))=H14,"",H14+1),"")</f>
        <v/>
      </c>
      <c r="C15" s="103" t="str">
        <f>IF(B15&lt;&gt;"",IF(DAY(EOMONTH(DATE($G$15,$H$15,1),0))=B15,"",B15+1),"")</f>
        <v/>
      </c>
      <c r="D15" s="103"/>
      <c r="E15" s="103"/>
      <c r="F15" s="104"/>
      <c r="G15" s="105">
        <f>'Layout 1'!M31</f>
        <v>2019</v>
      </c>
      <c r="H15" s="105">
        <f>'Layout 1'!O31</f>
        <v>8</v>
      </c>
      <c r="I15" s="106"/>
      <c r="K15" s="110"/>
      <c r="AB15" s="3" t="e">
        <f ca="1">IF(AB14&gt;0,MATCH(DATE('Layout 1'!$M$31,'Layout 1'!$O$31,'Layout 1'!C$16),OFFSET('Todo-Holiday-Event'!$C$9:$C$258,AB14,0),0)+AB14,"")</f>
        <v>#N/A</v>
      </c>
      <c r="AC15" s="3" t="e">
        <f ca="1">IF(AC14&gt;0,MATCH(DATE('Layout 1'!$M$31,'Layout 1'!$O$31,'Layout 1'!E$16),OFFSET('Todo-Holiday-Event'!$C$9:$C$258,AC14,0),0)+AC14,"")</f>
        <v>#N/A</v>
      </c>
      <c r="AD15" s="3" t="e">
        <f ca="1">IF(AD14&gt;0,MATCH(DATE('Layout 1'!$M$31,'Layout 1'!$O$31,'Layout 1'!G$16),OFFSET('Todo-Holiday-Event'!$C$9:$C$258,AD14,0),0)+AD14,"")</f>
        <v>#N/A</v>
      </c>
      <c r="AE15" s="3" t="e">
        <f ca="1">IF(AE14&gt;0,MATCH(DATE('Layout 1'!$M$31,'Layout 1'!$O$31,'Layout 1'!I$16),OFFSET('Todo-Holiday-Event'!$C$9:$C$258,AE14,0),0)+AE14,"")</f>
        <v>#N/A</v>
      </c>
      <c r="AF15" s="3" t="e">
        <f ca="1">IF(AF14&gt;0,MATCH(DATE('Layout 1'!$M$31,'Layout 1'!$O$31,'Layout 1'!K$16),OFFSET('Todo-Holiday-Event'!$C$9:$C$258,AF14,0),0)+AF14,"")</f>
        <v>#N/A</v>
      </c>
      <c r="AG15" s="3" t="e">
        <f ca="1">IF(AG14&gt;0,MATCH(DATE('Layout 1'!$M$31,'Layout 1'!$O$31,'Layout 1'!M$16),OFFSET('Todo-Holiday-Event'!$C$9:$C$258,AG14,0),0)+AG14,"")</f>
        <v>#N/A</v>
      </c>
      <c r="AH15" s="3" t="e">
        <f ca="1">IF(AH14&gt;0,MATCH(DATE('Layout 1'!$M$31,'Layout 1'!$O$31,'Layout 1'!O$16),OFFSET('Todo-Holiday-Event'!$C$9:$C$258,AH14,0),0)+AH14,"")</f>
        <v>#N/A</v>
      </c>
    </row>
    <row r="16" spans="1:34" ht="17.25" customHeight="1" x14ac:dyDescent="0.35">
      <c r="A16" s="98"/>
      <c r="B16" s="101"/>
      <c r="C16" s="101"/>
      <c r="D16" s="101"/>
      <c r="E16" s="101"/>
      <c r="F16" s="101"/>
      <c r="G16" s="101"/>
      <c r="H16" s="101"/>
      <c r="I16" s="106"/>
      <c r="AB16" s="3" t="e">
        <f ca="1">IF(AB15&gt;0,MATCH(DATE('Layout 1'!$M$31,'Layout 1'!$O$31,'Layout 1'!C$16),OFFSET('Todo-Holiday-Event'!$C$9:$C$258,AB15,0),0)+AB15,"")</f>
        <v>#N/A</v>
      </c>
      <c r="AC16" s="3" t="e">
        <f ca="1">IF(AC15&gt;0,MATCH(DATE('Layout 1'!$M$31,'Layout 1'!$O$31,'Layout 1'!E$16),OFFSET('Todo-Holiday-Event'!$C$9:$C$258,AC15,0),0)+AC15,"")</f>
        <v>#N/A</v>
      </c>
      <c r="AD16" s="3" t="e">
        <f ca="1">IF(AD15&gt;0,MATCH(DATE('Layout 1'!$M$31,'Layout 1'!$O$31,'Layout 1'!G$16),OFFSET('Todo-Holiday-Event'!$C$9:$C$258,AD15,0),0)+AD15,"")</f>
        <v>#N/A</v>
      </c>
      <c r="AE16" s="3" t="e">
        <f ca="1">IF(AE15&gt;0,MATCH(DATE('Layout 1'!$M$31,'Layout 1'!$O$31,'Layout 1'!I$16),OFFSET('Todo-Holiday-Event'!$C$9:$C$258,AE15,0),0)+AE15,"")</f>
        <v>#N/A</v>
      </c>
      <c r="AF16" s="3" t="e">
        <f ca="1">IF(AF15&gt;0,MATCH(DATE('Layout 1'!$M$31,'Layout 1'!$O$31,'Layout 1'!K$16),OFFSET('Todo-Holiday-Event'!$C$9:$C$258,AF15,0),0)+AF15,"")</f>
        <v>#N/A</v>
      </c>
      <c r="AG16" s="3" t="e">
        <f ca="1">IF(AG15&gt;0,MATCH(DATE('Layout 1'!$M$31,'Layout 1'!$O$31,'Layout 1'!M$16),OFFSET('Todo-Holiday-Event'!$C$9:$C$258,AG15,0),0)+AG15,"")</f>
        <v>#N/A</v>
      </c>
      <c r="AH16" s="3" t="e">
        <f ca="1">IF(AH15&gt;0,MATCH(DATE('Layout 1'!$M$31,'Layout 1'!$O$31,'Layout 1'!O$16),OFFSET('Todo-Holiday-Event'!$C$9:$C$258,AH15,0),0)+AH15,"")</f>
        <v>#N/A</v>
      </c>
    </row>
    <row r="17" spans="1:34" ht="17.25" customHeight="1" x14ac:dyDescent="0.3">
      <c r="A17" s="97"/>
      <c r="B17" s="100"/>
      <c r="C17" s="100"/>
      <c r="D17" s="100"/>
      <c r="E17" s="100"/>
      <c r="F17" s="100"/>
      <c r="G17" s="100"/>
      <c r="H17" s="100"/>
      <c r="I17" s="95"/>
      <c r="K17" s="111"/>
      <c r="AB17" s="3" t="e">
        <f ca="1">IF(AB16&gt;0,MATCH(DATE('Layout 1'!$M$31,'Layout 1'!$O$31,'Layout 1'!C$16),OFFSET('Todo-Holiday-Event'!$C$9:$C$258,AB16,0),0)+AB16,"")</f>
        <v>#N/A</v>
      </c>
      <c r="AC17" s="3" t="e">
        <f ca="1">IF(AC16&gt;0,MATCH(DATE('Layout 1'!$M$31,'Layout 1'!$O$31,'Layout 1'!E$16),OFFSET('Todo-Holiday-Event'!$C$9:$C$258,AC16,0),0)+AC16,"")</f>
        <v>#N/A</v>
      </c>
      <c r="AD17" s="3" t="e">
        <f ca="1">IF(AD16&gt;0,MATCH(DATE('Layout 1'!$M$31,'Layout 1'!$O$31,'Layout 1'!G$16),OFFSET('Todo-Holiday-Event'!$C$9:$C$258,AD16,0),0)+AD16,"")</f>
        <v>#N/A</v>
      </c>
      <c r="AE17" s="3" t="e">
        <f ca="1">IF(AE16&gt;0,MATCH(DATE('Layout 1'!$M$31,'Layout 1'!$O$31,'Layout 1'!I$16),OFFSET('Todo-Holiday-Event'!$C$9:$C$258,AE16,0),0)+AE16,"")</f>
        <v>#N/A</v>
      </c>
      <c r="AF17" s="3" t="e">
        <f ca="1">IF(AF16&gt;0,MATCH(DATE('Layout 1'!$M$31,'Layout 1'!$O$31,'Layout 1'!K$16),OFFSET('Todo-Holiday-Event'!$C$9:$C$258,AF16,0),0)+AF16,"")</f>
        <v>#N/A</v>
      </c>
      <c r="AG17" s="3" t="e">
        <f ca="1">IF(AG16&gt;0,MATCH(DATE('Layout 1'!$M$31,'Layout 1'!$O$31,'Layout 1'!M$16),OFFSET('Todo-Holiday-Event'!$C$9:$C$258,AG16,0),0)+AG16,"")</f>
        <v>#N/A</v>
      </c>
      <c r="AH17" s="3" t="e">
        <f ca="1">IF(AH16&gt;0,MATCH(DATE('Layout 1'!$M$31,'Layout 1'!$O$31,'Layout 1'!O$16),OFFSET('Todo-Holiday-Event'!$C$9:$C$258,AH16,0),0)+AH16,"")</f>
        <v>#N/A</v>
      </c>
    </row>
    <row r="18" spans="1:34" ht="17.25" customHeight="1" x14ac:dyDescent="0.3">
      <c r="A18" s="273" t="str">
        <f>UPPER(TEXT(DATE(G24,H24,E21),"mmm"))</f>
        <v>SEP</v>
      </c>
      <c r="B18" s="108" t="str">
        <f>B1</f>
        <v>S</v>
      </c>
      <c r="C18" s="108" t="str">
        <f t="shared" ref="C18:H18" si="5">C1</f>
        <v>M</v>
      </c>
      <c r="D18" s="108" t="str">
        <f t="shared" si="5"/>
        <v>T</v>
      </c>
      <c r="E18" s="108" t="str">
        <f t="shared" si="5"/>
        <v>W</v>
      </c>
      <c r="F18" s="108" t="str">
        <f t="shared" si="5"/>
        <v>T</v>
      </c>
      <c r="G18" s="108" t="str">
        <f t="shared" si="5"/>
        <v>F</v>
      </c>
      <c r="H18" s="108" t="str">
        <f t="shared" si="5"/>
        <v>S</v>
      </c>
      <c r="AB18" s="3" t="e">
        <f ca="1">IF(AB17&gt;0,MATCH(DATE('Layout 1'!$M$31,'Layout 1'!$O$31,'Layout 1'!C$16),OFFSET('Todo-Holiday-Event'!$C$9:$C$258,AB17,0),0)+AB17,"")</f>
        <v>#N/A</v>
      </c>
      <c r="AC18" s="3" t="e">
        <f ca="1">IF(AC17&gt;0,MATCH(DATE('Layout 1'!$M$31,'Layout 1'!$O$31,'Layout 1'!E$16),OFFSET('Todo-Holiday-Event'!$C$9:$C$258,AC17,0),0)+AC17,"")</f>
        <v>#N/A</v>
      </c>
      <c r="AD18" s="3" t="e">
        <f ca="1">IF(AD17&gt;0,MATCH(DATE('Layout 1'!$M$31,'Layout 1'!$O$31,'Layout 1'!G$16),OFFSET('Todo-Holiday-Event'!$C$9:$C$258,AD17,0),0)+AD17,"")</f>
        <v>#N/A</v>
      </c>
      <c r="AE18" s="3" t="e">
        <f ca="1">IF(AE17&gt;0,MATCH(DATE('Layout 1'!$M$31,'Layout 1'!$O$31,'Layout 1'!I$16),OFFSET('Todo-Holiday-Event'!$C$9:$C$258,AE17,0),0)+AE17,"")</f>
        <v>#N/A</v>
      </c>
      <c r="AF18" s="3" t="e">
        <f ca="1">IF(AF17&gt;0,MATCH(DATE('Layout 1'!$M$31,'Layout 1'!$O$31,'Layout 1'!K$16),OFFSET('Todo-Holiday-Event'!$C$9:$C$258,AF17,0),0)+AF17,"")</f>
        <v>#N/A</v>
      </c>
      <c r="AG18" s="3" t="e">
        <f ca="1">IF(AG17&gt;0,MATCH(DATE('Layout 1'!$M$31,'Layout 1'!$O$31,'Layout 1'!M$16),OFFSET('Todo-Holiday-Event'!$C$9:$C$258,AG17,0),0)+AG17,"")</f>
        <v>#N/A</v>
      </c>
      <c r="AH18" s="3" t="e">
        <f ca="1">IF(AH17&gt;0,MATCH(DATE('Layout 1'!$M$31,'Layout 1'!$O$31,'Layout 1'!O$16),OFFSET('Todo-Holiday-Event'!$C$9:$C$258,AH17,0),0)+AH17,"")</f>
        <v>#N/A</v>
      </c>
    </row>
    <row r="19" spans="1:34" ht="17.25" customHeight="1" x14ac:dyDescent="0.3">
      <c r="A19" s="273"/>
      <c r="B19" s="103">
        <f>IF(WEEKDAY(DATE($G$24,$H$24,1))=1,1,"")</f>
        <v>1</v>
      </c>
      <c r="C19" s="103">
        <f>IF(B19&lt;&gt;"",B19+1,IF(WEEKDAY(DATE($G$24,$H$24,1))=2,1,""))</f>
        <v>2</v>
      </c>
      <c r="D19" s="103">
        <f>IF(C19&lt;&gt;"",C19+1,IF(WEEKDAY(DATE($G$24,$H$24,1))=3,1,""))</f>
        <v>3</v>
      </c>
      <c r="E19" s="103">
        <f>IF(D19&lt;&gt;"",D19+1,IF(WEEKDAY(DATE($G$24,$H$24,1))=4,1,""))</f>
        <v>4</v>
      </c>
      <c r="F19" s="103">
        <f>IF(E19&lt;&gt;"",E19+1,IF(WEEKDAY(DATE($G$24,$H$24,1))=5,1,""))</f>
        <v>5</v>
      </c>
      <c r="G19" s="103">
        <f>IF(F19&lt;&gt;"",F19+1,IF(WEEKDAY(DATE($G$24,$H$24,1))=6,1,""))</f>
        <v>6</v>
      </c>
      <c r="H19" s="103">
        <f>IF(G19&lt;&gt;"",G19+1,IF(WEEKDAY(DATE($G$24,$H$24,1))=7,1,""))</f>
        <v>7</v>
      </c>
      <c r="K19" s="112"/>
      <c r="AB19" s="3">
        <f>MATCH(DATE('Layout 1'!$M$31,'Layout 1'!$O$31,'Layout 1'!C$21),'Todo-Holiday-Event'!$C$9:$C$258,0)</f>
        <v>8</v>
      </c>
      <c r="AC19" s="3" t="e">
        <f>MATCH(DATE('Layout 1'!$M$31,'Layout 1'!$O$31,'Layout 1'!E$21),'Todo-Holiday-Event'!$C$9:$C$258,0)</f>
        <v>#N/A</v>
      </c>
      <c r="AD19" s="3" t="e">
        <f>MATCH(DATE('Layout 1'!$M$31,'Layout 1'!$O$31,'Layout 1'!G$21),'Todo-Holiday-Event'!$C$9:$C$258,0)</f>
        <v>#N/A</v>
      </c>
      <c r="AE19" s="3" t="e">
        <f>MATCH(DATE('Layout 1'!$M$31,'Layout 1'!$O$31,'Layout 1'!I$21),'Todo-Holiday-Event'!$C$9:$C$258,0)</f>
        <v>#N/A</v>
      </c>
      <c r="AF19" s="3" t="e">
        <f>MATCH(DATE('Layout 1'!$M$31,'Layout 1'!$O$31,'Layout 1'!K$21),'Todo-Holiday-Event'!$C$9:$C$258,0)</f>
        <v>#N/A</v>
      </c>
      <c r="AG19" s="3" t="e">
        <f>MATCH(DATE('Layout 1'!$M$31,'Layout 1'!$O$31,'Layout 1'!M$21),'Todo-Holiday-Event'!$C$9:$C$258,0)</f>
        <v>#N/A</v>
      </c>
      <c r="AH19" s="3" t="e">
        <f>MATCH(DATE('Layout 1'!$M$31,'Layout 1'!$O$31,'Layout 1'!O$21),'Todo-Holiday-Event'!$C$9:$C$258,0)</f>
        <v>#N/A</v>
      </c>
    </row>
    <row r="20" spans="1:34" ht="17.25" customHeight="1" x14ac:dyDescent="0.3">
      <c r="A20" s="273"/>
      <c r="B20" s="103">
        <f>H19+1</f>
        <v>8</v>
      </c>
      <c r="C20" s="103">
        <f t="shared" ref="C20:H22" si="6">B20+1</f>
        <v>9</v>
      </c>
      <c r="D20" s="103">
        <f t="shared" si="6"/>
        <v>10</v>
      </c>
      <c r="E20" s="103">
        <f t="shared" si="6"/>
        <v>11</v>
      </c>
      <c r="F20" s="103">
        <f t="shared" si="6"/>
        <v>12</v>
      </c>
      <c r="G20" s="103">
        <f t="shared" si="6"/>
        <v>13</v>
      </c>
      <c r="H20" s="103">
        <f t="shared" si="6"/>
        <v>14</v>
      </c>
      <c r="AB20" s="3" t="e">
        <f ca="1">IF(AB19&gt;0,MATCH(DATE('Layout 1'!$M$31,'Layout 1'!$O$31,'Layout 1'!C$21),OFFSET('Todo-Holiday-Event'!$C$9:$C$258,AB19,0),0)+AB19,"")</f>
        <v>#N/A</v>
      </c>
      <c r="AC20" s="3" t="e">
        <f ca="1">IF(AC19&gt;0,MATCH(DATE('Layout 1'!$M$31,'Layout 1'!$O$31,'Layout 1'!E$21),OFFSET('Todo-Holiday-Event'!$C$9:$C$258,AC19,0),0)+AC19,"")</f>
        <v>#N/A</v>
      </c>
      <c r="AD20" s="3" t="e">
        <f ca="1">IF(AD19&gt;0,MATCH(DATE('Layout 1'!$M$31,'Layout 1'!$O$31,'Layout 1'!G$21),OFFSET('Todo-Holiday-Event'!$C$9:$C$258,AD19,0),0)+AD19,"")</f>
        <v>#N/A</v>
      </c>
      <c r="AE20" s="3" t="e">
        <f ca="1">IF(AE19&gt;0,MATCH(DATE('Layout 1'!$M$31,'Layout 1'!$O$31,'Layout 1'!I$21),OFFSET('Todo-Holiday-Event'!$C$9:$C$258,AE19,0),0)+AE19,"")</f>
        <v>#N/A</v>
      </c>
      <c r="AF20" s="3" t="e">
        <f ca="1">IF(AF19&gt;0,MATCH(DATE('Layout 1'!$M$31,'Layout 1'!$O$31,'Layout 1'!K$21),OFFSET('Todo-Holiday-Event'!$C$9:$C$258,AF19,0),0)+AF19,"")</f>
        <v>#N/A</v>
      </c>
      <c r="AG20" s="3" t="e">
        <f ca="1">IF(AG19&gt;0,MATCH(DATE('Layout 1'!$M$31,'Layout 1'!$O$31,'Layout 1'!M$21),OFFSET('Todo-Holiday-Event'!$C$9:$C$258,AG19,0),0)+AG19,"")</f>
        <v>#N/A</v>
      </c>
      <c r="AH20" s="3" t="e">
        <f ca="1">IF(AH19&gt;0,MATCH(DATE('Layout 1'!$M$31,'Layout 1'!$O$31,'Layout 1'!O$21),OFFSET('Todo-Holiday-Event'!$C$9:$C$258,AH19,0),0)+AH19,"")</f>
        <v>#N/A</v>
      </c>
    </row>
    <row r="21" spans="1:34" ht="17.25" customHeight="1" x14ac:dyDescent="0.3">
      <c r="A21" s="273"/>
      <c r="B21" s="103">
        <f>H20+1</f>
        <v>15</v>
      </c>
      <c r="C21" s="103">
        <f t="shared" si="6"/>
        <v>16</v>
      </c>
      <c r="D21" s="103">
        <f t="shared" si="6"/>
        <v>17</v>
      </c>
      <c r="E21" s="103">
        <f t="shared" si="6"/>
        <v>18</v>
      </c>
      <c r="F21" s="103">
        <f t="shared" si="6"/>
        <v>19</v>
      </c>
      <c r="G21" s="103">
        <f t="shared" si="6"/>
        <v>20</v>
      </c>
      <c r="H21" s="103">
        <f t="shared" si="6"/>
        <v>21</v>
      </c>
      <c r="AB21" s="3" t="e">
        <f ca="1">IF(AB20&gt;0,MATCH(DATE('Layout 1'!$M$31,'Layout 1'!$O$31,'Layout 1'!C$21),OFFSET('Todo-Holiday-Event'!$C$9:$C$258,AB20,0),0)+AB20,"")</f>
        <v>#N/A</v>
      </c>
      <c r="AC21" s="3" t="e">
        <f ca="1">IF(AC20&gt;0,MATCH(DATE('Layout 1'!$M$31,'Layout 1'!$O$31,'Layout 1'!E$21),OFFSET('Todo-Holiday-Event'!$C$9:$C$258,AC20,0),0)+AC20,"")</f>
        <v>#N/A</v>
      </c>
      <c r="AD21" s="3" t="e">
        <f ca="1">IF(AD20&gt;0,MATCH(DATE('Layout 1'!$M$31,'Layout 1'!$O$31,'Layout 1'!G$21),OFFSET('Todo-Holiday-Event'!$C$9:$C$258,AD20,0),0)+AD20,"")</f>
        <v>#N/A</v>
      </c>
      <c r="AE21" s="3" t="e">
        <f ca="1">IF(AE20&gt;0,MATCH(DATE('Layout 1'!$M$31,'Layout 1'!$O$31,'Layout 1'!I$21),OFFSET('Todo-Holiday-Event'!$C$9:$C$258,AE20,0),0)+AE20,"")</f>
        <v>#N/A</v>
      </c>
      <c r="AF21" s="3" t="e">
        <f ca="1">IF(AF20&gt;0,MATCH(DATE('Layout 1'!$M$31,'Layout 1'!$O$31,'Layout 1'!K$21),OFFSET('Todo-Holiday-Event'!$C$9:$C$258,AF20,0),0)+AF20,"")</f>
        <v>#N/A</v>
      </c>
      <c r="AG21" s="3" t="e">
        <f ca="1">IF(AG20&gt;0,MATCH(DATE('Layout 1'!$M$31,'Layout 1'!$O$31,'Layout 1'!M$21),OFFSET('Todo-Holiday-Event'!$C$9:$C$258,AG20,0),0)+AG20,"")</f>
        <v>#N/A</v>
      </c>
      <c r="AH21" s="3" t="e">
        <f ca="1">IF(AH20&gt;0,MATCH(DATE('Layout 1'!$M$31,'Layout 1'!$O$31,'Layout 1'!O$21),OFFSET('Todo-Holiday-Event'!$C$9:$C$258,AH20,0),0)+AH20,"")</f>
        <v>#N/A</v>
      </c>
    </row>
    <row r="22" spans="1:34" ht="17.25" customHeight="1" x14ac:dyDescent="0.3">
      <c r="A22" s="273"/>
      <c r="B22" s="103">
        <f>H21+1</f>
        <v>22</v>
      </c>
      <c r="C22" s="103">
        <f t="shared" si="6"/>
        <v>23</v>
      </c>
      <c r="D22" s="103">
        <f t="shared" si="6"/>
        <v>24</v>
      </c>
      <c r="E22" s="103">
        <f t="shared" si="6"/>
        <v>25</v>
      </c>
      <c r="F22" s="103">
        <f t="shared" si="6"/>
        <v>26</v>
      </c>
      <c r="G22" s="103">
        <f t="shared" si="6"/>
        <v>27</v>
      </c>
      <c r="H22" s="103">
        <f t="shared" si="6"/>
        <v>28</v>
      </c>
      <c r="AB22" s="3" t="e">
        <f ca="1">IF(AB21&gt;0,MATCH(DATE('Layout 1'!$M$31,'Layout 1'!$O$31,'Layout 1'!C$21),OFFSET('Todo-Holiday-Event'!$C$9:$C$258,AB21,0),0)+AB21,"")</f>
        <v>#N/A</v>
      </c>
      <c r="AC22" s="3" t="e">
        <f ca="1">IF(AC21&gt;0,MATCH(DATE('Layout 1'!$M$31,'Layout 1'!$O$31,'Layout 1'!E$21),OFFSET('Todo-Holiday-Event'!$C$9:$C$258,AC21,0),0)+AC21,"")</f>
        <v>#N/A</v>
      </c>
      <c r="AD22" s="3" t="e">
        <f ca="1">IF(AD21&gt;0,MATCH(DATE('Layout 1'!$M$31,'Layout 1'!$O$31,'Layout 1'!G$21),OFFSET('Todo-Holiday-Event'!$C$9:$C$258,AD21,0),0)+AD21,"")</f>
        <v>#N/A</v>
      </c>
      <c r="AE22" s="3" t="e">
        <f ca="1">IF(AE21&gt;0,MATCH(DATE('Layout 1'!$M$31,'Layout 1'!$O$31,'Layout 1'!I$21),OFFSET('Todo-Holiday-Event'!$C$9:$C$258,AE21,0),0)+AE21,"")</f>
        <v>#N/A</v>
      </c>
      <c r="AF22" s="3" t="e">
        <f ca="1">IF(AF21&gt;0,MATCH(DATE('Layout 1'!$M$31,'Layout 1'!$O$31,'Layout 1'!K$21),OFFSET('Todo-Holiday-Event'!$C$9:$C$258,AF21,0),0)+AF21,"")</f>
        <v>#N/A</v>
      </c>
      <c r="AG22" s="3" t="e">
        <f ca="1">IF(AG21&gt;0,MATCH(DATE('Layout 1'!$M$31,'Layout 1'!$O$31,'Layout 1'!M$21),OFFSET('Todo-Holiday-Event'!$C$9:$C$258,AG21,0),0)+AG21,"")</f>
        <v>#N/A</v>
      </c>
      <c r="AH22" s="3" t="e">
        <f ca="1">IF(AH21&gt;0,MATCH(DATE('Layout 1'!$M$31,'Layout 1'!$O$31,'Layout 1'!O$21),OFFSET('Todo-Holiday-Event'!$C$9:$C$258,AH21,0),0)+AH21,"")</f>
        <v>#N/A</v>
      </c>
    </row>
    <row r="23" spans="1:34" ht="17.25" customHeight="1" x14ac:dyDescent="0.3">
      <c r="A23" s="273"/>
      <c r="B23" s="103">
        <f>IF(H22&lt;&gt;"",IF(DAY(EOMONTH(DATE($G$24,$H$24,1),0))=H22,"",H22+1),"")</f>
        <v>29</v>
      </c>
      <c r="C23" s="103">
        <f t="shared" ref="C23:H23" si="7">IF(B23&lt;&gt;"",IF(DAY(EOMONTH(DATE($G$24,$H$24,1),0))=B23,"",B23+1),"")</f>
        <v>30</v>
      </c>
      <c r="D23" s="103" t="str">
        <f t="shared" si="7"/>
        <v/>
      </c>
      <c r="E23" s="103" t="str">
        <f t="shared" si="7"/>
        <v/>
      </c>
      <c r="F23" s="103" t="str">
        <f t="shared" si="7"/>
        <v/>
      </c>
      <c r="G23" s="103" t="str">
        <f t="shared" si="7"/>
        <v/>
      </c>
      <c r="H23" s="103" t="str">
        <f t="shared" si="7"/>
        <v/>
      </c>
      <c r="AB23" s="3" t="e">
        <f ca="1">IF(AB22&gt;0,MATCH(DATE('Layout 1'!$M$31,'Layout 1'!$O$31,'Layout 1'!C$21),OFFSET('Todo-Holiday-Event'!$C$9:$C$258,AB22,0),0)+AB22,"")</f>
        <v>#N/A</v>
      </c>
      <c r="AC23" s="3" t="e">
        <f ca="1">IF(AC22&gt;0,MATCH(DATE('Layout 1'!$M$31,'Layout 1'!$O$31,'Layout 1'!E$21),OFFSET('Todo-Holiday-Event'!$C$9:$C$258,AC22,0),0)+AC22,"")</f>
        <v>#N/A</v>
      </c>
      <c r="AD23" s="3" t="e">
        <f ca="1">IF(AD22&gt;0,MATCH(DATE('Layout 1'!$M$31,'Layout 1'!$O$31,'Layout 1'!G$21),OFFSET('Todo-Holiday-Event'!$C$9:$C$258,AD22,0),0)+AD22,"")</f>
        <v>#N/A</v>
      </c>
      <c r="AE23" s="3" t="e">
        <f ca="1">IF(AE22&gt;0,MATCH(DATE('Layout 1'!$M$31,'Layout 1'!$O$31,'Layout 1'!I$21),OFFSET('Todo-Holiday-Event'!$C$9:$C$258,AE22,0),0)+AE22,"")</f>
        <v>#N/A</v>
      </c>
      <c r="AF23" s="3" t="e">
        <f ca="1">IF(AF22&gt;0,MATCH(DATE('Layout 1'!$M$31,'Layout 1'!$O$31,'Layout 1'!K$21),OFFSET('Todo-Holiday-Event'!$C$9:$C$258,AF22,0),0)+AF22,"")</f>
        <v>#N/A</v>
      </c>
      <c r="AG23" s="3" t="e">
        <f ca="1">IF(AG22&gt;0,MATCH(DATE('Layout 1'!$M$31,'Layout 1'!$O$31,'Layout 1'!M$21),OFFSET('Todo-Holiday-Event'!$C$9:$C$258,AG22,0),0)+AG22,"")</f>
        <v>#N/A</v>
      </c>
      <c r="AH23" s="3" t="e">
        <f ca="1">IF(AH22&gt;0,MATCH(DATE('Layout 1'!$M$31,'Layout 1'!$O$31,'Layout 1'!O$21),OFFSET('Todo-Holiday-Event'!$C$9:$C$258,AH22,0),0)+AH22,"")</f>
        <v>#N/A</v>
      </c>
    </row>
    <row r="24" spans="1:34" ht="17.25" customHeight="1" x14ac:dyDescent="0.3">
      <c r="A24" s="273"/>
      <c r="B24" s="103" t="str">
        <f>IF(H23&lt;&gt;"",IF(DAY(EOMONTH(DATE($G$24,$H$24,1),0))=H23,"",H23+1),"")</f>
        <v/>
      </c>
      <c r="C24" s="103" t="str">
        <f>IF(B24&lt;&gt;"",IF(DAY(EOMONTH(DATE($G$24,$H$24,1),0))=B24,"",B24+1),"")</f>
        <v/>
      </c>
      <c r="D24" s="103"/>
      <c r="E24" s="103"/>
      <c r="F24" s="104"/>
      <c r="G24" s="105">
        <f>IF(H24=1,'Layout 1'!M31+1,'Layout 1'!M31)</f>
        <v>2019</v>
      </c>
      <c r="H24" s="105">
        <f>IF('Layout 1'!O31=12,1,'Layout 1'!O31+1)</f>
        <v>9</v>
      </c>
      <c r="AB24" s="3" t="e">
        <f ca="1">IF(AB23&gt;0,MATCH(DATE('Layout 1'!$M$31,'Layout 1'!$O$31,'Layout 1'!C$21),OFFSET('Todo-Holiday-Event'!$C$9:$C$258,AB23,0),0)+AB23,"")</f>
        <v>#N/A</v>
      </c>
      <c r="AC24" s="3" t="e">
        <f ca="1">IF(AC23&gt;0,MATCH(DATE('Layout 1'!$M$31,'Layout 1'!$O$31,'Layout 1'!E$21),OFFSET('Todo-Holiday-Event'!$C$9:$C$258,AC23,0),0)+AC23,"")</f>
        <v>#N/A</v>
      </c>
      <c r="AD24" s="3" t="e">
        <f ca="1">IF(AD23&gt;0,MATCH(DATE('Layout 1'!$M$31,'Layout 1'!$O$31,'Layout 1'!G$21),OFFSET('Todo-Holiday-Event'!$C$9:$C$258,AD23,0),0)+AD23,"")</f>
        <v>#N/A</v>
      </c>
      <c r="AE24" s="3" t="e">
        <f ca="1">IF(AE23&gt;0,MATCH(DATE('Layout 1'!$M$31,'Layout 1'!$O$31,'Layout 1'!I$21),OFFSET('Todo-Holiday-Event'!$C$9:$C$258,AE23,0),0)+AE23,"")</f>
        <v>#N/A</v>
      </c>
      <c r="AF24" s="3" t="e">
        <f ca="1">IF(AF23&gt;0,MATCH(DATE('Layout 1'!$M$31,'Layout 1'!$O$31,'Layout 1'!K$21),OFFSET('Todo-Holiday-Event'!$C$9:$C$258,AF23,0),0)+AF23,"")</f>
        <v>#N/A</v>
      </c>
      <c r="AG24" s="3" t="e">
        <f ca="1">IF(AG23&gt;0,MATCH(DATE('Layout 1'!$M$31,'Layout 1'!$O$31,'Layout 1'!M$21),OFFSET('Todo-Holiday-Event'!$C$9:$C$258,AG23,0),0)+AG23,"")</f>
        <v>#N/A</v>
      </c>
      <c r="AH24" s="3" t="e">
        <f ca="1">IF(AH23&gt;0,MATCH(DATE('Layout 1'!$M$31,'Layout 1'!$O$31,'Layout 1'!O$21),OFFSET('Todo-Holiday-Event'!$C$9:$C$258,AH23,0),0)+AH23,"")</f>
        <v>#N/A</v>
      </c>
    </row>
    <row r="25" spans="1:34" ht="17.25" customHeight="1" x14ac:dyDescent="0.35">
      <c r="AB25" s="3" t="e">
        <f>MATCH(DATE('Layout 1'!$M$31,'Layout 1'!$O$31,'Layout 1'!C$26),'Todo-Holiday-Event'!$C$9:$C$258,0)</f>
        <v>#N/A</v>
      </c>
      <c r="AC25" s="3" t="e">
        <f>MATCH(DATE('Layout 1'!$M$31,'Layout 1'!$O$31,'Layout 1'!E$26),'Todo-Holiday-Event'!$C$9:$C$258,0)</f>
        <v>#N/A</v>
      </c>
      <c r="AD25" s="3" t="e">
        <f>MATCH(DATE('Layout 1'!$M$31,'Layout 1'!$O$31,'Layout 1'!G$26),'Todo-Holiday-Event'!$C$9:$C$258,0)</f>
        <v>#N/A</v>
      </c>
      <c r="AE25" s="3" t="e">
        <f>MATCH(DATE('Layout 1'!$M$31,'Layout 1'!$O$31,'Layout 1'!I$26),'Todo-Holiday-Event'!$C$9:$C$258,0)</f>
        <v>#N/A</v>
      </c>
      <c r="AF25" s="3" t="e">
        <f>MATCH(DATE('Layout 1'!$M$31,'Layout 1'!$O$31,'Layout 1'!K$26),'Todo-Holiday-Event'!$C$9:$C$258,0)</f>
        <v>#N/A</v>
      </c>
      <c r="AG25" s="3" t="e">
        <f>MATCH(DATE('Layout 1'!$M$31,'Layout 1'!$O$31,'Layout 1'!M$26),'Todo-Holiday-Event'!$C$9:$C$258,0)</f>
        <v>#N/A</v>
      </c>
      <c r="AH25" s="3" t="e">
        <f>MATCH(DATE('Layout 1'!$M$31,'Layout 1'!$O$31,'Layout 1'!O$26),'Todo-Holiday-Event'!$C$9:$C$258,0)</f>
        <v>#N/A</v>
      </c>
    </row>
    <row r="26" spans="1:34" ht="17.25" customHeight="1" x14ac:dyDescent="0.3">
      <c r="A26" s="274" t="str">
        <f>A1</f>
        <v>JUL</v>
      </c>
      <c r="B26" s="128" t="str">
        <f>B1</f>
        <v>S</v>
      </c>
      <c r="C26" s="128" t="str">
        <f t="shared" ref="C26:H26" si="8">C1</f>
        <v>M</v>
      </c>
      <c r="D26" s="128" t="str">
        <f t="shared" si="8"/>
        <v>T</v>
      </c>
      <c r="E26" s="128" t="str">
        <f t="shared" si="8"/>
        <v>W</v>
      </c>
      <c r="F26" s="128" t="str">
        <f t="shared" si="8"/>
        <v>T</v>
      </c>
      <c r="G26" s="128" t="str">
        <f t="shared" si="8"/>
        <v>F</v>
      </c>
      <c r="H26" s="128" t="str">
        <f t="shared" si="8"/>
        <v>S</v>
      </c>
      <c r="AB26" s="3" t="e">
        <f ca="1">IF(AB25&gt;0,MATCH(DATE('Layout 1'!$M$31,'Layout 1'!$O$31,'Layout 1'!C$26),OFFSET('Todo-Holiday-Event'!$C$9:$C$258,AB25,0),0)+AB25,"")</f>
        <v>#N/A</v>
      </c>
      <c r="AC26" s="3" t="e">
        <f ca="1">IF(AC25&gt;0,MATCH(DATE('Layout 1'!$M$31,'Layout 1'!$O$31,'Layout 1'!E$26),OFFSET('Todo-Holiday-Event'!$C$9:$C$258,AC25,0),0)+AC25,"")</f>
        <v>#N/A</v>
      </c>
      <c r="AD26" s="3" t="e">
        <f ca="1">IF(AD25&gt;0,MATCH(DATE('Layout 1'!$M$31,'Layout 1'!$O$31,'Layout 1'!G$26),OFFSET('Todo-Holiday-Event'!$C$9:$C$258,AD25,0),0)+AD25,"")</f>
        <v>#N/A</v>
      </c>
      <c r="AE26" s="3" t="e">
        <f ca="1">IF(AE25&gt;0,MATCH(DATE('Layout 1'!$M$31,'Layout 1'!$O$31,'Layout 1'!I$26),OFFSET('Todo-Holiday-Event'!$C$9:$C$258,AE25,0),0)+AE25,"")</f>
        <v>#N/A</v>
      </c>
      <c r="AF26" s="3" t="e">
        <f ca="1">IF(AF25&gt;0,MATCH(DATE('Layout 1'!$M$31,'Layout 1'!$O$31,'Layout 1'!K$26),OFFSET('Todo-Holiday-Event'!$C$9:$C$258,AF25,0),0)+AF25,"")</f>
        <v>#N/A</v>
      </c>
      <c r="AG26" s="3" t="e">
        <f ca="1">IF(AG25&gt;0,MATCH(DATE('Layout 1'!$M$31,'Layout 1'!$O$31,'Layout 1'!M$26),OFFSET('Todo-Holiday-Event'!$C$9:$C$258,AG25,0),0)+AG25,"")</f>
        <v>#N/A</v>
      </c>
      <c r="AH26" s="3" t="e">
        <f ca="1">IF(AH25&gt;0,MATCH(DATE('Layout 1'!$M$31,'Layout 1'!$O$31,'Layout 1'!O$26),OFFSET('Todo-Holiday-Event'!$C$9:$C$258,AH25,0),0)+AH25,"")</f>
        <v>#N/A</v>
      </c>
    </row>
    <row r="27" spans="1:34" ht="17.25" customHeight="1" x14ac:dyDescent="0.3">
      <c r="A27" s="274"/>
      <c r="B27" s="125" t="str">
        <f t="shared" ref="B27:H27" si="9">B2</f>
        <v/>
      </c>
      <c r="C27" s="125">
        <f t="shared" si="9"/>
        <v>1</v>
      </c>
      <c r="D27" s="125">
        <f t="shared" si="9"/>
        <v>2</v>
      </c>
      <c r="E27" s="125">
        <f t="shared" si="9"/>
        <v>3</v>
      </c>
      <c r="F27" s="125">
        <f t="shared" si="9"/>
        <v>4</v>
      </c>
      <c r="G27" s="125">
        <f t="shared" si="9"/>
        <v>5</v>
      </c>
      <c r="H27" s="125">
        <f t="shared" si="9"/>
        <v>6</v>
      </c>
      <c r="AB27" s="3" t="e">
        <f ca="1">IF(AB26&gt;0,MATCH(DATE('Layout 1'!$M$31,'Layout 1'!$O$31,'Layout 1'!C$26),OFFSET('Todo-Holiday-Event'!$C$9:$C$258,AB26,0),0)+AB26,"")</f>
        <v>#N/A</v>
      </c>
      <c r="AC27" s="3" t="e">
        <f ca="1">IF(AC26&gt;0,MATCH(DATE('Layout 1'!$M$31,'Layout 1'!$O$31,'Layout 1'!E$26),OFFSET('Todo-Holiday-Event'!$C$9:$C$258,AC26,0),0)+AC26,"")</f>
        <v>#N/A</v>
      </c>
      <c r="AD27" s="3" t="e">
        <f ca="1">IF(AD26&gt;0,MATCH(DATE('Layout 1'!$M$31,'Layout 1'!$O$31,'Layout 1'!G$26),OFFSET('Todo-Holiday-Event'!$C$9:$C$258,AD26,0),0)+AD26,"")</f>
        <v>#N/A</v>
      </c>
      <c r="AE27" s="3" t="e">
        <f ca="1">IF(AE26&gt;0,MATCH(DATE('Layout 1'!$M$31,'Layout 1'!$O$31,'Layout 1'!I$26),OFFSET('Todo-Holiday-Event'!$C$9:$C$258,AE26,0),0)+AE26,"")</f>
        <v>#N/A</v>
      </c>
      <c r="AF27" s="3" t="e">
        <f ca="1">IF(AF26&gt;0,MATCH(DATE('Layout 1'!$M$31,'Layout 1'!$O$31,'Layout 1'!K$26),OFFSET('Todo-Holiday-Event'!$C$9:$C$258,AF26,0),0)+AF26,"")</f>
        <v>#N/A</v>
      </c>
      <c r="AG27" s="3" t="e">
        <f ca="1">IF(AG26&gt;0,MATCH(DATE('Layout 1'!$M$31,'Layout 1'!$O$31,'Layout 1'!M$26),OFFSET('Todo-Holiday-Event'!$C$9:$C$258,AG26,0),0)+AG26,"")</f>
        <v>#N/A</v>
      </c>
      <c r="AH27" s="3" t="e">
        <f ca="1">IF(AH26&gt;0,MATCH(DATE('Layout 1'!$M$31,'Layout 1'!$O$31,'Layout 1'!O$26),OFFSET('Todo-Holiday-Event'!$C$9:$C$258,AH26,0),0)+AH26,"")</f>
        <v>#N/A</v>
      </c>
    </row>
    <row r="28" spans="1:34" ht="17.25" customHeight="1" x14ac:dyDescent="0.3">
      <c r="A28" s="274"/>
      <c r="B28" s="125">
        <f t="shared" ref="B28:H28" si="10">B3</f>
        <v>7</v>
      </c>
      <c r="C28" s="125">
        <f t="shared" si="10"/>
        <v>8</v>
      </c>
      <c r="D28" s="125">
        <f t="shared" si="10"/>
        <v>9</v>
      </c>
      <c r="E28" s="125">
        <f t="shared" si="10"/>
        <v>10</v>
      </c>
      <c r="F28" s="125">
        <f t="shared" si="10"/>
        <v>11</v>
      </c>
      <c r="G28" s="125">
        <f t="shared" si="10"/>
        <v>12</v>
      </c>
      <c r="H28" s="125">
        <f t="shared" si="10"/>
        <v>13</v>
      </c>
      <c r="AB28" s="3" t="e">
        <f ca="1">IF(AB27&gt;0,MATCH(DATE('Layout 1'!$M$31,'Layout 1'!$O$31,'Layout 1'!C$26),OFFSET('Todo-Holiday-Event'!$C$9:$C$258,AB27,0),0)+AB27,"")</f>
        <v>#N/A</v>
      </c>
      <c r="AC28" s="3" t="e">
        <f ca="1">IF(AC27&gt;0,MATCH(DATE('Layout 1'!$M$31,'Layout 1'!$O$31,'Layout 1'!E$26),OFFSET('Todo-Holiday-Event'!$C$9:$C$258,AC27,0),0)+AC27,"")</f>
        <v>#N/A</v>
      </c>
      <c r="AD28" s="3" t="e">
        <f ca="1">IF(AD27&gt;0,MATCH(DATE('Layout 1'!$M$31,'Layout 1'!$O$31,'Layout 1'!G$26),OFFSET('Todo-Holiday-Event'!$C$9:$C$258,AD27,0),0)+AD27,"")</f>
        <v>#N/A</v>
      </c>
      <c r="AE28" s="3" t="e">
        <f ca="1">IF(AE27&gt;0,MATCH(DATE('Layout 1'!$M$31,'Layout 1'!$O$31,'Layout 1'!I$26),OFFSET('Todo-Holiday-Event'!$C$9:$C$258,AE27,0),0)+AE27,"")</f>
        <v>#N/A</v>
      </c>
      <c r="AF28" s="3" t="e">
        <f ca="1">IF(AF27&gt;0,MATCH(DATE('Layout 1'!$M$31,'Layout 1'!$O$31,'Layout 1'!K$26),OFFSET('Todo-Holiday-Event'!$C$9:$C$258,AF27,0),0)+AF27,"")</f>
        <v>#N/A</v>
      </c>
      <c r="AG28" s="3" t="e">
        <f ca="1">IF(AG27&gt;0,MATCH(DATE('Layout 1'!$M$31,'Layout 1'!$O$31,'Layout 1'!M$26),OFFSET('Todo-Holiday-Event'!$C$9:$C$258,AG27,0),0)+AG27,"")</f>
        <v>#N/A</v>
      </c>
      <c r="AH28" s="3" t="e">
        <f ca="1">IF(AH27&gt;0,MATCH(DATE('Layout 1'!$M$31,'Layout 1'!$O$31,'Layout 1'!O$26),OFFSET('Todo-Holiday-Event'!$C$9:$C$258,AH27,0),0)+AH27,"")</f>
        <v>#N/A</v>
      </c>
    </row>
    <row r="29" spans="1:34" ht="17.25" customHeight="1" x14ac:dyDescent="0.3">
      <c r="A29" s="274"/>
      <c r="B29" s="125">
        <f t="shared" ref="B29:H29" si="11">B4</f>
        <v>14</v>
      </c>
      <c r="C29" s="125">
        <f t="shared" si="11"/>
        <v>15</v>
      </c>
      <c r="D29" s="125">
        <f t="shared" si="11"/>
        <v>16</v>
      </c>
      <c r="E29" s="125">
        <f t="shared" si="11"/>
        <v>17</v>
      </c>
      <c r="F29" s="125">
        <f t="shared" si="11"/>
        <v>18</v>
      </c>
      <c r="G29" s="125">
        <f t="shared" si="11"/>
        <v>19</v>
      </c>
      <c r="H29" s="125">
        <f t="shared" si="11"/>
        <v>20</v>
      </c>
      <c r="AB29" s="3" t="e">
        <f ca="1">IF(AB28&gt;0,MATCH(DATE('Layout 1'!$M$31,'Layout 1'!$O$31,'Layout 1'!C$26),OFFSET('Todo-Holiday-Event'!$C$9:$C$258,AB28,0),0)+AB28,"")</f>
        <v>#N/A</v>
      </c>
      <c r="AC29" s="3" t="e">
        <f ca="1">IF(AC28&gt;0,MATCH(DATE('Layout 1'!$M$31,'Layout 1'!$O$31,'Layout 1'!E$26),OFFSET('Todo-Holiday-Event'!$C$9:$C$258,AC28,0),0)+AC28,"")</f>
        <v>#N/A</v>
      </c>
      <c r="AD29" s="3" t="e">
        <f ca="1">IF(AD28&gt;0,MATCH(DATE('Layout 1'!$M$31,'Layout 1'!$O$31,'Layout 1'!G$26),OFFSET('Todo-Holiday-Event'!$C$9:$C$258,AD28,0),0)+AD28,"")</f>
        <v>#N/A</v>
      </c>
      <c r="AE29" s="3" t="e">
        <f ca="1">IF(AE28&gt;0,MATCH(DATE('Layout 1'!$M$31,'Layout 1'!$O$31,'Layout 1'!I$26),OFFSET('Todo-Holiday-Event'!$C$9:$C$258,AE28,0),0)+AE28,"")</f>
        <v>#N/A</v>
      </c>
      <c r="AF29" s="3" t="e">
        <f ca="1">IF(AF28&gt;0,MATCH(DATE('Layout 1'!$M$31,'Layout 1'!$O$31,'Layout 1'!K$26),OFFSET('Todo-Holiday-Event'!$C$9:$C$258,AF28,0),0)+AF28,"")</f>
        <v>#N/A</v>
      </c>
      <c r="AG29" s="3" t="e">
        <f ca="1">IF(AG28&gt;0,MATCH(DATE('Layout 1'!$M$31,'Layout 1'!$O$31,'Layout 1'!M$26),OFFSET('Todo-Holiday-Event'!$C$9:$C$258,AG28,0),0)+AG28,"")</f>
        <v>#N/A</v>
      </c>
      <c r="AH29" s="3" t="e">
        <f ca="1">IF(AH28&gt;0,MATCH(DATE('Layout 1'!$M$31,'Layout 1'!$O$31,'Layout 1'!O$26),OFFSET('Todo-Holiday-Event'!$C$9:$C$258,AH28,0),0)+AH28,"")</f>
        <v>#N/A</v>
      </c>
    </row>
    <row r="30" spans="1:34" ht="17.25" customHeight="1" x14ac:dyDescent="0.3">
      <c r="A30" s="274"/>
      <c r="B30" s="125">
        <f t="shared" ref="B30:H30" si="12">B5</f>
        <v>21</v>
      </c>
      <c r="C30" s="125">
        <f t="shared" si="12"/>
        <v>22</v>
      </c>
      <c r="D30" s="125">
        <f t="shared" si="12"/>
        <v>23</v>
      </c>
      <c r="E30" s="125">
        <f t="shared" si="12"/>
        <v>24</v>
      </c>
      <c r="F30" s="125">
        <f t="shared" si="12"/>
        <v>25</v>
      </c>
      <c r="G30" s="125">
        <f t="shared" si="12"/>
        <v>26</v>
      </c>
      <c r="H30" s="125">
        <f t="shared" si="12"/>
        <v>27</v>
      </c>
      <c r="AB30" s="3" t="e">
        <f ca="1">IF(AB29&gt;0,MATCH(DATE('Layout 1'!$M$31,'Layout 1'!$O$31,'Layout 1'!C$26),OFFSET('Todo-Holiday-Event'!$C$9:$C$258,AB29,0),0)+AB29,"")</f>
        <v>#N/A</v>
      </c>
      <c r="AC30" s="3" t="e">
        <f ca="1">IF(AC29&gt;0,MATCH(DATE('Layout 1'!$M$31,'Layout 1'!$O$31,'Layout 1'!E$26),OFFSET('Todo-Holiday-Event'!$C$9:$C$258,AC29,0),0)+AC29,"")</f>
        <v>#N/A</v>
      </c>
      <c r="AD30" s="3" t="e">
        <f ca="1">IF(AD29&gt;0,MATCH(DATE('Layout 1'!$M$31,'Layout 1'!$O$31,'Layout 1'!G$26),OFFSET('Todo-Holiday-Event'!$C$9:$C$258,AD29,0),0)+AD29,"")</f>
        <v>#N/A</v>
      </c>
      <c r="AE30" s="3" t="e">
        <f ca="1">IF(AE29&gt;0,MATCH(DATE('Layout 1'!$M$31,'Layout 1'!$O$31,'Layout 1'!I$26),OFFSET('Todo-Holiday-Event'!$C$9:$C$258,AE29,0),0)+AE29,"")</f>
        <v>#N/A</v>
      </c>
      <c r="AF30" s="3" t="e">
        <f ca="1">IF(AF29&gt;0,MATCH(DATE('Layout 1'!$M$31,'Layout 1'!$O$31,'Layout 1'!K$26),OFFSET('Todo-Holiday-Event'!$C$9:$C$258,AF29,0),0)+AF29,"")</f>
        <v>#N/A</v>
      </c>
      <c r="AG30" s="3" t="e">
        <f ca="1">IF(AG29&gt;0,MATCH(DATE('Layout 1'!$M$31,'Layout 1'!$O$31,'Layout 1'!M$26),OFFSET('Todo-Holiday-Event'!$C$9:$C$258,AG29,0),0)+AG29,"")</f>
        <v>#N/A</v>
      </c>
      <c r="AH30" s="3" t="e">
        <f ca="1">IF(AH29&gt;0,MATCH(DATE('Layout 1'!$M$31,'Layout 1'!$O$31,'Layout 1'!O$26),OFFSET('Todo-Holiday-Event'!$C$9:$C$258,AH29,0),0)+AH29,"")</f>
        <v>#N/A</v>
      </c>
    </row>
    <row r="31" spans="1:34" ht="17.25" customHeight="1" x14ac:dyDescent="0.3">
      <c r="A31" s="274"/>
      <c r="B31" s="125">
        <f t="shared" ref="B31:H31" si="13">B6</f>
        <v>28</v>
      </c>
      <c r="C31" s="125">
        <f t="shared" si="13"/>
        <v>29</v>
      </c>
      <c r="D31" s="125">
        <f t="shared" si="13"/>
        <v>30</v>
      </c>
      <c r="E31" s="125">
        <f t="shared" si="13"/>
        <v>31</v>
      </c>
      <c r="F31" s="125" t="str">
        <f t="shared" si="13"/>
        <v/>
      </c>
      <c r="G31" s="125" t="str">
        <f t="shared" si="13"/>
        <v/>
      </c>
      <c r="H31" s="125" t="str">
        <f t="shared" si="13"/>
        <v/>
      </c>
      <c r="AB31" s="3" t="e">
        <f>MATCH(DATE('Layout 1'!$M$31,'Layout 1'!$O$31,'Layout 1'!C$31),'Todo-Holiday-Event'!$C$9:$C$258,0)</f>
        <v>#VALUE!</v>
      </c>
      <c r="AC31" s="3" t="e">
        <f>MATCH(DATE('Layout 1'!$M$31,'Layout 1'!$O$31,'Layout 1'!E$31),'Todo-Holiday-Event'!$C$9:$C$258,0)</f>
        <v>#VALUE!</v>
      </c>
      <c r="AD31" s="4"/>
      <c r="AE31" s="4"/>
      <c r="AF31" s="4"/>
      <c r="AG31" s="4"/>
      <c r="AH31" s="4"/>
    </row>
    <row r="32" spans="1:34" ht="17.25" customHeight="1" x14ac:dyDescent="0.3">
      <c r="A32" s="274"/>
      <c r="B32" s="125" t="str">
        <f t="shared" ref="B32:H32" si="14">B7</f>
        <v/>
      </c>
      <c r="C32" s="125" t="str">
        <f t="shared" si="14"/>
        <v/>
      </c>
      <c r="D32" s="125"/>
      <c r="E32" s="125"/>
      <c r="F32" s="126"/>
      <c r="G32" s="127">
        <f t="shared" si="14"/>
        <v>2019</v>
      </c>
      <c r="H32" s="127">
        <f t="shared" si="14"/>
        <v>7</v>
      </c>
      <c r="AB32" s="3" t="e">
        <f ca="1">IF(AB31&gt;0,MATCH(DATE('Layout 1'!$M$31,'Layout 1'!$O$31,'Layout 1'!C$31),OFFSET('Todo-Holiday-Event'!$C$9:$C$258,AB31,0),0)+AB31,"")</f>
        <v>#VALUE!</v>
      </c>
      <c r="AC32" s="3" t="e">
        <f ca="1">IF(AC31&gt;0,MATCH(DATE('Layout 1'!$M$31,'Layout 1'!$O$31,'Layout 1'!E$31),OFFSET('Todo-Holiday-Event'!$C$9:$C$258,AC31,0),0)+AC31,"")</f>
        <v>#VALUE!</v>
      </c>
      <c r="AD32" s="4"/>
      <c r="AE32" s="4"/>
      <c r="AF32" s="4"/>
      <c r="AG32" s="4"/>
      <c r="AH32" s="4"/>
    </row>
    <row r="33" spans="1:34" ht="17.25" customHeight="1" x14ac:dyDescent="0.3">
      <c r="A33" s="97"/>
      <c r="B33" s="100"/>
      <c r="C33" s="100"/>
      <c r="D33" s="100"/>
      <c r="E33" s="100"/>
      <c r="F33" s="100"/>
      <c r="G33" s="100"/>
      <c r="H33" s="100"/>
      <c r="AB33" s="3" t="e">
        <f ca="1">IF(AB32&gt;0,MATCH(DATE('Layout 1'!$M$31,'Layout 1'!$O$31,'Layout 1'!C$31),OFFSET('Todo-Holiday-Event'!$C$9:$C$258,AB32,0),0)+AB32,"")</f>
        <v>#VALUE!</v>
      </c>
      <c r="AC33" s="3" t="e">
        <f ca="1">IF(AC32&gt;0,MATCH(DATE('Layout 1'!$M$31,'Layout 1'!$O$31,'Layout 1'!E$31),OFFSET('Todo-Holiday-Event'!$C$9:$C$258,AC32,0),0)+AC32,"")</f>
        <v>#VALUE!</v>
      </c>
      <c r="AD33" s="4"/>
      <c r="AE33" s="4"/>
      <c r="AF33" s="4"/>
      <c r="AG33" s="4"/>
      <c r="AH33" s="4"/>
    </row>
    <row r="34" spans="1:34" ht="17.25" customHeight="1" x14ac:dyDescent="0.3">
      <c r="A34" s="274" t="str">
        <f>A9</f>
        <v>AUG</v>
      </c>
      <c r="B34" s="128" t="str">
        <f>B9</f>
        <v>S</v>
      </c>
      <c r="C34" s="128" t="str">
        <f t="shared" ref="C34:H34" si="15">C9</f>
        <v>M</v>
      </c>
      <c r="D34" s="128" t="str">
        <f t="shared" si="15"/>
        <v>T</v>
      </c>
      <c r="E34" s="128" t="str">
        <f t="shared" si="15"/>
        <v>W</v>
      </c>
      <c r="F34" s="128" t="str">
        <f t="shared" si="15"/>
        <v>T</v>
      </c>
      <c r="G34" s="128" t="str">
        <f t="shared" si="15"/>
        <v>F</v>
      </c>
      <c r="H34" s="128" t="str">
        <f t="shared" si="15"/>
        <v>S</v>
      </c>
      <c r="AB34" s="3" t="e">
        <f ca="1">IF(AB33&gt;0,MATCH(DATE('Layout 1'!$M$31,'Layout 1'!$O$31,'Layout 1'!C$31),OFFSET('Todo-Holiday-Event'!$C$9:$C$258,AB33,0),0)+AB33,"")</f>
        <v>#VALUE!</v>
      </c>
      <c r="AC34" s="3" t="e">
        <f ca="1">IF(AC33&gt;0,MATCH(DATE('Layout 1'!$M$31,'Layout 1'!$O$31,'Layout 1'!E$31),OFFSET('Todo-Holiday-Event'!$C$9:$C$258,AC33,0),0)+AC33,"")</f>
        <v>#VALUE!</v>
      </c>
      <c r="AD34" s="4"/>
      <c r="AE34" s="4"/>
      <c r="AF34" s="4"/>
      <c r="AG34" s="4"/>
      <c r="AH34" s="4"/>
    </row>
    <row r="35" spans="1:34" ht="17.25" customHeight="1" x14ac:dyDescent="0.3">
      <c r="A35" s="274"/>
      <c r="B35" s="125" t="str">
        <f t="shared" ref="B35:H35" si="16">B10</f>
        <v/>
      </c>
      <c r="C35" s="125" t="str">
        <f t="shared" si="16"/>
        <v/>
      </c>
      <c r="D35" s="125" t="str">
        <f t="shared" si="16"/>
        <v/>
      </c>
      <c r="E35" s="125" t="str">
        <f t="shared" si="16"/>
        <v/>
      </c>
      <c r="F35" s="125">
        <f t="shared" si="16"/>
        <v>1</v>
      </c>
      <c r="G35" s="125">
        <f t="shared" si="16"/>
        <v>2</v>
      </c>
      <c r="H35" s="125">
        <f t="shared" si="16"/>
        <v>3</v>
      </c>
      <c r="AB35" s="3" t="e">
        <f ca="1">IF(AB34&gt;0,MATCH(DATE('Layout 1'!$M$31,'Layout 1'!$O$31,'Layout 1'!C$31),OFFSET('Todo-Holiday-Event'!$C$9:$C$258,AB34,0),0)+AB34,"")</f>
        <v>#VALUE!</v>
      </c>
      <c r="AC35" s="3" t="e">
        <f ca="1">IF(AC34&gt;0,MATCH(DATE('Layout 1'!$M$31,'Layout 1'!$O$31,'Layout 1'!E$31),OFFSET('Todo-Holiday-Event'!$C$9:$C$258,AC34,0),0)+AC34,"")</f>
        <v>#VALUE!</v>
      </c>
      <c r="AD35" s="4"/>
      <c r="AE35" s="4"/>
      <c r="AF35" s="4"/>
      <c r="AG35" s="4"/>
      <c r="AH35" s="4"/>
    </row>
    <row r="36" spans="1:34" ht="17.25" customHeight="1" x14ac:dyDescent="0.3">
      <c r="A36" s="274"/>
      <c r="B36" s="125">
        <f t="shared" ref="B36:H36" si="17">B11</f>
        <v>4</v>
      </c>
      <c r="C36" s="125">
        <f t="shared" si="17"/>
        <v>5</v>
      </c>
      <c r="D36" s="125">
        <f t="shared" si="17"/>
        <v>6</v>
      </c>
      <c r="E36" s="125">
        <f t="shared" si="17"/>
        <v>7</v>
      </c>
      <c r="F36" s="125">
        <f t="shared" si="17"/>
        <v>8</v>
      </c>
      <c r="G36" s="125">
        <f t="shared" si="17"/>
        <v>9</v>
      </c>
      <c r="H36" s="125">
        <f t="shared" si="17"/>
        <v>10</v>
      </c>
      <c r="AB36" s="3" t="e">
        <f ca="1">IF(AB35&gt;0,MATCH(DATE('Layout 1'!$M$31,'Layout 1'!$O$31,'Layout 1'!C$31),OFFSET('Todo-Holiday-Event'!$C$9:$C$258,AB35,0),0)+AB35,"")</f>
        <v>#VALUE!</v>
      </c>
      <c r="AC36" s="3" t="e">
        <f ca="1">IF(AC35&gt;0,MATCH(DATE('Layout 1'!$M$31,'Layout 1'!$O$31,'Layout 1'!E$31),OFFSET('Todo-Holiday-Event'!$C$9:$C$258,AC35,0),0)+AC35,"")</f>
        <v>#VALUE!</v>
      </c>
      <c r="AD36" s="5"/>
      <c r="AE36" s="5"/>
      <c r="AF36" s="5"/>
      <c r="AG36" s="5"/>
      <c r="AH36" s="5"/>
    </row>
    <row r="37" spans="1:34" ht="17.25" customHeight="1" x14ac:dyDescent="0.3">
      <c r="A37" s="274"/>
      <c r="B37" s="125">
        <f t="shared" ref="B37:H37" si="18">B12</f>
        <v>11</v>
      </c>
      <c r="C37" s="125">
        <f t="shared" si="18"/>
        <v>12</v>
      </c>
      <c r="D37" s="125">
        <f t="shared" si="18"/>
        <v>13</v>
      </c>
      <c r="E37" s="125">
        <f t="shared" si="18"/>
        <v>14</v>
      </c>
      <c r="F37" s="125">
        <f t="shared" si="18"/>
        <v>15</v>
      </c>
      <c r="G37" s="125">
        <f t="shared" si="18"/>
        <v>16</v>
      </c>
      <c r="H37" s="125">
        <f t="shared" si="18"/>
        <v>17</v>
      </c>
    </row>
    <row r="38" spans="1:34" ht="17.25" customHeight="1" x14ac:dyDescent="0.3">
      <c r="A38" s="274"/>
      <c r="B38" s="125">
        <f t="shared" ref="B38:H38" si="19">B13</f>
        <v>18</v>
      </c>
      <c r="C38" s="125">
        <f t="shared" si="19"/>
        <v>19</v>
      </c>
      <c r="D38" s="125">
        <f t="shared" si="19"/>
        <v>20</v>
      </c>
      <c r="E38" s="125">
        <f t="shared" si="19"/>
        <v>21</v>
      </c>
      <c r="F38" s="125">
        <f t="shared" si="19"/>
        <v>22</v>
      </c>
      <c r="G38" s="125">
        <f t="shared" si="19"/>
        <v>23</v>
      </c>
      <c r="H38" s="125">
        <f t="shared" si="19"/>
        <v>24</v>
      </c>
    </row>
    <row r="39" spans="1:34" ht="17.25" customHeight="1" x14ac:dyDescent="0.3">
      <c r="A39" s="274"/>
      <c r="B39" s="125">
        <f t="shared" ref="B39:H39" si="20">B14</f>
        <v>25</v>
      </c>
      <c r="C39" s="125">
        <f t="shared" si="20"/>
        <v>26</v>
      </c>
      <c r="D39" s="125">
        <f t="shared" si="20"/>
        <v>27</v>
      </c>
      <c r="E39" s="125">
        <f t="shared" si="20"/>
        <v>28</v>
      </c>
      <c r="F39" s="125">
        <f t="shared" si="20"/>
        <v>29</v>
      </c>
      <c r="G39" s="125">
        <f t="shared" si="20"/>
        <v>30</v>
      </c>
      <c r="H39" s="125">
        <f t="shared" si="20"/>
        <v>31</v>
      </c>
    </row>
    <row r="40" spans="1:34" ht="17.25" customHeight="1" x14ac:dyDescent="0.3">
      <c r="A40" s="274"/>
      <c r="B40" s="125" t="str">
        <f t="shared" ref="B40:H40" si="21">B15</f>
        <v/>
      </c>
      <c r="C40" s="125" t="str">
        <f t="shared" si="21"/>
        <v/>
      </c>
      <c r="D40" s="125"/>
      <c r="E40" s="125"/>
      <c r="F40" s="126"/>
      <c r="G40" s="127">
        <f t="shared" si="21"/>
        <v>2019</v>
      </c>
      <c r="H40" s="127">
        <f t="shared" si="21"/>
        <v>8</v>
      </c>
    </row>
    <row r="41" spans="1:34" ht="17.25" customHeight="1" x14ac:dyDescent="0.35">
      <c r="A41" s="98"/>
      <c r="B41" s="101"/>
      <c r="C41" s="101"/>
      <c r="D41" s="101"/>
      <c r="E41" s="101"/>
      <c r="F41" s="101"/>
      <c r="G41" s="101"/>
      <c r="H41" s="101"/>
    </row>
    <row r="42" spans="1:34" ht="17.25" customHeight="1" x14ac:dyDescent="0.3">
      <c r="A42" s="97"/>
      <c r="B42" s="100"/>
      <c r="C42" s="100"/>
      <c r="D42" s="100"/>
      <c r="E42" s="100"/>
      <c r="F42" s="100"/>
      <c r="G42" s="100"/>
      <c r="H42" s="100"/>
    </row>
    <row r="43" spans="1:34" ht="17.25" customHeight="1" x14ac:dyDescent="0.3">
      <c r="A43" s="274" t="str">
        <f>A18</f>
        <v>SEP</v>
      </c>
      <c r="B43" s="128" t="str">
        <f>B18</f>
        <v>S</v>
      </c>
      <c r="C43" s="128" t="str">
        <f t="shared" ref="C43:H43" si="22">C18</f>
        <v>M</v>
      </c>
      <c r="D43" s="128" t="str">
        <f t="shared" si="22"/>
        <v>T</v>
      </c>
      <c r="E43" s="128" t="str">
        <f t="shared" si="22"/>
        <v>W</v>
      </c>
      <c r="F43" s="128" t="str">
        <f t="shared" si="22"/>
        <v>T</v>
      </c>
      <c r="G43" s="128" t="str">
        <f t="shared" si="22"/>
        <v>F</v>
      </c>
      <c r="H43" s="128" t="str">
        <f t="shared" si="22"/>
        <v>S</v>
      </c>
    </row>
    <row r="44" spans="1:34" ht="17.25" customHeight="1" x14ac:dyDescent="0.3">
      <c r="A44" s="274"/>
      <c r="B44" s="125">
        <f t="shared" ref="B44:H44" si="23">B19</f>
        <v>1</v>
      </c>
      <c r="C44" s="125">
        <f t="shared" si="23"/>
        <v>2</v>
      </c>
      <c r="D44" s="125">
        <f t="shared" si="23"/>
        <v>3</v>
      </c>
      <c r="E44" s="125">
        <f t="shared" si="23"/>
        <v>4</v>
      </c>
      <c r="F44" s="125">
        <f t="shared" si="23"/>
        <v>5</v>
      </c>
      <c r="G44" s="125">
        <f t="shared" si="23"/>
        <v>6</v>
      </c>
      <c r="H44" s="125">
        <f t="shared" si="23"/>
        <v>7</v>
      </c>
    </row>
    <row r="45" spans="1:34" ht="17.25" customHeight="1" x14ac:dyDescent="0.3">
      <c r="A45" s="274"/>
      <c r="B45" s="125">
        <f t="shared" ref="B45:H45" si="24">B20</f>
        <v>8</v>
      </c>
      <c r="C45" s="125">
        <f t="shared" si="24"/>
        <v>9</v>
      </c>
      <c r="D45" s="125">
        <f t="shared" si="24"/>
        <v>10</v>
      </c>
      <c r="E45" s="125">
        <f t="shared" si="24"/>
        <v>11</v>
      </c>
      <c r="F45" s="125">
        <f t="shared" si="24"/>
        <v>12</v>
      </c>
      <c r="G45" s="125">
        <f t="shared" si="24"/>
        <v>13</v>
      </c>
      <c r="H45" s="125">
        <f t="shared" si="24"/>
        <v>14</v>
      </c>
    </row>
    <row r="46" spans="1:34" ht="17.25" customHeight="1" x14ac:dyDescent="0.3">
      <c r="A46" s="274"/>
      <c r="B46" s="125">
        <f t="shared" ref="B46:H46" si="25">B21</f>
        <v>15</v>
      </c>
      <c r="C46" s="125">
        <f t="shared" si="25"/>
        <v>16</v>
      </c>
      <c r="D46" s="125">
        <f t="shared" si="25"/>
        <v>17</v>
      </c>
      <c r="E46" s="125">
        <f t="shared" si="25"/>
        <v>18</v>
      </c>
      <c r="F46" s="125">
        <f t="shared" si="25"/>
        <v>19</v>
      </c>
      <c r="G46" s="125">
        <f t="shared" si="25"/>
        <v>20</v>
      </c>
      <c r="H46" s="125">
        <f t="shared" si="25"/>
        <v>21</v>
      </c>
    </row>
    <row r="47" spans="1:34" ht="17.25" customHeight="1" x14ac:dyDescent="0.3">
      <c r="A47" s="274"/>
      <c r="B47" s="125">
        <f t="shared" ref="B47:H47" si="26">B22</f>
        <v>22</v>
      </c>
      <c r="C47" s="125">
        <f t="shared" si="26"/>
        <v>23</v>
      </c>
      <c r="D47" s="125">
        <f t="shared" si="26"/>
        <v>24</v>
      </c>
      <c r="E47" s="125">
        <f t="shared" si="26"/>
        <v>25</v>
      </c>
      <c r="F47" s="125">
        <f t="shared" si="26"/>
        <v>26</v>
      </c>
      <c r="G47" s="125">
        <f t="shared" si="26"/>
        <v>27</v>
      </c>
      <c r="H47" s="125">
        <f t="shared" si="26"/>
        <v>28</v>
      </c>
    </row>
    <row r="48" spans="1:34" ht="17.25" customHeight="1" x14ac:dyDescent="0.3">
      <c r="A48" s="274"/>
      <c r="B48" s="125">
        <f t="shared" ref="B48:H48" si="27">B23</f>
        <v>29</v>
      </c>
      <c r="C48" s="125">
        <f t="shared" si="27"/>
        <v>30</v>
      </c>
      <c r="D48" s="125" t="str">
        <f t="shared" si="27"/>
        <v/>
      </c>
      <c r="E48" s="125" t="str">
        <f t="shared" si="27"/>
        <v/>
      </c>
      <c r="F48" s="125" t="str">
        <f t="shared" si="27"/>
        <v/>
      </c>
      <c r="G48" s="125" t="str">
        <f t="shared" si="27"/>
        <v/>
      </c>
      <c r="H48" s="125" t="str">
        <f t="shared" si="27"/>
        <v/>
      </c>
    </row>
    <row r="49" spans="1:8" ht="17.25" customHeight="1" x14ac:dyDescent="0.3">
      <c r="A49" s="274"/>
      <c r="B49" s="125" t="str">
        <f t="shared" ref="B49:H49" si="28">B24</f>
        <v/>
      </c>
      <c r="C49" s="125" t="str">
        <f t="shared" si="28"/>
        <v/>
      </c>
      <c r="D49" s="125"/>
      <c r="E49" s="125"/>
      <c r="F49" s="126"/>
      <c r="G49" s="127">
        <f t="shared" si="28"/>
        <v>2019</v>
      </c>
      <c r="H49" s="127">
        <f t="shared" si="28"/>
        <v>9</v>
      </c>
    </row>
    <row r="51" spans="1:8" ht="17.25" customHeight="1" x14ac:dyDescent="0.3">
      <c r="A51" s="275" t="str">
        <f>A26</f>
        <v>JUL</v>
      </c>
      <c r="B51" s="227" t="str">
        <f>B26</f>
        <v>S</v>
      </c>
      <c r="C51" s="227" t="str">
        <f t="shared" ref="C51:H51" si="29">C26</f>
        <v>M</v>
      </c>
      <c r="D51" s="227" t="str">
        <f t="shared" si="29"/>
        <v>T</v>
      </c>
      <c r="E51" s="227" t="str">
        <f t="shared" si="29"/>
        <v>W</v>
      </c>
      <c r="F51" s="227" t="str">
        <f t="shared" si="29"/>
        <v>T</v>
      </c>
      <c r="G51" s="227" t="str">
        <f t="shared" si="29"/>
        <v>F</v>
      </c>
      <c r="H51" s="227" t="str">
        <f t="shared" si="29"/>
        <v>S</v>
      </c>
    </row>
    <row r="52" spans="1:8" ht="17.25" customHeight="1" x14ac:dyDescent="0.3">
      <c r="A52" s="275"/>
      <c r="B52" s="224" t="str">
        <f t="shared" ref="B52:H52" si="30">B27</f>
        <v/>
      </c>
      <c r="C52" s="224">
        <f t="shared" si="30"/>
        <v>1</v>
      </c>
      <c r="D52" s="224">
        <f t="shared" si="30"/>
        <v>2</v>
      </c>
      <c r="E52" s="224">
        <f t="shared" si="30"/>
        <v>3</v>
      </c>
      <c r="F52" s="224">
        <f t="shared" si="30"/>
        <v>4</v>
      </c>
      <c r="G52" s="224">
        <f t="shared" si="30"/>
        <v>5</v>
      </c>
      <c r="H52" s="224">
        <f t="shared" si="30"/>
        <v>6</v>
      </c>
    </row>
    <row r="53" spans="1:8" ht="17.25" customHeight="1" x14ac:dyDescent="0.3">
      <c r="A53" s="275"/>
      <c r="B53" s="224">
        <f t="shared" ref="B53:H53" si="31">B28</f>
        <v>7</v>
      </c>
      <c r="C53" s="224">
        <f t="shared" si="31"/>
        <v>8</v>
      </c>
      <c r="D53" s="224">
        <f t="shared" si="31"/>
        <v>9</v>
      </c>
      <c r="E53" s="224">
        <f t="shared" si="31"/>
        <v>10</v>
      </c>
      <c r="F53" s="224">
        <f t="shared" si="31"/>
        <v>11</v>
      </c>
      <c r="G53" s="224">
        <f t="shared" si="31"/>
        <v>12</v>
      </c>
      <c r="H53" s="224">
        <f t="shared" si="31"/>
        <v>13</v>
      </c>
    </row>
    <row r="54" spans="1:8" ht="17.25" customHeight="1" x14ac:dyDescent="0.3">
      <c r="A54" s="275"/>
      <c r="B54" s="224">
        <f t="shared" ref="B54:H54" si="32">B29</f>
        <v>14</v>
      </c>
      <c r="C54" s="224">
        <f t="shared" si="32"/>
        <v>15</v>
      </c>
      <c r="D54" s="224">
        <f t="shared" si="32"/>
        <v>16</v>
      </c>
      <c r="E54" s="224">
        <f t="shared" si="32"/>
        <v>17</v>
      </c>
      <c r="F54" s="224">
        <f t="shared" si="32"/>
        <v>18</v>
      </c>
      <c r="G54" s="224">
        <f t="shared" si="32"/>
        <v>19</v>
      </c>
      <c r="H54" s="224">
        <f t="shared" si="32"/>
        <v>20</v>
      </c>
    </row>
    <row r="55" spans="1:8" ht="17.25" customHeight="1" x14ac:dyDescent="0.3">
      <c r="A55" s="275"/>
      <c r="B55" s="224">
        <f t="shared" ref="B55:H55" si="33">B30</f>
        <v>21</v>
      </c>
      <c r="C55" s="224">
        <f t="shared" si="33"/>
        <v>22</v>
      </c>
      <c r="D55" s="224">
        <f t="shared" si="33"/>
        <v>23</v>
      </c>
      <c r="E55" s="224">
        <f t="shared" si="33"/>
        <v>24</v>
      </c>
      <c r="F55" s="224">
        <f t="shared" si="33"/>
        <v>25</v>
      </c>
      <c r="G55" s="224">
        <f t="shared" si="33"/>
        <v>26</v>
      </c>
      <c r="H55" s="224">
        <f t="shared" si="33"/>
        <v>27</v>
      </c>
    </row>
    <row r="56" spans="1:8" ht="17.25" customHeight="1" x14ac:dyDescent="0.3">
      <c r="A56" s="275"/>
      <c r="B56" s="224">
        <f t="shared" ref="B56:H56" si="34">B31</f>
        <v>28</v>
      </c>
      <c r="C56" s="224">
        <f t="shared" si="34"/>
        <v>29</v>
      </c>
      <c r="D56" s="224">
        <f t="shared" si="34"/>
        <v>30</v>
      </c>
      <c r="E56" s="224">
        <f t="shared" si="34"/>
        <v>31</v>
      </c>
      <c r="F56" s="224" t="str">
        <f t="shared" si="34"/>
        <v/>
      </c>
      <c r="G56" s="224" t="str">
        <f t="shared" si="34"/>
        <v/>
      </c>
      <c r="H56" s="224" t="str">
        <f t="shared" si="34"/>
        <v/>
      </c>
    </row>
    <row r="57" spans="1:8" ht="17.25" customHeight="1" x14ac:dyDescent="0.3">
      <c r="A57" s="275"/>
      <c r="B57" s="224" t="str">
        <f t="shared" ref="B57:C57" si="35">B32</f>
        <v/>
      </c>
      <c r="C57" s="224" t="str">
        <f t="shared" si="35"/>
        <v/>
      </c>
      <c r="D57" s="224"/>
      <c r="E57" s="224"/>
      <c r="F57" s="225"/>
      <c r="G57" s="226">
        <f t="shared" ref="G57:H57" si="36">G32</f>
        <v>2019</v>
      </c>
      <c r="H57" s="226">
        <f t="shared" si="36"/>
        <v>7</v>
      </c>
    </row>
    <row r="58" spans="1:8" ht="17.25" customHeight="1" x14ac:dyDescent="0.3">
      <c r="A58" s="97"/>
      <c r="B58" s="100"/>
      <c r="C58" s="100"/>
      <c r="D58" s="100"/>
      <c r="E58" s="100"/>
      <c r="F58" s="100"/>
      <c r="G58" s="100"/>
      <c r="H58" s="100"/>
    </row>
    <row r="59" spans="1:8" ht="17.25" customHeight="1" x14ac:dyDescent="0.3">
      <c r="A59" s="275" t="str">
        <f>A34</f>
        <v>AUG</v>
      </c>
      <c r="B59" s="227" t="str">
        <f>B34</f>
        <v>S</v>
      </c>
      <c r="C59" s="227" t="str">
        <f t="shared" ref="C59:H59" si="37">C34</f>
        <v>M</v>
      </c>
      <c r="D59" s="227" t="str">
        <f t="shared" si="37"/>
        <v>T</v>
      </c>
      <c r="E59" s="227" t="str">
        <f t="shared" si="37"/>
        <v>W</v>
      </c>
      <c r="F59" s="227" t="str">
        <f t="shared" si="37"/>
        <v>T</v>
      </c>
      <c r="G59" s="227" t="str">
        <f t="shared" si="37"/>
        <v>F</v>
      </c>
      <c r="H59" s="227" t="str">
        <f t="shared" si="37"/>
        <v>S</v>
      </c>
    </row>
    <row r="60" spans="1:8" ht="17.25" customHeight="1" x14ac:dyDescent="0.3">
      <c r="A60" s="275"/>
      <c r="B60" s="224" t="str">
        <f t="shared" ref="B60:H60" si="38">B35</f>
        <v/>
      </c>
      <c r="C60" s="224" t="str">
        <f t="shared" si="38"/>
        <v/>
      </c>
      <c r="D60" s="224" t="str">
        <f t="shared" si="38"/>
        <v/>
      </c>
      <c r="E60" s="224" t="str">
        <f t="shared" si="38"/>
        <v/>
      </c>
      <c r="F60" s="224">
        <f t="shared" si="38"/>
        <v>1</v>
      </c>
      <c r="G60" s="224">
        <f t="shared" si="38"/>
        <v>2</v>
      </c>
      <c r="H60" s="224">
        <f t="shared" si="38"/>
        <v>3</v>
      </c>
    </row>
    <row r="61" spans="1:8" ht="17.25" customHeight="1" x14ac:dyDescent="0.3">
      <c r="A61" s="275"/>
      <c r="B61" s="224">
        <f t="shared" ref="B61:H61" si="39">B36</f>
        <v>4</v>
      </c>
      <c r="C61" s="224">
        <f t="shared" si="39"/>
        <v>5</v>
      </c>
      <c r="D61" s="224">
        <f t="shared" si="39"/>
        <v>6</v>
      </c>
      <c r="E61" s="224">
        <f t="shared" si="39"/>
        <v>7</v>
      </c>
      <c r="F61" s="224">
        <f t="shared" si="39"/>
        <v>8</v>
      </c>
      <c r="G61" s="224">
        <f t="shared" si="39"/>
        <v>9</v>
      </c>
      <c r="H61" s="224">
        <f t="shared" si="39"/>
        <v>10</v>
      </c>
    </row>
    <row r="62" spans="1:8" ht="17.25" customHeight="1" x14ac:dyDescent="0.3">
      <c r="A62" s="275"/>
      <c r="B62" s="224">
        <f t="shared" ref="B62:H62" si="40">B37</f>
        <v>11</v>
      </c>
      <c r="C62" s="224">
        <f t="shared" si="40"/>
        <v>12</v>
      </c>
      <c r="D62" s="224">
        <f t="shared" si="40"/>
        <v>13</v>
      </c>
      <c r="E62" s="224">
        <f t="shared" si="40"/>
        <v>14</v>
      </c>
      <c r="F62" s="224">
        <f t="shared" si="40"/>
        <v>15</v>
      </c>
      <c r="G62" s="224">
        <f t="shared" si="40"/>
        <v>16</v>
      </c>
      <c r="H62" s="224">
        <f t="shared" si="40"/>
        <v>17</v>
      </c>
    </row>
    <row r="63" spans="1:8" ht="17.25" customHeight="1" x14ac:dyDescent="0.3">
      <c r="A63" s="275"/>
      <c r="B63" s="224">
        <f t="shared" ref="B63:H63" si="41">B38</f>
        <v>18</v>
      </c>
      <c r="C63" s="224">
        <f t="shared" si="41"/>
        <v>19</v>
      </c>
      <c r="D63" s="224">
        <f t="shared" si="41"/>
        <v>20</v>
      </c>
      <c r="E63" s="224">
        <f t="shared" si="41"/>
        <v>21</v>
      </c>
      <c r="F63" s="224">
        <f t="shared" si="41"/>
        <v>22</v>
      </c>
      <c r="G63" s="224">
        <f t="shared" si="41"/>
        <v>23</v>
      </c>
      <c r="H63" s="224">
        <f t="shared" si="41"/>
        <v>24</v>
      </c>
    </row>
    <row r="64" spans="1:8" ht="17.25" customHeight="1" x14ac:dyDescent="0.3">
      <c r="A64" s="275"/>
      <c r="B64" s="224">
        <f t="shared" ref="B64:H64" si="42">B39</f>
        <v>25</v>
      </c>
      <c r="C64" s="224">
        <f t="shared" si="42"/>
        <v>26</v>
      </c>
      <c r="D64" s="224">
        <f t="shared" si="42"/>
        <v>27</v>
      </c>
      <c r="E64" s="224">
        <f t="shared" si="42"/>
        <v>28</v>
      </c>
      <c r="F64" s="224">
        <f t="shared" si="42"/>
        <v>29</v>
      </c>
      <c r="G64" s="224">
        <f t="shared" si="42"/>
        <v>30</v>
      </c>
      <c r="H64" s="224">
        <f t="shared" si="42"/>
        <v>31</v>
      </c>
    </row>
    <row r="65" spans="1:8" ht="17.25" customHeight="1" x14ac:dyDescent="0.3">
      <c r="A65" s="275"/>
      <c r="B65" s="224" t="str">
        <f t="shared" ref="B65:C65" si="43">B40</f>
        <v/>
      </c>
      <c r="C65" s="224" t="str">
        <f t="shared" si="43"/>
        <v/>
      </c>
      <c r="D65" s="224"/>
      <c r="E65" s="224"/>
      <c r="F65" s="225"/>
      <c r="G65" s="226">
        <f t="shared" ref="G65:H65" si="44">G40</f>
        <v>2019</v>
      </c>
      <c r="H65" s="226">
        <f t="shared" si="44"/>
        <v>8</v>
      </c>
    </row>
    <row r="66" spans="1:8" ht="17.25" customHeight="1" x14ac:dyDescent="0.35">
      <c r="A66" s="98"/>
      <c r="B66" s="101"/>
      <c r="C66" s="101"/>
      <c r="D66" s="101"/>
      <c r="E66" s="101"/>
      <c r="F66" s="101"/>
      <c r="G66" s="101"/>
      <c r="H66" s="101"/>
    </row>
    <row r="67" spans="1:8" ht="17.25" customHeight="1" x14ac:dyDescent="0.3">
      <c r="A67" s="97"/>
      <c r="B67" s="100"/>
      <c r="C67" s="100"/>
      <c r="D67" s="100"/>
      <c r="E67" s="100"/>
      <c r="F67" s="100"/>
      <c r="G67" s="100"/>
      <c r="H67" s="100"/>
    </row>
    <row r="68" spans="1:8" ht="17.25" customHeight="1" x14ac:dyDescent="0.3">
      <c r="A68" s="275" t="str">
        <f>A43</f>
        <v>SEP</v>
      </c>
      <c r="B68" s="227" t="str">
        <f>B43</f>
        <v>S</v>
      </c>
      <c r="C68" s="227" t="str">
        <f t="shared" ref="C68:H68" si="45">C43</f>
        <v>M</v>
      </c>
      <c r="D68" s="227" t="str">
        <f t="shared" si="45"/>
        <v>T</v>
      </c>
      <c r="E68" s="227" t="str">
        <f t="shared" si="45"/>
        <v>W</v>
      </c>
      <c r="F68" s="227" t="str">
        <f t="shared" si="45"/>
        <v>T</v>
      </c>
      <c r="G68" s="227" t="str">
        <f t="shared" si="45"/>
        <v>F</v>
      </c>
      <c r="H68" s="227" t="str">
        <f t="shared" si="45"/>
        <v>S</v>
      </c>
    </row>
    <row r="69" spans="1:8" ht="17.25" customHeight="1" x14ac:dyDescent="0.3">
      <c r="A69" s="275"/>
      <c r="B69" s="224">
        <f t="shared" ref="B69:H69" si="46">B44</f>
        <v>1</v>
      </c>
      <c r="C69" s="224">
        <f t="shared" si="46"/>
        <v>2</v>
      </c>
      <c r="D69" s="224">
        <f t="shared" si="46"/>
        <v>3</v>
      </c>
      <c r="E69" s="224">
        <f t="shared" si="46"/>
        <v>4</v>
      </c>
      <c r="F69" s="224">
        <f t="shared" si="46"/>
        <v>5</v>
      </c>
      <c r="G69" s="224">
        <f t="shared" si="46"/>
        <v>6</v>
      </c>
      <c r="H69" s="224">
        <f t="shared" si="46"/>
        <v>7</v>
      </c>
    </row>
    <row r="70" spans="1:8" ht="17.25" customHeight="1" x14ac:dyDescent="0.3">
      <c r="A70" s="275"/>
      <c r="B70" s="224">
        <f t="shared" ref="B70:H70" si="47">B45</f>
        <v>8</v>
      </c>
      <c r="C70" s="224">
        <f t="shared" si="47"/>
        <v>9</v>
      </c>
      <c r="D70" s="224">
        <f t="shared" si="47"/>
        <v>10</v>
      </c>
      <c r="E70" s="224">
        <f t="shared" si="47"/>
        <v>11</v>
      </c>
      <c r="F70" s="224">
        <f t="shared" si="47"/>
        <v>12</v>
      </c>
      <c r="G70" s="224">
        <f t="shared" si="47"/>
        <v>13</v>
      </c>
      <c r="H70" s="224">
        <f t="shared" si="47"/>
        <v>14</v>
      </c>
    </row>
    <row r="71" spans="1:8" ht="17.25" customHeight="1" x14ac:dyDescent="0.3">
      <c r="A71" s="275"/>
      <c r="B71" s="224">
        <f t="shared" ref="B71:H71" si="48">B46</f>
        <v>15</v>
      </c>
      <c r="C71" s="224">
        <f t="shared" si="48"/>
        <v>16</v>
      </c>
      <c r="D71" s="224">
        <f t="shared" si="48"/>
        <v>17</v>
      </c>
      <c r="E71" s="224">
        <f t="shared" si="48"/>
        <v>18</v>
      </c>
      <c r="F71" s="224">
        <f t="shared" si="48"/>
        <v>19</v>
      </c>
      <c r="G71" s="224">
        <f t="shared" si="48"/>
        <v>20</v>
      </c>
      <c r="H71" s="224">
        <f t="shared" si="48"/>
        <v>21</v>
      </c>
    </row>
    <row r="72" spans="1:8" ht="17.25" customHeight="1" x14ac:dyDescent="0.3">
      <c r="A72" s="275"/>
      <c r="B72" s="224">
        <f t="shared" ref="B72:H72" si="49">B47</f>
        <v>22</v>
      </c>
      <c r="C72" s="224">
        <f t="shared" si="49"/>
        <v>23</v>
      </c>
      <c r="D72" s="224">
        <f t="shared" si="49"/>
        <v>24</v>
      </c>
      <c r="E72" s="224">
        <f t="shared" si="49"/>
        <v>25</v>
      </c>
      <c r="F72" s="224">
        <f t="shared" si="49"/>
        <v>26</v>
      </c>
      <c r="G72" s="224">
        <f t="shared" si="49"/>
        <v>27</v>
      </c>
      <c r="H72" s="224">
        <f t="shared" si="49"/>
        <v>28</v>
      </c>
    </row>
    <row r="73" spans="1:8" ht="17.25" customHeight="1" x14ac:dyDescent="0.3">
      <c r="A73" s="275"/>
      <c r="B73" s="224">
        <f t="shared" ref="B73:H73" si="50">B48</f>
        <v>29</v>
      </c>
      <c r="C73" s="224">
        <f t="shared" si="50"/>
        <v>30</v>
      </c>
      <c r="D73" s="224" t="str">
        <f t="shared" si="50"/>
        <v/>
      </c>
      <c r="E73" s="224" t="str">
        <f t="shared" si="50"/>
        <v/>
      </c>
      <c r="F73" s="224" t="str">
        <f t="shared" si="50"/>
        <v/>
      </c>
      <c r="G73" s="224" t="str">
        <f t="shared" si="50"/>
        <v/>
      </c>
      <c r="H73" s="224" t="str">
        <f t="shared" si="50"/>
        <v/>
      </c>
    </row>
    <row r="74" spans="1:8" ht="17.25" customHeight="1" x14ac:dyDescent="0.3">
      <c r="A74" s="275"/>
      <c r="B74" s="224" t="str">
        <f t="shared" ref="B74:C74" si="51">B49</f>
        <v/>
      </c>
      <c r="C74" s="224" t="str">
        <f t="shared" si="51"/>
        <v/>
      </c>
      <c r="D74" s="224"/>
      <c r="E74" s="224"/>
      <c r="F74" s="225"/>
      <c r="G74" s="226">
        <f t="shared" ref="G74:H74" si="52">G49</f>
        <v>2019</v>
      </c>
      <c r="H74" s="226">
        <f t="shared" si="52"/>
        <v>9</v>
      </c>
    </row>
    <row r="76" spans="1:8" ht="17.25" customHeight="1" x14ac:dyDescent="0.3">
      <c r="A76" s="276" t="str">
        <f>A51</f>
        <v>JUL</v>
      </c>
      <c r="B76" s="228" t="str">
        <f>B51</f>
        <v>S</v>
      </c>
      <c r="C76" s="228" t="str">
        <f t="shared" ref="C76:H76" si="53">C51</f>
        <v>M</v>
      </c>
      <c r="D76" s="228" t="str">
        <f t="shared" si="53"/>
        <v>T</v>
      </c>
      <c r="E76" s="228" t="str">
        <f t="shared" si="53"/>
        <v>W</v>
      </c>
      <c r="F76" s="228" t="str">
        <f t="shared" si="53"/>
        <v>T</v>
      </c>
      <c r="G76" s="228" t="str">
        <f t="shared" si="53"/>
        <v>F</v>
      </c>
      <c r="H76" s="228" t="str">
        <f t="shared" si="53"/>
        <v>S</v>
      </c>
    </row>
    <row r="77" spans="1:8" ht="17.25" customHeight="1" x14ac:dyDescent="0.3">
      <c r="A77" s="276"/>
      <c r="B77" s="125" t="str">
        <f t="shared" ref="B77:H77" si="54">B52</f>
        <v/>
      </c>
      <c r="C77" s="125">
        <f t="shared" si="54"/>
        <v>1</v>
      </c>
      <c r="D77" s="125">
        <f t="shared" si="54"/>
        <v>2</v>
      </c>
      <c r="E77" s="125">
        <f t="shared" si="54"/>
        <v>3</v>
      </c>
      <c r="F77" s="125">
        <f t="shared" si="54"/>
        <v>4</v>
      </c>
      <c r="G77" s="125">
        <f t="shared" si="54"/>
        <v>5</v>
      </c>
      <c r="H77" s="125">
        <f t="shared" si="54"/>
        <v>6</v>
      </c>
    </row>
    <row r="78" spans="1:8" ht="17.25" customHeight="1" x14ac:dyDescent="0.3">
      <c r="A78" s="276"/>
      <c r="B78" s="125">
        <f t="shared" ref="B78:H78" si="55">B53</f>
        <v>7</v>
      </c>
      <c r="C78" s="125">
        <f t="shared" si="55"/>
        <v>8</v>
      </c>
      <c r="D78" s="125">
        <f t="shared" si="55"/>
        <v>9</v>
      </c>
      <c r="E78" s="125">
        <f t="shared" si="55"/>
        <v>10</v>
      </c>
      <c r="F78" s="125">
        <f t="shared" si="55"/>
        <v>11</v>
      </c>
      <c r="G78" s="125">
        <f t="shared" si="55"/>
        <v>12</v>
      </c>
      <c r="H78" s="125">
        <f t="shared" si="55"/>
        <v>13</v>
      </c>
    </row>
    <row r="79" spans="1:8" ht="17.25" customHeight="1" x14ac:dyDescent="0.3">
      <c r="A79" s="276"/>
      <c r="B79" s="125">
        <f t="shared" ref="B79:H79" si="56">B54</f>
        <v>14</v>
      </c>
      <c r="C79" s="125">
        <f t="shared" si="56"/>
        <v>15</v>
      </c>
      <c r="D79" s="125">
        <f t="shared" si="56"/>
        <v>16</v>
      </c>
      <c r="E79" s="125">
        <f t="shared" si="56"/>
        <v>17</v>
      </c>
      <c r="F79" s="125">
        <f t="shared" si="56"/>
        <v>18</v>
      </c>
      <c r="G79" s="125">
        <f t="shared" si="56"/>
        <v>19</v>
      </c>
      <c r="H79" s="125">
        <f t="shared" si="56"/>
        <v>20</v>
      </c>
    </row>
    <row r="80" spans="1:8" ht="17.25" customHeight="1" x14ac:dyDescent="0.3">
      <c r="A80" s="276"/>
      <c r="B80" s="125">
        <f t="shared" ref="B80:H80" si="57">B55</f>
        <v>21</v>
      </c>
      <c r="C80" s="125">
        <f t="shared" si="57"/>
        <v>22</v>
      </c>
      <c r="D80" s="125">
        <f t="shared" si="57"/>
        <v>23</v>
      </c>
      <c r="E80" s="125">
        <f t="shared" si="57"/>
        <v>24</v>
      </c>
      <c r="F80" s="125">
        <f t="shared" si="57"/>
        <v>25</v>
      </c>
      <c r="G80" s="125">
        <f t="shared" si="57"/>
        <v>26</v>
      </c>
      <c r="H80" s="125">
        <f t="shared" si="57"/>
        <v>27</v>
      </c>
    </row>
    <row r="81" spans="1:8" ht="17.25" customHeight="1" x14ac:dyDescent="0.3">
      <c r="A81" s="276"/>
      <c r="B81" s="125">
        <f t="shared" ref="B81:H81" si="58">B56</f>
        <v>28</v>
      </c>
      <c r="C81" s="125">
        <f t="shared" si="58"/>
        <v>29</v>
      </c>
      <c r="D81" s="125">
        <f t="shared" si="58"/>
        <v>30</v>
      </c>
      <c r="E81" s="125">
        <f t="shared" si="58"/>
        <v>31</v>
      </c>
      <c r="F81" s="125" t="str">
        <f t="shared" si="58"/>
        <v/>
      </c>
      <c r="G81" s="125" t="str">
        <f t="shared" si="58"/>
        <v/>
      </c>
      <c r="H81" s="125" t="str">
        <f t="shared" si="58"/>
        <v/>
      </c>
    </row>
    <row r="82" spans="1:8" ht="17.25" customHeight="1" x14ac:dyDescent="0.3">
      <c r="A82" s="276"/>
      <c r="B82" s="125" t="str">
        <f t="shared" ref="B82:C82" si="59">B57</f>
        <v/>
      </c>
      <c r="C82" s="125" t="str">
        <f t="shared" si="59"/>
        <v/>
      </c>
      <c r="D82" s="125"/>
      <c r="E82" s="125"/>
      <c r="F82" s="126"/>
      <c r="G82" s="127">
        <f t="shared" ref="G82:H82" si="60">G57</f>
        <v>2019</v>
      </c>
      <c r="H82" s="127">
        <f t="shared" si="60"/>
        <v>7</v>
      </c>
    </row>
    <row r="83" spans="1:8" ht="17.25" customHeight="1" x14ac:dyDescent="0.3">
      <c r="A83" s="97"/>
      <c r="B83" s="100"/>
      <c r="C83" s="100"/>
      <c r="D83" s="100"/>
      <c r="E83" s="100"/>
      <c r="F83" s="100"/>
      <c r="G83" s="100"/>
      <c r="H83" s="100"/>
    </row>
    <row r="84" spans="1:8" ht="17.25" customHeight="1" x14ac:dyDescent="0.3">
      <c r="A84" s="276" t="str">
        <f>A59</f>
        <v>AUG</v>
      </c>
      <c r="B84" s="228" t="str">
        <f>B59</f>
        <v>S</v>
      </c>
      <c r="C84" s="228" t="str">
        <f t="shared" ref="C84:H84" si="61">C59</f>
        <v>M</v>
      </c>
      <c r="D84" s="228" t="str">
        <f t="shared" si="61"/>
        <v>T</v>
      </c>
      <c r="E84" s="228" t="str">
        <f t="shared" si="61"/>
        <v>W</v>
      </c>
      <c r="F84" s="228" t="str">
        <f t="shared" si="61"/>
        <v>T</v>
      </c>
      <c r="G84" s="228" t="str">
        <f t="shared" si="61"/>
        <v>F</v>
      </c>
      <c r="H84" s="228" t="str">
        <f t="shared" si="61"/>
        <v>S</v>
      </c>
    </row>
    <row r="85" spans="1:8" ht="17.25" customHeight="1" x14ac:dyDescent="0.3">
      <c r="A85" s="276"/>
      <c r="B85" s="125" t="str">
        <f t="shared" ref="B85:H85" si="62">B60</f>
        <v/>
      </c>
      <c r="C85" s="125" t="str">
        <f t="shared" si="62"/>
        <v/>
      </c>
      <c r="D85" s="125" t="str">
        <f t="shared" si="62"/>
        <v/>
      </c>
      <c r="E85" s="125" t="str">
        <f t="shared" si="62"/>
        <v/>
      </c>
      <c r="F85" s="125">
        <f t="shared" si="62"/>
        <v>1</v>
      </c>
      <c r="G85" s="125">
        <f t="shared" si="62"/>
        <v>2</v>
      </c>
      <c r="H85" s="125">
        <f t="shared" si="62"/>
        <v>3</v>
      </c>
    </row>
    <row r="86" spans="1:8" ht="17.25" customHeight="1" x14ac:dyDescent="0.3">
      <c r="A86" s="276"/>
      <c r="B86" s="125">
        <f t="shared" ref="B86:H86" si="63">B61</f>
        <v>4</v>
      </c>
      <c r="C86" s="125">
        <f t="shared" si="63"/>
        <v>5</v>
      </c>
      <c r="D86" s="125">
        <f t="shared" si="63"/>
        <v>6</v>
      </c>
      <c r="E86" s="125">
        <f t="shared" si="63"/>
        <v>7</v>
      </c>
      <c r="F86" s="125">
        <f t="shared" si="63"/>
        <v>8</v>
      </c>
      <c r="G86" s="125">
        <f t="shared" si="63"/>
        <v>9</v>
      </c>
      <c r="H86" s="125">
        <f t="shared" si="63"/>
        <v>10</v>
      </c>
    </row>
    <row r="87" spans="1:8" ht="17.25" customHeight="1" x14ac:dyDescent="0.3">
      <c r="A87" s="276"/>
      <c r="B87" s="125">
        <f t="shared" ref="B87:H87" si="64">B62</f>
        <v>11</v>
      </c>
      <c r="C87" s="125">
        <f t="shared" si="64"/>
        <v>12</v>
      </c>
      <c r="D87" s="125">
        <f t="shared" si="64"/>
        <v>13</v>
      </c>
      <c r="E87" s="125">
        <f t="shared" si="64"/>
        <v>14</v>
      </c>
      <c r="F87" s="125">
        <f t="shared" si="64"/>
        <v>15</v>
      </c>
      <c r="G87" s="125">
        <f t="shared" si="64"/>
        <v>16</v>
      </c>
      <c r="H87" s="125">
        <f t="shared" si="64"/>
        <v>17</v>
      </c>
    </row>
    <row r="88" spans="1:8" ht="17.25" customHeight="1" x14ac:dyDescent="0.3">
      <c r="A88" s="276"/>
      <c r="B88" s="125">
        <f t="shared" ref="B88:H88" si="65">B63</f>
        <v>18</v>
      </c>
      <c r="C88" s="125">
        <f t="shared" si="65"/>
        <v>19</v>
      </c>
      <c r="D88" s="125">
        <f t="shared" si="65"/>
        <v>20</v>
      </c>
      <c r="E88" s="125">
        <f t="shared" si="65"/>
        <v>21</v>
      </c>
      <c r="F88" s="125">
        <f t="shared" si="65"/>
        <v>22</v>
      </c>
      <c r="G88" s="125">
        <f t="shared" si="65"/>
        <v>23</v>
      </c>
      <c r="H88" s="125">
        <f t="shared" si="65"/>
        <v>24</v>
      </c>
    </row>
    <row r="89" spans="1:8" ht="17.25" customHeight="1" x14ac:dyDescent="0.3">
      <c r="A89" s="276"/>
      <c r="B89" s="125">
        <f t="shared" ref="B89:H89" si="66">B64</f>
        <v>25</v>
      </c>
      <c r="C89" s="125">
        <f t="shared" si="66"/>
        <v>26</v>
      </c>
      <c r="D89" s="125">
        <f t="shared" si="66"/>
        <v>27</v>
      </c>
      <c r="E89" s="125">
        <f t="shared" si="66"/>
        <v>28</v>
      </c>
      <c r="F89" s="125">
        <f t="shared" si="66"/>
        <v>29</v>
      </c>
      <c r="G89" s="125">
        <f t="shared" si="66"/>
        <v>30</v>
      </c>
      <c r="H89" s="125">
        <f t="shared" si="66"/>
        <v>31</v>
      </c>
    </row>
    <row r="90" spans="1:8" ht="17.25" customHeight="1" x14ac:dyDescent="0.3">
      <c r="A90" s="276"/>
      <c r="B90" s="125" t="str">
        <f t="shared" ref="B90:C90" si="67">B65</f>
        <v/>
      </c>
      <c r="C90" s="125" t="str">
        <f t="shared" si="67"/>
        <v/>
      </c>
      <c r="D90" s="125"/>
      <c r="E90" s="125"/>
      <c r="F90" s="126"/>
      <c r="G90" s="127">
        <f t="shared" ref="G90:H90" si="68">G65</f>
        <v>2019</v>
      </c>
      <c r="H90" s="127">
        <f t="shared" si="68"/>
        <v>8</v>
      </c>
    </row>
    <row r="91" spans="1:8" ht="17.25" customHeight="1" x14ac:dyDescent="0.35">
      <c r="A91" s="98"/>
      <c r="B91" s="101"/>
      <c r="C91" s="101"/>
      <c r="D91" s="101"/>
      <c r="E91" s="101"/>
      <c r="F91" s="101"/>
      <c r="G91" s="101"/>
      <c r="H91" s="101"/>
    </row>
    <row r="92" spans="1:8" ht="17.25" customHeight="1" x14ac:dyDescent="0.3">
      <c r="A92" s="97"/>
      <c r="B92" s="100"/>
      <c r="C92" s="100"/>
      <c r="D92" s="100"/>
      <c r="E92" s="100"/>
      <c r="F92" s="100"/>
      <c r="G92" s="100"/>
      <c r="H92" s="100"/>
    </row>
    <row r="93" spans="1:8" ht="17.25" customHeight="1" x14ac:dyDescent="0.3">
      <c r="A93" s="276" t="str">
        <f>A68</f>
        <v>SEP</v>
      </c>
      <c r="B93" s="228" t="str">
        <f>B68</f>
        <v>S</v>
      </c>
      <c r="C93" s="228" t="str">
        <f t="shared" ref="C93:H93" si="69">C68</f>
        <v>M</v>
      </c>
      <c r="D93" s="228" t="str">
        <f t="shared" si="69"/>
        <v>T</v>
      </c>
      <c r="E93" s="228" t="str">
        <f t="shared" si="69"/>
        <v>W</v>
      </c>
      <c r="F93" s="228" t="str">
        <f t="shared" si="69"/>
        <v>T</v>
      </c>
      <c r="G93" s="228" t="str">
        <f t="shared" si="69"/>
        <v>F</v>
      </c>
      <c r="H93" s="228" t="str">
        <f t="shared" si="69"/>
        <v>S</v>
      </c>
    </row>
    <row r="94" spans="1:8" ht="17.25" customHeight="1" x14ac:dyDescent="0.3">
      <c r="A94" s="276"/>
      <c r="B94" s="125">
        <f t="shared" ref="B94:H94" si="70">B69</f>
        <v>1</v>
      </c>
      <c r="C94" s="125">
        <f t="shared" si="70"/>
        <v>2</v>
      </c>
      <c r="D94" s="125">
        <f t="shared" si="70"/>
        <v>3</v>
      </c>
      <c r="E94" s="125">
        <f t="shared" si="70"/>
        <v>4</v>
      </c>
      <c r="F94" s="125">
        <f t="shared" si="70"/>
        <v>5</v>
      </c>
      <c r="G94" s="125">
        <f t="shared" si="70"/>
        <v>6</v>
      </c>
      <c r="H94" s="125">
        <f t="shared" si="70"/>
        <v>7</v>
      </c>
    </row>
    <row r="95" spans="1:8" ht="17.25" customHeight="1" x14ac:dyDescent="0.3">
      <c r="A95" s="276"/>
      <c r="B95" s="125">
        <f t="shared" ref="B95:H95" si="71">B70</f>
        <v>8</v>
      </c>
      <c r="C95" s="125">
        <f t="shared" si="71"/>
        <v>9</v>
      </c>
      <c r="D95" s="125">
        <f t="shared" si="71"/>
        <v>10</v>
      </c>
      <c r="E95" s="125">
        <f t="shared" si="71"/>
        <v>11</v>
      </c>
      <c r="F95" s="125">
        <f t="shared" si="71"/>
        <v>12</v>
      </c>
      <c r="G95" s="125">
        <f t="shared" si="71"/>
        <v>13</v>
      </c>
      <c r="H95" s="125">
        <f t="shared" si="71"/>
        <v>14</v>
      </c>
    </row>
    <row r="96" spans="1:8" ht="17.25" customHeight="1" x14ac:dyDescent="0.3">
      <c r="A96" s="276"/>
      <c r="B96" s="125">
        <f t="shared" ref="B96:H96" si="72">B71</f>
        <v>15</v>
      </c>
      <c r="C96" s="125">
        <f t="shared" si="72"/>
        <v>16</v>
      </c>
      <c r="D96" s="125">
        <f t="shared" si="72"/>
        <v>17</v>
      </c>
      <c r="E96" s="125">
        <f t="shared" si="72"/>
        <v>18</v>
      </c>
      <c r="F96" s="125">
        <f t="shared" si="72"/>
        <v>19</v>
      </c>
      <c r="G96" s="125">
        <f t="shared" si="72"/>
        <v>20</v>
      </c>
      <c r="H96" s="125">
        <f t="shared" si="72"/>
        <v>21</v>
      </c>
    </row>
    <row r="97" spans="1:8" ht="17.25" customHeight="1" x14ac:dyDescent="0.3">
      <c r="A97" s="276"/>
      <c r="B97" s="125">
        <f t="shared" ref="B97:H97" si="73">B72</f>
        <v>22</v>
      </c>
      <c r="C97" s="125">
        <f t="shared" si="73"/>
        <v>23</v>
      </c>
      <c r="D97" s="125">
        <f t="shared" si="73"/>
        <v>24</v>
      </c>
      <c r="E97" s="125">
        <f t="shared" si="73"/>
        <v>25</v>
      </c>
      <c r="F97" s="125">
        <f t="shared" si="73"/>
        <v>26</v>
      </c>
      <c r="G97" s="125">
        <f t="shared" si="73"/>
        <v>27</v>
      </c>
      <c r="H97" s="125">
        <f t="shared" si="73"/>
        <v>28</v>
      </c>
    </row>
    <row r="98" spans="1:8" ht="17.25" customHeight="1" x14ac:dyDescent="0.3">
      <c r="A98" s="276"/>
      <c r="B98" s="125">
        <f t="shared" ref="B98:H98" si="74">B73</f>
        <v>29</v>
      </c>
      <c r="C98" s="125">
        <f t="shared" si="74"/>
        <v>30</v>
      </c>
      <c r="D98" s="125" t="str">
        <f t="shared" si="74"/>
        <v/>
      </c>
      <c r="E98" s="125" t="str">
        <f t="shared" si="74"/>
        <v/>
      </c>
      <c r="F98" s="125" t="str">
        <f t="shared" si="74"/>
        <v/>
      </c>
      <c r="G98" s="125" t="str">
        <f t="shared" si="74"/>
        <v/>
      </c>
      <c r="H98" s="125" t="str">
        <f t="shared" si="74"/>
        <v/>
      </c>
    </row>
    <row r="99" spans="1:8" ht="17.25" customHeight="1" x14ac:dyDescent="0.3">
      <c r="A99" s="276"/>
      <c r="B99" s="125" t="str">
        <f t="shared" ref="B99:C99" si="75">B74</f>
        <v/>
      </c>
      <c r="C99" s="125" t="str">
        <f t="shared" si="75"/>
        <v/>
      </c>
      <c r="D99" s="125"/>
      <c r="E99" s="125"/>
      <c r="F99" s="126"/>
      <c r="G99" s="127">
        <f t="shared" ref="G99:H99" si="76">G74</f>
        <v>2019</v>
      </c>
      <c r="H99" s="127">
        <f t="shared" si="76"/>
        <v>9</v>
      </c>
    </row>
    <row r="101" spans="1:8" ht="17.25" customHeight="1" x14ac:dyDescent="0.3">
      <c r="A101" s="273" t="str">
        <f>A76</f>
        <v>JUL</v>
      </c>
      <c r="B101" s="108" t="str">
        <f>B76</f>
        <v>S</v>
      </c>
      <c r="C101" s="108" t="str">
        <f t="shared" ref="C101:H101" si="77">C76</f>
        <v>M</v>
      </c>
      <c r="D101" s="108" t="str">
        <f t="shared" si="77"/>
        <v>T</v>
      </c>
      <c r="E101" s="108" t="str">
        <f t="shared" si="77"/>
        <v>W</v>
      </c>
      <c r="F101" s="108" t="str">
        <f t="shared" si="77"/>
        <v>T</v>
      </c>
      <c r="G101" s="108" t="str">
        <f t="shared" si="77"/>
        <v>F</v>
      </c>
      <c r="H101" s="108" t="str">
        <f t="shared" si="77"/>
        <v>S</v>
      </c>
    </row>
    <row r="102" spans="1:8" ht="17.25" customHeight="1" x14ac:dyDescent="0.3">
      <c r="A102" s="273"/>
      <c r="B102" s="125" t="str">
        <f t="shared" ref="B102:H102" si="78">B77</f>
        <v/>
      </c>
      <c r="C102" s="125">
        <f t="shared" si="78"/>
        <v>1</v>
      </c>
      <c r="D102" s="125">
        <f t="shared" si="78"/>
        <v>2</v>
      </c>
      <c r="E102" s="125">
        <f t="shared" si="78"/>
        <v>3</v>
      </c>
      <c r="F102" s="125">
        <f t="shared" si="78"/>
        <v>4</v>
      </c>
      <c r="G102" s="125">
        <f t="shared" si="78"/>
        <v>5</v>
      </c>
      <c r="H102" s="125">
        <f t="shared" si="78"/>
        <v>6</v>
      </c>
    </row>
    <row r="103" spans="1:8" ht="17.25" customHeight="1" x14ac:dyDescent="0.3">
      <c r="A103" s="273"/>
      <c r="B103" s="125">
        <f t="shared" ref="B103:H103" si="79">B78</f>
        <v>7</v>
      </c>
      <c r="C103" s="125">
        <f t="shared" si="79"/>
        <v>8</v>
      </c>
      <c r="D103" s="125">
        <f t="shared" si="79"/>
        <v>9</v>
      </c>
      <c r="E103" s="125">
        <f t="shared" si="79"/>
        <v>10</v>
      </c>
      <c r="F103" s="125">
        <f t="shared" si="79"/>
        <v>11</v>
      </c>
      <c r="G103" s="125">
        <f t="shared" si="79"/>
        <v>12</v>
      </c>
      <c r="H103" s="125">
        <f t="shared" si="79"/>
        <v>13</v>
      </c>
    </row>
    <row r="104" spans="1:8" ht="17.25" customHeight="1" x14ac:dyDescent="0.3">
      <c r="A104" s="273"/>
      <c r="B104" s="125">
        <f t="shared" ref="B104:H104" si="80">B79</f>
        <v>14</v>
      </c>
      <c r="C104" s="125">
        <f t="shared" si="80"/>
        <v>15</v>
      </c>
      <c r="D104" s="125">
        <f t="shared" si="80"/>
        <v>16</v>
      </c>
      <c r="E104" s="125">
        <f t="shared" si="80"/>
        <v>17</v>
      </c>
      <c r="F104" s="125">
        <f t="shared" si="80"/>
        <v>18</v>
      </c>
      <c r="G104" s="125">
        <f t="shared" si="80"/>
        <v>19</v>
      </c>
      <c r="H104" s="125">
        <f t="shared" si="80"/>
        <v>20</v>
      </c>
    </row>
    <row r="105" spans="1:8" ht="17.25" customHeight="1" x14ac:dyDescent="0.3">
      <c r="A105" s="273"/>
      <c r="B105" s="125">
        <f t="shared" ref="B105:H105" si="81">B80</f>
        <v>21</v>
      </c>
      <c r="C105" s="125">
        <f t="shared" si="81"/>
        <v>22</v>
      </c>
      <c r="D105" s="125">
        <f t="shared" si="81"/>
        <v>23</v>
      </c>
      <c r="E105" s="125">
        <f t="shared" si="81"/>
        <v>24</v>
      </c>
      <c r="F105" s="125">
        <f t="shared" si="81"/>
        <v>25</v>
      </c>
      <c r="G105" s="125">
        <f t="shared" si="81"/>
        <v>26</v>
      </c>
      <c r="H105" s="125">
        <f t="shared" si="81"/>
        <v>27</v>
      </c>
    </row>
    <row r="106" spans="1:8" ht="17.25" customHeight="1" x14ac:dyDescent="0.3">
      <c r="A106" s="273"/>
      <c r="B106" s="125">
        <f t="shared" ref="B106:H106" si="82">B81</f>
        <v>28</v>
      </c>
      <c r="C106" s="125">
        <f t="shared" si="82"/>
        <v>29</v>
      </c>
      <c r="D106" s="125">
        <f t="shared" si="82"/>
        <v>30</v>
      </c>
      <c r="E106" s="125">
        <f t="shared" si="82"/>
        <v>31</v>
      </c>
      <c r="F106" s="125" t="str">
        <f t="shared" si="82"/>
        <v/>
      </c>
      <c r="G106" s="125" t="str">
        <f t="shared" si="82"/>
        <v/>
      </c>
      <c r="H106" s="125" t="str">
        <f t="shared" si="82"/>
        <v/>
      </c>
    </row>
    <row r="107" spans="1:8" ht="17.25" customHeight="1" x14ac:dyDescent="0.3">
      <c r="A107" s="273"/>
      <c r="B107" s="125" t="str">
        <f t="shared" ref="B107:C107" si="83">B82</f>
        <v/>
      </c>
      <c r="C107" s="125" t="str">
        <f t="shared" si="83"/>
        <v/>
      </c>
      <c r="D107" s="125"/>
      <c r="E107" s="125"/>
      <c r="F107" s="126"/>
      <c r="G107" s="127">
        <f t="shared" ref="G107:H107" si="84">G82</f>
        <v>2019</v>
      </c>
      <c r="H107" s="127">
        <f t="shared" si="84"/>
        <v>7</v>
      </c>
    </row>
    <row r="108" spans="1:8" ht="17.25" customHeight="1" x14ac:dyDescent="0.3">
      <c r="A108" s="97"/>
      <c r="B108" s="100"/>
      <c r="C108" s="100"/>
      <c r="D108" s="100"/>
      <c r="E108" s="100"/>
      <c r="F108" s="100"/>
      <c r="G108" s="100"/>
      <c r="H108" s="100"/>
    </row>
    <row r="109" spans="1:8" ht="17.25" customHeight="1" x14ac:dyDescent="0.3">
      <c r="A109" s="273" t="str">
        <f>A84</f>
        <v>AUG</v>
      </c>
      <c r="B109" s="108" t="str">
        <f>B84</f>
        <v>S</v>
      </c>
      <c r="C109" s="108" t="str">
        <f t="shared" ref="C109:H109" si="85">C84</f>
        <v>M</v>
      </c>
      <c r="D109" s="108" t="str">
        <f t="shared" si="85"/>
        <v>T</v>
      </c>
      <c r="E109" s="108" t="str">
        <f t="shared" si="85"/>
        <v>W</v>
      </c>
      <c r="F109" s="108" t="str">
        <f t="shared" si="85"/>
        <v>T</v>
      </c>
      <c r="G109" s="108" t="str">
        <f t="shared" si="85"/>
        <v>F</v>
      </c>
      <c r="H109" s="108" t="str">
        <f t="shared" si="85"/>
        <v>S</v>
      </c>
    </row>
    <row r="110" spans="1:8" ht="17.25" customHeight="1" x14ac:dyDescent="0.3">
      <c r="A110" s="273"/>
      <c r="B110" s="125" t="str">
        <f t="shared" ref="B110:H110" si="86">B85</f>
        <v/>
      </c>
      <c r="C110" s="125" t="str">
        <f t="shared" si="86"/>
        <v/>
      </c>
      <c r="D110" s="125" t="str">
        <f t="shared" si="86"/>
        <v/>
      </c>
      <c r="E110" s="125" t="str">
        <f t="shared" si="86"/>
        <v/>
      </c>
      <c r="F110" s="125">
        <f t="shared" si="86"/>
        <v>1</v>
      </c>
      <c r="G110" s="125">
        <f t="shared" si="86"/>
        <v>2</v>
      </c>
      <c r="H110" s="125">
        <f t="shared" si="86"/>
        <v>3</v>
      </c>
    </row>
    <row r="111" spans="1:8" ht="17.25" customHeight="1" x14ac:dyDescent="0.3">
      <c r="A111" s="273"/>
      <c r="B111" s="125">
        <f t="shared" ref="B111:H111" si="87">B86</f>
        <v>4</v>
      </c>
      <c r="C111" s="125">
        <f t="shared" si="87"/>
        <v>5</v>
      </c>
      <c r="D111" s="125">
        <f t="shared" si="87"/>
        <v>6</v>
      </c>
      <c r="E111" s="125">
        <f t="shared" si="87"/>
        <v>7</v>
      </c>
      <c r="F111" s="125">
        <f t="shared" si="87"/>
        <v>8</v>
      </c>
      <c r="G111" s="125">
        <f t="shared" si="87"/>
        <v>9</v>
      </c>
      <c r="H111" s="125">
        <f t="shared" si="87"/>
        <v>10</v>
      </c>
    </row>
    <row r="112" spans="1:8" ht="17.25" customHeight="1" x14ac:dyDescent="0.3">
      <c r="A112" s="273"/>
      <c r="B112" s="125">
        <f t="shared" ref="B112:H112" si="88">B87</f>
        <v>11</v>
      </c>
      <c r="C112" s="125">
        <f t="shared" si="88"/>
        <v>12</v>
      </c>
      <c r="D112" s="125">
        <f t="shared" si="88"/>
        <v>13</v>
      </c>
      <c r="E112" s="125">
        <f t="shared" si="88"/>
        <v>14</v>
      </c>
      <c r="F112" s="125">
        <f t="shared" si="88"/>
        <v>15</v>
      </c>
      <c r="G112" s="125">
        <f t="shared" si="88"/>
        <v>16</v>
      </c>
      <c r="H112" s="125">
        <f t="shared" si="88"/>
        <v>17</v>
      </c>
    </row>
    <row r="113" spans="1:8" ht="17.25" customHeight="1" x14ac:dyDescent="0.3">
      <c r="A113" s="273"/>
      <c r="B113" s="125">
        <f t="shared" ref="B113:H113" si="89">B88</f>
        <v>18</v>
      </c>
      <c r="C113" s="125">
        <f t="shared" si="89"/>
        <v>19</v>
      </c>
      <c r="D113" s="125">
        <f t="shared" si="89"/>
        <v>20</v>
      </c>
      <c r="E113" s="125">
        <f t="shared" si="89"/>
        <v>21</v>
      </c>
      <c r="F113" s="125">
        <f t="shared" si="89"/>
        <v>22</v>
      </c>
      <c r="G113" s="125">
        <f t="shared" si="89"/>
        <v>23</v>
      </c>
      <c r="H113" s="125">
        <f t="shared" si="89"/>
        <v>24</v>
      </c>
    </row>
    <row r="114" spans="1:8" ht="17.25" customHeight="1" x14ac:dyDescent="0.3">
      <c r="A114" s="273"/>
      <c r="B114" s="125">
        <f t="shared" ref="B114:H114" si="90">B89</f>
        <v>25</v>
      </c>
      <c r="C114" s="125">
        <f t="shared" si="90"/>
        <v>26</v>
      </c>
      <c r="D114" s="125">
        <f t="shared" si="90"/>
        <v>27</v>
      </c>
      <c r="E114" s="125">
        <f t="shared" si="90"/>
        <v>28</v>
      </c>
      <c r="F114" s="125">
        <f t="shared" si="90"/>
        <v>29</v>
      </c>
      <c r="G114" s="125">
        <f t="shared" si="90"/>
        <v>30</v>
      </c>
      <c r="H114" s="125">
        <f t="shared" si="90"/>
        <v>31</v>
      </c>
    </row>
    <row r="115" spans="1:8" ht="17.25" customHeight="1" x14ac:dyDescent="0.3">
      <c r="A115" s="273"/>
      <c r="B115" s="125" t="str">
        <f t="shared" ref="B115:C115" si="91">B90</f>
        <v/>
      </c>
      <c r="C115" s="125" t="str">
        <f t="shared" si="91"/>
        <v/>
      </c>
      <c r="D115" s="125"/>
      <c r="E115" s="125"/>
      <c r="F115" s="126"/>
      <c r="G115" s="127">
        <f t="shared" ref="G115:H115" si="92">G90</f>
        <v>2019</v>
      </c>
      <c r="H115" s="127">
        <f t="shared" si="92"/>
        <v>8</v>
      </c>
    </row>
    <row r="116" spans="1:8" ht="17.25" customHeight="1" x14ac:dyDescent="0.35">
      <c r="A116" s="98"/>
      <c r="B116" s="101"/>
      <c r="C116" s="101"/>
      <c r="D116" s="101"/>
      <c r="E116" s="101"/>
      <c r="F116" s="101"/>
      <c r="G116" s="101"/>
      <c r="H116" s="101"/>
    </row>
    <row r="117" spans="1:8" ht="17.25" customHeight="1" x14ac:dyDescent="0.3">
      <c r="A117" s="97"/>
      <c r="B117" s="100"/>
      <c r="C117" s="100"/>
      <c r="D117" s="100"/>
      <c r="E117" s="100"/>
      <c r="F117" s="100"/>
      <c r="G117" s="100"/>
      <c r="H117" s="100"/>
    </row>
    <row r="118" spans="1:8" ht="17.25" customHeight="1" x14ac:dyDescent="0.3">
      <c r="A118" s="273" t="str">
        <f>A93</f>
        <v>SEP</v>
      </c>
      <c r="B118" s="108" t="str">
        <f>B93</f>
        <v>S</v>
      </c>
      <c r="C118" s="108" t="str">
        <f t="shared" ref="C118:H118" si="93">C93</f>
        <v>M</v>
      </c>
      <c r="D118" s="108" t="str">
        <f t="shared" si="93"/>
        <v>T</v>
      </c>
      <c r="E118" s="108" t="str">
        <f t="shared" si="93"/>
        <v>W</v>
      </c>
      <c r="F118" s="108" t="str">
        <f t="shared" si="93"/>
        <v>T</v>
      </c>
      <c r="G118" s="108" t="str">
        <f t="shared" si="93"/>
        <v>F</v>
      </c>
      <c r="H118" s="108" t="str">
        <f t="shared" si="93"/>
        <v>S</v>
      </c>
    </row>
    <row r="119" spans="1:8" ht="17.25" customHeight="1" x14ac:dyDescent="0.3">
      <c r="A119" s="273"/>
      <c r="B119" s="125">
        <f t="shared" ref="B119:H119" si="94">B94</f>
        <v>1</v>
      </c>
      <c r="C119" s="125">
        <f t="shared" si="94"/>
        <v>2</v>
      </c>
      <c r="D119" s="125">
        <f t="shared" si="94"/>
        <v>3</v>
      </c>
      <c r="E119" s="125">
        <f t="shared" si="94"/>
        <v>4</v>
      </c>
      <c r="F119" s="125">
        <f t="shared" si="94"/>
        <v>5</v>
      </c>
      <c r="G119" s="125">
        <f t="shared" si="94"/>
        <v>6</v>
      </c>
      <c r="H119" s="125">
        <f t="shared" si="94"/>
        <v>7</v>
      </c>
    </row>
    <row r="120" spans="1:8" ht="17.25" customHeight="1" x14ac:dyDescent="0.3">
      <c r="A120" s="273"/>
      <c r="B120" s="125">
        <f t="shared" ref="B120:H120" si="95">B95</f>
        <v>8</v>
      </c>
      <c r="C120" s="125">
        <f t="shared" si="95"/>
        <v>9</v>
      </c>
      <c r="D120" s="125">
        <f t="shared" si="95"/>
        <v>10</v>
      </c>
      <c r="E120" s="125">
        <f t="shared" si="95"/>
        <v>11</v>
      </c>
      <c r="F120" s="125">
        <f t="shared" si="95"/>
        <v>12</v>
      </c>
      <c r="G120" s="125">
        <f t="shared" si="95"/>
        <v>13</v>
      </c>
      <c r="H120" s="125">
        <f t="shared" si="95"/>
        <v>14</v>
      </c>
    </row>
    <row r="121" spans="1:8" ht="17.25" customHeight="1" x14ac:dyDescent="0.3">
      <c r="A121" s="273"/>
      <c r="B121" s="125">
        <f t="shared" ref="B121:H121" si="96">B96</f>
        <v>15</v>
      </c>
      <c r="C121" s="125">
        <f t="shared" si="96"/>
        <v>16</v>
      </c>
      <c r="D121" s="125">
        <f t="shared" si="96"/>
        <v>17</v>
      </c>
      <c r="E121" s="125">
        <f t="shared" si="96"/>
        <v>18</v>
      </c>
      <c r="F121" s="125">
        <f t="shared" si="96"/>
        <v>19</v>
      </c>
      <c r="G121" s="125">
        <f t="shared" si="96"/>
        <v>20</v>
      </c>
      <c r="H121" s="125">
        <f t="shared" si="96"/>
        <v>21</v>
      </c>
    </row>
    <row r="122" spans="1:8" ht="17.25" customHeight="1" x14ac:dyDescent="0.3">
      <c r="A122" s="273"/>
      <c r="B122" s="125">
        <f t="shared" ref="B122:H122" si="97">B97</f>
        <v>22</v>
      </c>
      <c r="C122" s="125">
        <f t="shared" si="97"/>
        <v>23</v>
      </c>
      <c r="D122" s="125">
        <f t="shared" si="97"/>
        <v>24</v>
      </c>
      <c r="E122" s="125">
        <f t="shared" si="97"/>
        <v>25</v>
      </c>
      <c r="F122" s="125">
        <f t="shared" si="97"/>
        <v>26</v>
      </c>
      <c r="G122" s="125">
        <f t="shared" si="97"/>
        <v>27</v>
      </c>
      <c r="H122" s="125">
        <f t="shared" si="97"/>
        <v>28</v>
      </c>
    </row>
    <row r="123" spans="1:8" ht="17.25" customHeight="1" x14ac:dyDescent="0.3">
      <c r="A123" s="273"/>
      <c r="B123" s="125">
        <f t="shared" ref="B123:H123" si="98">B98</f>
        <v>29</v>
      </c>
      <c r="C123" s="125">
        <f t="shared" si="98"/>
        <v>30</v>
      </c>
      <c r="D123" s="125" t="str">
        <f t="shared" si="98"/>
        <v/>
      </c>
      <c r="E123" s="125" t="str">
        <f t="shared" si="98"/>
        <v/>
      </c>
      <c r="F123" s="125" t="str">
        <f t="shared" si="98"/>
        <v/>
      </c>
      <c r="G123" s="125" t="str">
        <f t="shared" si="98"/>
        <v/>
      </c>
      <c r="H123" s="125" t="str">
        <f t="shared" si="98"/>
        <v/>
      </c>
    </row>
    <row r="124" spans="1:8" ht="17.25" customHeight="1" x14ac:dyDescent="0.3">
      <c r="A124" s="273"/>
      <c r="B124" s="125" t="str">
        <f t="shared" ref="B124:C124" si="99">B99</f>
        <v/>
      </c>
      <c r="C124" s="125" t="str">
        <f t="shared" si="99"/>
        <v/>
      </c>
      <c r="D124" s="125"/>
      <c r="E124" s="125"/>
      <c r="F124" s="126"/>
      <c r="G124" s="127">
        <f t="shared" ref="G124:H124" si="100">G99</f>
        <v>2019</v>
      </c>
      <c r="H124" s="127">
        <f t="shared" si="100"/>
        <v>9</v>
      </c>
    </row>
  </sheetData>
  <sheetProtection password="CE6F" sheet="1" objects="1" scenarios="1"/>
  <mergeCells count="15">
    <mergeCell ref="A84:A90"/>
    <mergeCell ref="A93:A99"/>
    <mergeCell ref="A101:A107"/>
    <mergeCell ref="A109:A115"/>
    <mergeCell ref="A118:A124"/>
    <mergeCell ref="A43:A49"/>
    <mergeCell ref="A51:A57"/>
    <mergeCell ref="A59:A65"/>
    <mergeCell ref="A68:A74"/>
    <mergeCell ref="A76:A82"/>
    <mergeCell ref="A1:A7"/>
    <mergeCell ref="A18:A24"/>
    <mergeCell ref="A9:A15"/>
    <mergeCell ref="A26:A32"/>
    <mergeCell ref="A34:A40"/>
  </mergeCells>
  <phoneticPr fontId="2" type="noConversion"/>
  <conditionalFormatting sqref="B2:H6 B7:C7">
    <cfRule type="expression" dxfId="29" priority="41" stopIfTrue="1">
      <formula>MATCH(DATE($G$7,$H$7,B2),Event_Date,0)</formula>
    </cfRule>
    <cfRule type="expression" dxfId="28" priority="42" stopIfTrue="1">
      <formula>MATCH(DATE($G$7,$H$7,B2),Holiday_Date,0)</formula>
    </cfRule>
  </conditionalFormatting>
  <conditionalFormatting sqref="B10:C15 D10:H14">
    <cfRule type="expression" dxfId="27" priority="43" stopIfTrue="1">
      <formula>MATCH(DATE($G$15,$H$15,B10),Event_Date,0)</formula>
    </cfRule>
    <cfRule type="expression" dxfId="26" priority="44" stopIfTrue="1">
      <formula>MATCH(DATE($G$15,$H$15,B10),Holiday_Date,0)</formula>
    </cfRule>
  </conditionalFormatting>
  <conditionalFormatting sqref="B19:H22 B23:C24 D23:H23">
    <cfRule type="expression" dxfId="25" priority="45" stopIfTrue="1">
      <formula>MATCH(DATE($G$24,$H$24,B19),Event_Date,0)</formula>
    </cfRule>
    <cfRule type="expression" dxfId="24" priority="46" stopIfTrue="1">
      <formula>MATCH(DATE($G$24,$H$24,B19),Holiday_Date,0)</formula>
    </cfRule>
  </conditionalFormatting>
  <conditionalFormatting sqref="B27:H31 B32:C32">
    <cfRule type="expression" dxfId="23" priority="35" stopIfTrue="1">
      <formula>MATCH(DATE($G$7,$H$7,B27),Event_Date,0)</formula>
    </cfRule>
    <cfRule type="expression" dxfId="22" priority="36" stopIfTrue="1">
      <formula>MATCH(DATE($G$7,$H$7,B27),Holiday_Date,0)</formula>
    </cfRule>
  </conditionalFormatting>
  <conditionalFormatting sqref="B52:H56 B57:C57">
    <cfRule type="expression" dxfId="21" priority="29" stopIfTrue="1">
      <formula>MATCH(DATE($G$7,$H$7,B52),Event_Date,0)</formula>
    </cfRule>
    <cfRule type="expression" dxfId="20" priority="30" stopIfTrue="1">
      <formula>MATCH(DATE($G$7,$H$7,B52),Holiday_Date,0)</formula>
    </cfRule>
  </conditionalFormatting>
  <conditionalFormatting sqref="B77:H81 B82:C82">
    <cfRule type="expression" dxfId="19" priority="23" stopIfTrue="1">
      <formula>MATCH(DATE($G$7,$H$7,B77),Event_Date,0)</formula>
    </cfRule>
    <cfRule type="expression" dxfId="18" priority="24" stopIfTrue="1">
      <formula>MATCH(DATE($G$7,$H$7,B77),Holiday_Date,0)</formula>
    </cfRule>
  </conditionalFormatting>
  <conditionalFormatting sqref="B35:C40 D35:H39">
    <cfRule type="expression" dxfId="17" priority="17" stopIfTrue="1">
      <formula>MATCH(DATE($G$15,$H$15,B35),Event_Date,0)</formula>
    </cfRule>
    <cfRule type="expression" dxfId="16" priority="18" stopIfTrue="1">
      <formula>MATCH(DATE($G$15,$H$15,B35),Holiday_Date,0)</formula>
    </cfRule>
  </conditionalFormatting>
  <conditionalFormatting sqref="B44:H47 B48:C49 D48:H48">
    <cfRule type="expression" dxfId="15" priority="15" stopIfTrue="1">
      <formula>MATCH(DATE($G$24,$H$24,B44),Event_Date,0)</formula>
    </cfRule>
    <cfRule type="expression" dxfId="14" priority="16" stopIfTrue="1">
      <formula>MATCH(DATE($G$24,$H$24,B44),Holiday_Date,0)</formula>
    </cfRule>
  </conditionalFormatting>
  <conditionalFormatting sqref="B60:C65 D60:H64">
    <cfRule type="expression" dxfId="13" priority="13" stopIfTrue="1">
      <formula>MATCH(DATE($G$15,$H$15,B60),Event_Date,0)</formula>
    </cfRule>
    <cfRule type="expression" dxfId="12" priority="14" stopIfTrue="1">
      <formula>MATCH(DATE($G$15,$H$15,B60),Holiday_Date,0)</formula>
    </cfRule>
  </conditionalFormatting>
  <conditionalFormatting sqref="B69:H72 B73:C74 D73:H73">
    <cfRule type="expression" dxfId="11" priority="11" stopIfTrue="1">
      <formula>MATCH(DATE($G$24,$H$24,B69),Event_Date,0)</formula>
    </cfRule>
    <cfRule type="expression" dxfId="10" priority="12" stopIfTrue="1">
      <formula>MATCH(DATE($G$24,$H$24,B69),Holiday_Date,0)</formula>
    </cfRule>
  </conditionalFormatting>
  <conditionalFormatting sqref="B85:C90 D85:H89">
    <cfRule type="expression" dxfId="9" priority="9" stopIfTrue="1">
      <formula>MATCH(DATE($G$15,$H$15,B85),Event_Date,0)</formula>
    </cfRule>
    <cfRule type="expression" dxfId="8" priority="10" stopIfTrue="1">
      <formula>MATCH(DATE($G$15,$H$15,B85),Holiday_Date,0)</formula>
    </cfRule>
  </conditionalFormatting>
  <conditionalFormatting sqref="B94:H97 B98:C99 D98:H98">
    <cfRule type="expression" dxfId="7" priority="7" stopIfTrue="1">
      <formula>MATCH(DATE($G$24,$H$24,B94),Event_Date,0)</formula>
    </cfRule>
    <cfRule type="expression" dxfId="6" priority="8" stopIfTrue="1">
      <formula>MATCH(DATE($G$24,$H$24,B94),Holiday_Date,0)</formula>
    </cfRule>
  </conditionalFormatting>
  <conditionalFormatting sqref="B102:H106 B107:C107">
    <cfRule type="expression" dxfId="5" priority="5" stopIfTrue="1">
      <formula>MATCH(DATE($G$7,$H$7,B102),Event_Date,0)</formula>
    </cfRule>
    <cfRule type="expression" dxfId="4" priority="6" stopIfTrue="1">
      <formula>MATCH(DATE($G$7,$H$7,B102),Holiday_Date,0)</formula>
    </cfRule>
  </conditionalFormatting>
  <conditionalFormatting sqref="B110:C115 D110:H114">
    <cfRule type="expression" dxfId="3" priority="3" stopIfTrue="1">
      <formula>MATCH(DATE($G$15,$H$15,B110),Event_Date,0)</formula>
    </cfRule>
    <cfRule type="expression" dxfId="2" priority="4" stopIfTrue="1">
      <formula>MATCH(DATE($G$15,$H$15,B110),Holiday_Date,0)</formula>
    </cfRule>
  </conditionalFormatting>
  <conditionalFormatting sqref="B119:H122 B123:C124 D123:H123">
    <cfRule type="expression" dxfId="1" priority="1" stopIfTrue="1">
      <formula>MATCH(DATE($G$24,$H$24,B119),Event_Date,0)</formula>
    </cfRule>
    <cfRule type="expression" dxfId="0" priority="2" stopIfTrue="1">
      <formula>MATCH(DATE($G$24,$H$24,B119),Holiday_Date,0)</formula>
    </cfRule>
  </conditionalFormatting>
  <pageMargins left="0.75" right="0.75" top="1" bottom="1" header="0.5" footer="0.5"/>
  <pageSetup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13</vt:i4>
      </vt:variant>
    </vt:vector>
  </HeadingPairs>
  <TitlesOfParts>
    <vt:vector size="22" baseType="lpstr">
      <vt:lpstr>Todo-Holiday-Event</vt:lpstr>
      <vt:lpstr>Layout 1</vt:lpstr>
      <vt:lpstr>Layout 2</vt:lpstr>
      <vt:lpstr>Layout 3</vt:lpstr>
      <vt:lpstr>Layout 4</vt:lpstr>
      <vt:lpstr>Layout 5</vt:lpstr>
      <vt:lpstr>Copyright</vt:lpstr>
      <vt:lpstr>Copyright-2</vt:lpstr>
      <vt:lpstr>Supporting Calendar</vt:lpstr>
      <vt:lpstr>Event</vt:lpstr>
      <vt:lpstr>Event_Date</vt:lpstr>
      <vt:lpstr>Holiday</vt:lpstr>
      <vt:lpstr>Holiday_Date</vt:lpstr>
      <vt:lpstr>MonthRef</vt:lpstr>
      <vt:lpstr>Months</vt:lpstr>
      <vt:lpstr>'Layout 1'!Print_Area</vt:lpstr>
      <vt:lpstr>'Layout 2'!Print_Area</vt:lpstr>
      <vt:lpstr>'Layout 3'!Print_Area</vt:lpstr>
      <vt:lpstr>'Layout 4'!Print_Area</vt:lpstr>
      <vt:lpstr>'Layout 5'!Print_Area</vt:lpstr>
      <vt:lpstr>'Supporting Calendar'!Print_Area</vt:lpstr>
      <vt:lpstr>StartMonth</vt:lpstr>
    </vt:vector>
  </TitlesOfParts>
  <Company>Exceltemplate.net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exceltemplate.net</dc:creator>
  <cp:lastModifiedBy>Syed Nayab Haider</cp:lastModifiedBy>
  <cp:lastPrinted>2019-04-01T04:33:02Z</cp:lastPrinted>
  <dcterms:created xsi:type="dcterms:W3CDTF">2008-10-29T15:28:11Z</dcterms:created>
  <dcterms:modified xsi:type="dcterms:W3CDTF">2020-10-15T22:17:55Z</dcterms:modified>
</cp:coreProperties>
</file>