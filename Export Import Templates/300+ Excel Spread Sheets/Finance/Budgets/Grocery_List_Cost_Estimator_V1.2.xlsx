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budget\"/>
    </mc:Choice>
  </mc:AlternateContent>
  <xr:revisionPtr revIDLastSave="0" documentId="13_ncr:1_{9E425F4E-CD1B-4561-B6A1-C5E001B2D2A3}" xr6:coauthVersionLast="45" xr6:coauthVersionMax="45" xr10:uidLastSave="{00000000-0000-0000-0000-000000000000}"/>
  <bookViews>
    <workbookView xWindow="-108" yWindow="-108" windowWidth="23256" windowHeight="12720" activeTab="3" xr2:uid="{00000000-000D-0000-FFFF-FFFF00000000}"/>
  </bookViews>
  <sheets>
    <sheet name="Cost Summary" sheetId="4" r:id="rId1"/>
    <sheet name="Grocery List" sheetId="1" r:id="rId2"/>
    <sheet name="Setup" sheetId="2" r:id="rId3"/>
    <sheet name="Copyright" sheetId="8" r:id="rId4"/>
    <sheet name="Copyright-2" sheetId="9" state="hidden" r:id="rId5"/>
  </sheets>
  <definedNames>
    <definedName name="_xlnm._FilterDatabase" localSheetId="1" hidden="1">'Grocery List'!$D$4:$K$5</definedName>
    <definedName name="Brand">Setup!$G$5:$G$34</definedName>
    <definedName name="Category">Setup!$E$5:$E$34</definedName>
    <definedName name="GroceryCostTable">'Grocery List'!$D$6:$K$154</definedName>
    <definedName name="GroceryItemTable">'Grocery List'!$D$6:$D$154</definedName>
    <definedName name="GroceryLowestPriceRef">'Grocery List'!$B$6:$K$154</definedName>
    <definedName name="GroceryMartRef">'Grocery List'!$C$6:$K$154</definedName>
    <definedName name="GroceryPriceTable">'Grocery List'!$K$6:$K$154</definedName>
    <definedName name="ItemName">Setup!$B$5:$B$140</definedName>
    <definedName name="LowestPrice">'Grocery List'!$A$6:$A$154</definedName>
    <definedName name="Mart">Setup!$K$5:$K$34</definedName>
    <definedName name="MartRef">'Cost Summary'!$D$18</definedName>
    <definedName name="_xlnm.Print_Area" localSheetId="1">'Grocery List'!$D$2:$K$154</definedName>
    <definedName name="Unit">Setup!$I$5:$I$34</definedName>
  </definedNames>
  <calcPr calcId="191029"/>
</workbook>
</file>

<file path=xl/calcChain.xml><?xml version="1.0" encoding="utf-8"?>
<calcChain xmlns="http://schemas.openxmlformats.org/spreadsheetml/2006/main">
  <c r="G15" i="4" l="1"/>
  <c r="G14" i="4"/>
  <c r="G13" i="4"/>
  <c r="G12" i="4"/>
  <c r="G11" i="4"/>
  <c r="G10" i="4"/>
  <c r="G9" i="4"/>
  <c r="G8" i="4"/>
  <c r="E22" i="4"/>
  <c r="F15" i="4"/>
  <c r="F14" i="4"/>
  <c r="F13" i="4"/>
  <c r="F12" i="4"/>
  <c r="F11" i="4"/>
  <c r="F10" i="4"/>
  <c r="F9" i="4"/>
  <c r="F8" i="4"/>
  <c r="E15" i="4"/>
  <c r="E14" i="4"/>
  <c r="E13" i="4"/>
  <c r="E12" i="4"/>
  <c r="E11" i="4"/>
  <c r="E10" i="4"/>
  <c r="E9" i="4"/>
  <c r="E8" i="4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29" i="4"/>
  <c r="D29" i="4" s="1"/>
  <c r="C28" i="4"/>
  <c r="G28" i="4" s="1"/>
  <c r="C27" i="4"/>
  <c r="E27" i="4" s="1"/>
  <c r="C26" i="4"/>
  <c r="E26" i="4" s="1"/>
  <c r="C25" i="4"/>
  <c r="F25" i="4" s="1"/>
  <c r="C24" i="4"/>
  <c r="F24" i="4" s="1"/>
  <c r="C23" i="4"/>
  <c r="G23" i="4" s="1"/>
  <c r="C22" i="4"/>
  <c r="G22" i="4" s="1"/>
  <c r="C21" i="4"/>
  <c r="G21" i="4" s="1"/>
  <c r="C20" i="4"/>
  <c r="D20" i="4" s="1"/>
  <c r="D28" i="4"/>
  <c r="D26" i="4"/>
  <c r="D25" i="4"/>
  <c r="D24" i="4"/>
  <c r="D22" i="4"/>
  <c r="D15" i="4"/>
  <c r="D14" i="4"/>
  <c r="D13" i="4"/>
  <c r="D12" i="4"/>
  <c r="D11" i="4"/>
  <c r="D10" i="4"/>
  <c r="D9" i="4"/>
  <c r="D8" i="4"/>
  <c r="D7" i="4"/>
  <c r="D6" i="4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A21" i="1" s="1"/>
  <c r="B21" i="1" s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A6" i="1" s="1"/>
  <c r="K6" i="1"/>
  <c r="A148" i="1" s="1"/>
  <c r="B148" i="1" s="1"/>
  <c r="E28" i="4" l="1"/>
  <c r="E29" i="4"/>
  <c r="G20" i="4"/>
  <c r="F26" i="4"/>
  <c r="F20" i="4"/>
  <c r="F27" i="4"/>
  <c r="F28" i="4"/>
  <c r="F29" i="4"/>
  <c r="B6" i="1"/>
  <c r="A13" i="1"/>
  <c r="B13" i="1" s="1"/>
  <c r="A29" i="1"/>
  <c r="B29" i="1" s="1"/>
  <c r="A37" i="1"/>
  <c r="B37" i="1" s="1"/>
  <c r="A45" i="1"/>
  <c r="B45" i="1" s="1"/>
  <c r="A53" i="1"/>
  <c r="B53" i="1" s="1"/>
  <c r="A61" i="1"/>
  <c r="B61" i="1" s="1"/>
  <c r="A69" i="1"/>
  <c r="B69" i="1" s="1"/>
  <c r="A77" i="1"/>
  <c r="B77" i="1" s="1"/>
  <c r="A85" i="1"/>
  <c r="B85" i="1" s="1"/>
  <c r="A93" i="1"/>
  <c r="B93" i="1" s="1"/>
  <c r="A101" i="1"/>
  <c r="B101" i="1" s="1"/>
  <c r="A109" i="1"/>
  <c r="B109" i="1" s="1"/>
  <c r="A117" i="1"/>
  <c r="B117" i="1" s="1"/>
  <c r="A125" i="1"/>
  <c r="B125" i="1" s="1"/>
  <c r="A133" i="1"/>
  <c r="B133" i="1" s="1"/>
  <c r="A141" i="1"/>
  <c r="B141" i="1" s="1"/>
  <c r="A149" i="1"/>
  <c r="B149" i="1" s="1"/>
  <c r="E20" i="4"/>
  <c r="G24" i="4"/>
  <c r="A14" i="1"/>
  <c r="B14" i="1" s="1"/>
  <c r="A22" i="1"/>
  <c r="B22" i="1" s="1"/>
  <c r="A30" i="1"/>
  <c r="B30" i="1" s="1"/>
  <c r="A38" i="1"/>
  <c r="B38" i="1" s="1"/>
  <c r="A46" i="1"/>
  <c r="B46" i="1" s="1"/>
  <c r="A54" i="1"/>
  <c r="B54" i="1" s="1"/>
  <c r="A62" i="1"/>
  <c r="B62" i="1" s="1"/>
  <c r="A70" i="1"/>
  <c r="B70" i="1" s="1"/>
  <c r="A78" i="1"/>
  <c r="B78" i="1" s="1"/>
  <c r="A86" i="1"/>
  <c r="B86" i="1" s="1"/>
  <c r="A94" i="1"/>
  <c r="B94" i="1" s="1"/>
  <c r="A102" i="1"/>
  <c r="B102" i="1" s="1"/>
  <c r="A110" i="1"/>
  <c r="B110" i="1" s="1"/>
  <c r="A118" i="1"/>
  <c r="B118" i="1" s="1"/>
  <c r="A126" i="1"/>
  <c r="B126" i="1" s="1"/>
  <c r="A134" i="1"/>
  <c r="B134" i="1" s="1"/>
  <c r="A142" i="1"/>
  <c r="B142" i="1" s="1"/>
  <c r="A150" i="1"/>
  <c r="B150" i="1" s="1"/>
  <c r="E21" i="4"/>
  <c r="G25" i="4"/>
  <c r="A7" i="1"/>
  <c r="B7" i="1" s="1"/>
  <c r="A15" i="1"/>
  <c r="B15" i="1" s="1"/>
  <c r="A23" i="1"/>
  <c r="B23" i="1" s="1"/>
  <c r="A31" i="1"/>
  <c r="B31" i="1" s="1"/>
  <c r="A39" i="1"/>
  <c r="B39" i="1" s="1"/>
  <c r="A47" i="1"/>
  <c r="B47" i="1" s="1"/>
  <c r="A55" i="1"/>
  <c r="B55" i="1" s="1"/>
  <c r="A63" i="1"/>
  <c r="B63" i="1" s="1"/>
  <c r="A71" i="1"/>
  <c r="B71" i="1" s="1"/>
  <c r="A79" i="1"/>
  <c r="B79" i="1" s="1"/>
  <c r="A87" i="1"/>
  <c r="B87" i="1" s="1"/>
  <c r="A95" i="1"/>
  <c r="B95" i="1" s="1"/>
  <c r="A103" i="1"/>
  <c r="B103" i="1" s="1"/>
  <c r="A111" i="1"/>
  <c r="B111" i="1" s="1"/>
  <c r="A119" i="1"/>
  <c r="B119" i="1" s="1"/>
  <c r="A127" i="1"/>
  <c r="B127" i="1" s="1"/>
  <c r="A135" i="1"/>
  <c r="B135" i="1" s="1"/>
  <c r="A143" i="1"/>
  <c r="B143" i="1" s="1"/>
  <c r="A151" i="1"/>
  <c r="B151" i="1" s="1"/>
  <c r="G26" i="4"/>
  <c r="A8" i="1"/>
  <c r="B8" i="1" s="1"/>
  <c r="A16" i="1"/>
  <c r="B16" i="1" s="1"/>
  <c r="A24" i="1"/>
  <c r="B24" i="1" s="1"/>
  <c r="A32" i="1"/>
  <c r="B32" i="1" s="1"/>
  <c r="A40" i="1"/>
  <c r="B40" i="1" s="1"/>
  <c r="A48" i="1"/>
  <c r="B48" i="1" s="1"/>
  <c r="A56" i="1"/>
  <c r="B56" i="1" s="1"/>
  <c r="A64" i="1"/>
  <c r="B64" i="1" s="1"/>
  <c r="A72" i="1"/>
  <c r="B72" i="1" s="1"/>
  <c r="A80" i="1"/>
  <c r="B80" i="1" s="1"/>
  <c r="A88" i="1"/>
  <c r="B88" i="1" s="1"/>
  <c r="A96" i="1"/>
  <c r="B96" i="1" s="1"/>
  <c r="A104" i="1"/>
  <c r="B104" i="1" s="1"/>
  <c r="A112" i="1"/>
  <c r="B112" i="1" s="1"/>
  <c r="A120" i="1"/>
  <c r="B120" i="1" s="1"/>
  <c r="A128" i="1"/>
  <c r="B128" i="1" s="1"/>
  <c r="A136" i="1"/>
  <c r="B136" i="1" s="1"/>
  <c r="A144" i="1"/>
  <c r="B144" i="1" s="1"/>
  <c r="A152" i="1"/>
  <c r="B152" i="1" s="1"/>
  <c r="D27" i="4"/>
  <c r="E23" i="4"/>
  <c r="F21" i="4"/>
  <c r="G27" i="4"/>
  <c r="A9" i="1"/>
  <c r="B9" i="1" s="1"/>
  <c r="A17" i="1"/>
  <c r="B17" i="1" s="1"/>
  <c r="A25" i="1"/>
  <c r="B25" i="1" s="1"/>
  <c r="A33" i="1"/>
  <c r="B33" i="1" s="1"/>
  <c r="A41" i="1"/>
  <c r="B41" i="1" s="1"/>
  <c r="A49" i="1"/>
  <c r="B49" i="1" s="1"/>
  <c r="A57" i="1"/>
  <c r="B57" i="1" s="1"/>
  <c r="A65" i="1"/>
  <c r="B65" i="1" s="1"/>
  <c r="A73" i="1"/>
  <c r="B73" i="1" s="1"/>
  <c r="A81" i="1"/>
  <c r="B81" i="1" s="1"/>
  <c r="A89" i="1"/>
  <c r="B89" i="1" s="1"/>
  <c r="A97" i="1"/>
  <c r="B97" i="1" s="1"/>
  <c r="A105" i="1"/>
  <c r="B105" i="1" s="1"/>
  <c r="A113" i="1"/>
  <c r="B113" i="1" s="1"/>
  <c r="A121" i="1"/>
  <c r="B121" i="1" s="1"/>
  <c r="A129" i="1"/>
  <c r="B129" i="1" s="1"/>
  <c r="A137" i="1"/>
  <c r="B137" i="1" s="1"/>
  <c r="A145" i="1"/>
  <c r="B145" i="1" s="1"/>
  <c r="A153" i="1"/>
  <c r="B153" i="1" s="1"/>
  <c r="E24" i="4"/>
  <c r="F22" i="4"/>
  <c r="A10" i="1"/>
  <c r="B10" i="1" s="1"/>
  <c r="A18" i="1"/>
  <c r="B18" i="1" s="1"/>
  <c r="A26" i="1"/>
  <c r="B26" i="1" s="1"/>
  <c r="A34" i="1"/>
  <c r="B34" i="1" s="1"/>
  <c r="A42" i="1"/>
  <c r="B42" i="1" s="1"/>
  <c r="A50" i="1"/>
  <c r="B50" i="1" s="1"/>
  <c r="A58" i="1"/>
  <c r="B58" i="1" s="1"/>
  <c r="A66" i="1"/>
  <c r="B66" i="1" s="1"/>
  <c r="A74" i="1"/>
  <c r="B74" i="1" s="1"/>
  <c r="A82" i="1"/>
  <c r="B82" i="1" s="1"/>
  <c r="A90" i="1"/>
  <c r="B90" i="1" s="1"/>
  <c r="A98" i="1"/>
  <c r="B98" i="1" s="1"/>
  <c r="A106" i="1"/>
  <c r="B106" i="1" s="1"/>
  <c r="A114" i="1"/>
  <c r="B114" i="1" s="1"/>
  <c r="A122" i="1"/>
  <c r="B122" i="1" s="1"/>
  <c r="A130" i="1"/>
  <c r="B130" i="1" s="1"/>
  <c r="A138" i="1"/>
  <c r="B138" i="1" s="1"/>
  <c r="A146" i="1"/>
  <c r="B146" i="1" s="1"/>
  <c r="A154" i="1"/>
  <c r="B154" i="1" s="1"/>
  <c r="D21" i="4"/>
  <c r="E25" i="4"/>
  <c r="F23" i="4"/>
  <c r="G29" i="4"/>
  <c r="A11" i="1"/>
  <c r="B11" i="1" s="1"/>
  <c r="A19" i="1"/>
  <c r="B19" i="1" s="1"/>
  <c r="A27" i="1"/>
  <c r="B27" i="1" s="1"/>
  <c r="A35" i="1"/>
  <c r="B35" i="1" s="1"/>
  <c r="A43" i="1"/>
  <c r="B43" i="1" s="1"/>
  <c r="A51" i="1"/>
  <c r="B51" i="1" s="1"/>
  <c r="A59" i="1"/>
  <c r="B59" i="1" s="1"/>
  <c r="A67" i="1"/>
  <c r="B67" i="1" s="1"/>
  <c r="A75" i="1"/>
  <c r="B75" i="1" s="1"/>
  <c r="A83" i="1"/>
  <c r="B83" i="1" s="1"/>
  <c r="A91" i="1"/>
  <c r="B91" i="1" s="1"/>
  <c r="A99" i="1"/>
  <c r="B99" i="1" s="1"/>
  <c r="A107" i="1"/>
  <c r="B107" i="1" s="1"/>
  <c r="A115" i="1"/>
  <c r="B115" i="1" s="1"/>
  <c r="A123" i="1"/>
  <c r="B123" i="1" s="1"/>
  <c r="A131" i="1"/>
  <c r="B131" i="1" s="1"/>
  <c r="A139" i="1"/>
  <c r="B139" i="1" s="1"/>
  <c r="A147" i="1"/>
  <c r="B147" i="1" s="1"/>
  <c r="A12" i="1"/>
  <c r="B12" i="1" s="1"/>
  <c r="A20" i="1"/>
  <c r="B20" i="1" s="1"/>
  <c r="A28" i="1"/>
  <c r="B28" i="1" s="1"/>
  <c r="A36" i="1"/>
  <c r="B36" i="1" s="1"/>
  <c r="A44" i="1"/>
  <c r="B44" i="1" s="1"/>
  <c r="A52" i="1"/>
  <c r="B52" i="1" s="1"/>
  <c r="A60" i="1"/>
  <c r="B60" i="1" s="1"/>
  <c r="A68" i="1"/>
  <c r="B68" i="1" s="1"/>
  <c r="A76" i="1"/>
  <c r="B76" i="1" s="1"/>
  <c r="A84" i="1"/>
  <c r="B84" i="1" s="1"/>
  <c r="A92" i="1"/>
  <c r="B92" i="1" s="1"/>
  <c r="A100" i="1"/>
  <c r="B100" i="1" s="1"/>
  <c r="A108" i="1"/>
  <c r="B108" i="1" s="1"/>
  <c r="A116" i="1"/>
  <c r="B116" i="1" s="1"/>
  <c r="A124" i="1"/>
  <c r="B124" i="1" s="1"/>
  <c r="A132" i="1"/>
  <c r="B132" i="1" s="1"/>
  <c r="A140" i="1"/>
  <c r="B140" i="1" s="1"/>
  <c r="D23" i="4"/>
  <c r="G30" i="4" l="1"/>
  <c r="F7" i="4"/>
  <c r="F6" i="4"/>
  <c r="E7" i="4"/>
  <c r="E6" i="4"/>
  <c r="G6" i="4"/>
  <c r="G7" i="4"/>
  <c r="G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select item here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select store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4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Use filter to filter particular item, brand, mart etc
</t>
        </r>
      </text>
    </comment>
    <comment ref="E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categories will be revealed automatically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type item name</t>
        </r>
      </text>
    </comment>
    <comment ref="C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select category</t>
        </r>
      </text>
    </comment>
    <comment ref="E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type category</t>
        </r>
      </text>
    </comment>
    <comment ref="G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type brand</t>
        </r>
      </text>
    </comment>
    <comment ref="I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type measurement unit</t>
        </r>
      </text>
    </comment>
    <comment ref="K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type store name</t>
        </r>
      </text>
    </comment>
  </commentList>
</comments>
</file>

<file path=xl/sharedStrings.xml><?xml version="1.0" encoding="utf-8"?>
<sst xmlns="http://schemas.openxmlformats.org/spreadsheetml/2006/main" count="602" uniqueCount="154">
  <si>
    <t>Item</t>
  </si>
  <si>
    <t>Qty</t>
  </si>
  <si>
    <t>Unit</t>
  </si>
  <si>
    <t>Carrots</t>
  </si>
  <si>
    <t>Tomatoes</t>
  </si>
  <si>
    <t>Fruits</t>
  </si>
  <si>
    <t>Bananas</t>
  </si>
  <si>
    <t>Grapes</t>
  </si>
  <si>
    <t>Cream Cheese</t>
  </si>
  <si>
    <t>Eggs</t>
  </si>
  <si>
    <t>Milk</t>
  </si>
  <si>
    <t>Sour Cream</t>
  </si>
  <si>
    <t>Yogurt</t>
  </si>
  <si>
    <t>Pasta</t>
  </si>
  <si>
    <t>Olive Oil</t>
  </si>
  <si>
    <t>Peanut butter</t>
  </si>
  <si>
    <t>Diapers</t>
  </si>
  <si>
    <t>Wipes</t>
  </si>
  <si>
    <t>Meat</t>
  </si>
  <si>
    <t>lb</t>
  </si>
  <si>
    <t>oz</t>
  </si>
  <si>
    <t>Category</t>
  </si>
  <si>
    <t>Brand</t>
  </si>
  <si>
    <t>Price Per Unit</t>
  </si>
  <si>
    <t>Store</t>
  </si>
  <si>
    <t>Price</t>
  </si>
  <si>
    <t>Purchase</t>
  </si>
  <si>
    <t>Mart 1</t>
  </si>
  <si>
    <t>Mart 2</t>
  </si>
  <si>
    <t>Mart 3</t>
  </si>
  <si>
    <t>Mart 4</t>
  </si>
  <si>
    <t>Mart 5</t>
  </si>
  <si>
    <t>Mart 6</t>
  </si>
  <si>
    <t>Mart 7</t>
  </si>
  <si>
    <t>Brand 1</t>
  </si>
  <si>
    <t>Brand 2</t>
  </si>
  <si>
    <t>Brand 3</t>
  </si>
  <si>
    <t>Brand 4</t>
  </si>
  <si>
    <t>Brand 5</t>
  </si>
  <si>
    <t>Brand 6</t>
  </si>
  <si>
    <t>Brand 7</t>
  </si>
  <si>
    <t>Brand 8</t>
  </si>
  <si>
    <t>Brand 9</t>
  </si>
  <si>
    <t>Brand 10</t>
  </si>
  <si>
    <t>Brand 11</t>
  </si>
  <si>
    <t>Brand 12</t>
  </si>
  <si>
    <t>Brand 13</t>
  </si>
  <si>
    <t>Brand 14</t>
  </si>
  <si>
    <t>Brand 15</t>
  </si>
  <si>
    <t>Brand 16</t>
  </si>
  <si>
    <t>Brand 17</t>
  </si>
  <si>
    <t>Brand 18</t>
  </si>
  <si>
    <t>Brand 19</t>
  </si>
  <si>
    <t>Brand 20</t>
  </si>
  <si>
    <t>Grocery Cost Table</t>
  </si>
  <si>
    <t>Refrigerated Items</t>
  </si>
  <si>
    <t>Butter (stick)</t>
  </si>
  <si>
    <t>Butter (tub)</t>
  </si>
  <si>
    <t>Cheese (shredded)</t>
  </si>
  <si>
    <t>Cheese (sliced)</t>
  </si>
  <si>
    <t>Potatos</t>
  </si>
  <si>
    <t>Salad (package)</t>
  </si>
  <si>
    <t>Salad (head)</t>
  </si>
  <si>
    <t>Strawberries</t>
  </si>
  <si>
    <t>Frozen Food</t>
  </si>
  <si>
    <t>Frozen Veggies</t>
  </si>
  <si>
    <t>Ice Cream</t>
  </si>
  <si>
    <t>Pizza</t>
  </si>
  <si>
    <t>Bacon</t>
  </si>
  <si>
    <t>Beef, Bonless Stew</t>
  </si>
  <si>
    <t>Beef, Ground (93% lean)</t>
  </si>
  <si>
    <t>Beef, Ground (85% lean)</t>
  </si>
  <si>
    <t>Beef, Ground (80% lean)</t>
  </si>
  <si>
    <t>Beef, Ground (73% lean)</t>
  </si>
  <si>
    <t>Beef, Whole Beef Brisket</t>
  </si>
  <si>
    <t>Chicken (bnls/skinls)</t>
  </si>
  <si>
    <t>Chicken (whole)</t>
  </si>
  <si>
    <t>Chicken (split)</t>
  </si>
  <si>
    <t>Chicken (thighs)</t>
  </si>
  <si>
    <t>Chicken (drums)</t>
  </si>
  <si>
    <t>Steak- Bone In Strip</t>
  </si>
  <si>
    <t>Steak- Boneless chuck roast</t>
  </si>
  <si>
    <t>Steak- Boneless New York Strip</t>
  </si>
  <si>
    <t>Steak- Bnless Ribeye Steak</t>
  </si>
  <si>
    <t>Steak- Boneless Sirloin</t>
  </si>
  <si>
    <t>Steak- Bottom Round Roast</t>
  </si>
  <si>
    <t>Steak- Cubed steak</t>
  </si>
  <si>
    <t>Steak- Eye of round roast</t>
  </si>
  <si>
    <t>Steak- Filet Mignon</t>
  </si>
  <si>
    <t>Steak- Flank, Skirt, Flat Iron</t>
  </si>
  <si>
    <t>Steak- Porterhouse Steak</t>
  </si>
  <si>
    <t>Steak- T-Bone Steak</t>
  </si>
  <si>
    <t>Steak-Top Rd LondonBroil</t>
  </si>
  <si>
    <t>Turkey- Whole</t>
  </si>
  <si>
    <t>Turkey- Ground Turkey</t>
  </si>
  <si>
    <t>Dry/Canned Goods</t>
  </si>
  <si>
    <t>Bread</t>
  </si>
  <si>
    <t>Brownie Mix</t>
  </si>
  <si>
    <t>Tuna</t>
  </si>
  <si>
    <t>Canned Vegetables</t>
  </si>
  <si>
    <t>Cereal</t>
  </si>
  <si>
    <t>Chips</t>
  </si>
  <si>
    <t>Chocolate chips</t>
  </si>
  <si>
    <t>Crackers</t>
  </si>
  <si>
    <t>Flour</t>
  </si>
  <si>
    <t>Fruit Snacks</t>
  </si>
  <si>
    <t>Hamburger/ Hot Dog Buns</t>
  </si>
  <si>
    <t>Jelly/Jam</t>
  </si>
  <si>
    <t>Ketchup</t>
  </si>
  <si>
    <t>Mayo</t>
  </si>
  <si>
    <t>Yellow Mustard</t>
  </si>
  <si>
    <t>Oats</t>
  </si>
  <si>
    <t>Oil (vegetable)</t>
  </si>
  <si>
    <t>Salad Dressing</t>
  </si>
  <si>
    <t>Soda (can)</t>
  </si>
  <si>
    <t>Soda (bottle)</t>
  </si>
  <si>
    <t>Soup (canned)</t>
  </si>
  <si>
    <t>Spaghetti Sauce</t>
  </si>
  <si>
    <t>Sugar</t>
  </si>
  <si>
    <t>Tomato Paste</t>
  </si>
  <si>
    <t>Tomato Sauce</t>
  </si>
  <si>
    <t>Tortillas</t>
  </si>
  <si>
    <t>Laundry Detergent</t>
  </si>
  <si>
    <t>Paper Towels</t>
  </si>
  <si>
    <t>Toilet Paper</t>
  </si>
  <si>
    <t>Kitchen Trash Bags</t>
  </si>
  <si>
    <t>Refrigerated Item</t>
  </si>
  <si>
    <t>Cleaning</t>
  </si>
  <si>
    <t>loads</t>
  </si>
  <si>
    <t>roll</t>
  </si>
  <si>
    <t>bags</t>
  </si>
  <si>
    <t>Pack</t>
  </si>
  <si>
    <t>ct</t>
  </si>
  <si>
    <t>box</t>
  </si>
  <si>
    <t>pk</t>
  </si>
  <si>
    <t>litler</t>
  </si>
  <si>
    <t>tub</t>
  </si>
  <si>
    <t>lbs</t>
  </si>
  <si>
    <t>head</t>
  </si>
  <si>
    <t>carton</t>
  </si>
  <si>
    <t>slices</t>
  </si>
  <si>
    <t>dozen</t>
  </si>
  <si>
    <t>gallon</t>
  </si>
  <si>
    <t>srv</t>
  </si>
  <si>
    <t>Item Name</t>
  </si>
  <si>
    <t>Setup</t>
  </si>
  <si>
    <t>No</t>
  </si>
  <si>
    <t>Total</t>
  </si>
  <si>
    <t>Grocery Cost Summary</t>
  </si>
  <si>
    <t>Price Based On Lowest Price</t>
  </si>
  <si>
    <t>Price Based On Similar Store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</si>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</sst>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/>
      <diagonal/>
    </border>
    <border>
      <left/>
      <right style="thin">
        <color theme="8" tint="-0.499984740745262"/>
      </right>
      <top style="thin">
        <color theme="8" tint="-0.499984740745262"/>
      </top>
      <bottom/>
      <diagonal/>
    </border>
    <border>
      <left/>
      <right/>
      <top/>
      <bottom style="thin">
        <color theme="8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1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64" fontId="0" fillId="0" borderId="3" xfId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164" fontId="0" fillId="3" borderId="3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164" fontId="0" fillId="3" borderId="7" xfId="1" applyFont="1" applyFill="1" applyBorder="1" applyAlignment="1">
      <alignment vertical="center"/>
    </xf>
    <xf numFmtId="164" fontId="3" fillId="3" borderId="7" xfId="1" applyFont="1" applyFill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5" borderId="7" xfId="0" applyFill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2"/>
    <xf numFmtId="0" fontId="9" fillId="0" borderId="0" xfId="2" applyFont="1"/>
    <xf numFmtId="0" fontId="10" fillId="0" borderId="0" xfId="2" applyFont="1"/>
    <xf numFmtId="0" fontId="12" fillId="0" borderId="0" xfId="3" applyFont="1"/>
    <xf numFmtId="0" fontId="9" fillId="0" borderId="0" xfId="2" applyFont="1" applyAlignment="1"/>
    <xf numFmtId="0" fontId="13" fillId="0" borderId="0" xfId="3" applyFont="1" applyAlignment="1"/>
    <xf numFmtId="0" fontId="4" fillId="2" borderId="8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 wrapText="1"/>
    </xf>
    <xf numFmtId="164" fontId="4" fillId="2" borderId="4" xfId="1" applyFont="1" applyFill="1" applyBorder="1" applyAlignment="1">
      <alignment horizontal="left" vertical="center"/>
    </xf>
    <xf numFmtId="164" fontId="4" fillId="2" borderId="5" xfId="1" applyFont="1" applyFill="1" applyBorder="1" applyAlignment="1">
      <alignment horizontal="left" vertical="center"/>
    </xf>
    <xf numFmtId="164" fontId="4" fillId="2" borderId="6" xfId="1" applyFont="1" applyFill="1" applyBorder="1" applyAlignment="1">
      <alignment horizontal="left" vertical="center"/>
    </xf>
    <xf numFmtId="0" fontId="9" fillId="0" borderId="0" xfId="2" applyFont="1" applyAlignment="1">
      <alignment horizontal="left"/>
    </xf>
    <xf numFmtId="0" fontId="13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32"/>
  <sheetViews>
    <sheetView showGridLines="0" zoomScale="85" zoomScaleNormal="85" workbookViewId="0">
      <selection activeCell="B33" sqref="B33"/>
    </sheetView>
  </sheetViews>
  <sheetFormatPr defaultColWidth="0" defaultRowHeight="14.4" x14ac:dyDescent="0.3"/>
  <cols>
    <col min="1" max="1" width="2.77734375" style="31" customWidth="1"/>
    <col min="2" max="2" width="5.44140625" style="3" customWidth="1"/>
    <col min="3" max="3" width="27.109375" style="3" customWidth="1"/>
    <col min="4" max="4" width="24.6640625" style="3" customWidth="1"/>
    <col min="5" max="5" width="24" style="3" customWidth="1"/>
    <col min="6" max="6" width="25.77734375" style="3" customWidth="1"/>
    <col min="7" max="7" width="14.6640625" style="3" customWidth="1"/>
    <col min="8" max="8" width="3.44140625" style="3" customWidth="1"/>
    <col min="9" max="16384" width="8.6640625" style="3" hidden="1"/>
  </cols>
  <sheetData>
    <row r="2" spans="1:7" ht="23.4" x14ac:dyDescent="0.3">
      <c r="B2" s="22" t="s">
        <v>148</v>
      </c>
      <c r="C2" s="10"/>
      <c r="D2" s="10"/>
      <c r="E2" s="10"/>
      <c r="F2" s="10"/>
      <c r="G2" s="10"/>
    </row>
    <row r="4" spans="1:7" x14ac:dyDescent="0.3">
      <c r="A4" s="31">
        <v>0</v>
      </c>
      <c r="B4" s="40" t="s">
        <v>149</v>
      </c>
      <c r="C4" s="40"/>
    </row>
    <row r="5" spans="1:7" x14ac:dyDescent="0.3">
      <c r="B5" s="23" t="s">
        <v>146</v>
      </c>
      <c r="C5" s="23" t="s">
        <v>0</v>
      </c>
      <c r="D5" s="23" t="s">
        <v>21</v>
      </c>
      <c r="E5" s="23" t="s">
        <v>22</v>
      </c>
      <c r="F5" s="23" t="s">
        <v>24</v>
      </c>
      <c r="G5" s="23" t="s">
        <v>25</v>
      </c>
    </row>
    <row r="6" spans="1:7" x14ac:dyDescent="0.3">
      <c r="B6" s="24">
        <v>1</v>
      </c>
      <c r="C6" s="25" t="s">
        <v>122</v>
      </c>
      <c r="D6" s="26" t="str">
        <f>IFERROR(VLOOKUP(C6,Setup!$B$5:$C$140,2,FALSE),"")</f>
        <v>Cleaning</v>
      </c>
      <c r="E6" s="26" t="str">
        <f t="shared" ref="E6:E15" si="0">IF(C6&lt;&gt;"",IFERROR(VLOOKUP(0&amp;C6,GroceryLowestPriceRef,5,FALSE),""),"")</f>
        <v>Brand 3</v>
      </c>
      <c r="F6" s="26" t="str">
        <f t="shared" ref="F6:F15" si="1">IF(C6&lt;&gt;"",IFERROR(VLOOKUP(0&amp;C6,GroceryLowestPriceRef,8,FALSE),""),"")</f>
        <v>Mart 1</v>
      </c>
      <c r="G6" s="27">
        <f t="shared" ref="G6:G15" si="2">IF(C6&lt;&gt;"",SUMPRODUCT((GroceryItemTable=C6)*(LowestPrice=0)*GroceryPriceTable),"")</f>
        <v>8.3333333333333332E-3</v>
      </c>
    </row>
    <row r="7" spans="1:7" x14ac:dyDescent="0.3">
      <c r="B7" s="24">
        <v>2</v>
      </c>
      <c r="C7" s="25" t="s">
        <v>123</v>
      </c>
      <c r="D7" s="26" t="str">
        <f>IFERROR(VLOOKUP(C7,Setup!$B$5:$C$140,2,FALSE),"")</f>
        <v>Cleaning</v>
      </c>
      <c r="E7" s="26" t="str">
        <f t="shared" si="0"/>
        <v>Brand 1</v>
      </c>
      <c r="F7" s="26" t="str">
        <f t="shared" si="1"/>
        <v>Mart 1</v>
      </c>
      <c r="G7" s="27">
        <f t="shared" si="2"/>
        <v>0.55000000000000004</v>
      </c>
    </row>
    <row r="8" spans="1:7" x14ac:dyDescent="0.3">
      <c r="B8" s="24">
        <v>3</v>
      </c>
      <c r="C8" s="25"/>
      <c r="D8" s="26" t="str">
        <f>IFERROR(VLOOKUP(C8,Setup!$B$5:$C$140,2,FALSE),"")</f>
        <v/>
      </c>
      <c r="E8" s="26" t="str">
        <f t="shared" si="0"/>
        <v/>
      </c>
      <c r="F8" s="26" t="str">
        <f t="shared" si="1"/>
        <v/>
      </c>
      <c r="G8" s="27" t="str">
        <f t="shared" si="2"/>
        <v/>
      </c>
    </row>
    <row r="9" spans="1:7" x14ac:dyDescent="0.3">
      <c r="B9" s="24">
        <v>4</v>
      </c>
      <c r="C9" s="25"/>
      <c r="D9" s="26" t="str">
        <f>IFERROR(VLOOKUP(C9,Setup!$B$5:$C$140,2,FALSE),"")</f>
        <v/>
      </c>
      <c r="E9" s="26" t="str">
        <f t="shared" si="0"/>
        <v/>
      </c>
      <c r="F9" s="26" t="str">
        <f t="shared" si="1"/>
        <v/>
      </c>
      <c r="G9" s="27" t="str">
        <f t="shared" si="2"/>
        <v/>
      </c>
    </row>
    <row r="10" spans="1:7" x14ac:dyDescent="0.3">
      <c r="B10" s="24">
        <v>5</v>
      </c>
      <c r="C10" s="25"/>
      <c r="D10" s="26" t="str">
        <f>IFERROR(VLOOKUP(C10,Setup!$B$5:$C$140,2,FALSE),"")</f>
        <v/>
      </c>
      <c r="E10" s="26" t="str">
        <f t="shared" si="0"/>
        <v/>
      </c>
      <c r="F10" s="26" t="str">
        <f t="shared" si="1"/>
        <v/>
      </c>
      <c r="G10" s="27" t="str">
        <f t="shared" si="2"/>
        <v/>
      </c>
    </row>
    <row r="11" spans="1:7" x14ac:dyDescent="0.3">
      <c r="B11" s="24">
        <v>6</v>
      </c>
      <c r="C11" s="25"/>
      <c r="D11" s="26" t="str">
        <f>IFERROR(VLOOKUP(C11,Setup!$B$5:$C$140,2,FALSE),"")</f>
        <v/>
      </c>
      <c r="E11" s="26" t="str">
        <f t="shared" si="0"/>
        <v/>
      </c>
      <c r="F11" s="26" t="str">
        <f t="shared" si="1"/>
        <v/>
      </c>
      <c r="G11" s="27" t="str">
        <f t="shared" si="2"/>
        <v/>
      </c>
    </row>
    <row r="12" spans="1:7" x14ac:dyDescent="0.3">
      <c r="B12" s="24">
        <v>7</v>
      </c>
      <c r="C12" s="25"/>
      <c r="D12" s="26" t="str">
        <f>IFERROR(VLOOKUP(C12,Setup!$B$5:$C$140,2,FALSE),"")</f>
        <v/>
      </c>
      <c r="E12" s="26" t="str">
        <f t="shared" si="0"/>
        <v/>
      </c>
      <c r="F12" s="26" t="str">
        <f t="shared" si="1"/>
        <v/>
      </c>
      <c r="G12" s="27" t="str">
        <f t="shared" si="2"/>
        <v/>
      </c>
    </row>
    <row r="13" spans="1:7" x14ac:dyDescent="0.3">
      <c r="B13" s="24">
        <v>8</v>
      </c>
      <c r="C13" s="25"/>
      <c r="D13" s="26" t="str">
        <f>IFERROR(VLOOKUP(C13,Setup!$B$5:$C$140,2,FALSE),"")</f>
        <v/>
      </c>
      <c r="E13" s="26" t="str">
        <f t="shared" si="0"/>
        <v/>
      </c>
      <c r="F13" s="26" t="str">
        <f t="shared" si="1"/>
        <v/>
      </c>
      <c r="G13" s="27" t="str">
        <f t="shared" si="2"/>
        <v/>
      </c>
    </row>
    <row r="14" spans="1:7" x14ac:dyDescent="0.3">
      <c r="B14" s="24">
        <v>9</v>
      </c>
      <c r="C14" s="25"/>
      <c r="D14" s="26" t="str">
        <f>IFERROR(VLOOKUP(C14,Setup!$B$5:$C$140,2,FALSE),"")</f>
        <v/>
      </c>
      <c r="E14" s="26" t="str">
        <f t="shared" si="0"/>
        <v/>
      </c>
      <c r="F14" s="26" t="str">
        <f t="shared" si="1"/>
        <v/>
      </c>
      <c r="G14" s="27" t="str">
        <f t="shared" si="2"/>
        <v/>
      </c>
    </row>
    <row r="15" spans="1:7" x14ac:dyDescent="0.3">
      <c r="B15" s="24">
        <v>10</v>
      </c>
      <c r="C15" s="25"/>
      <c r="D15" s="26" t="str">
        <f>IFERROR(VLOOKUP(C15,Setup!$B$5:$C$140,2,FALSE),"")</f>
        <v/>
      </c>
      <c r="E15" s="26" t="str">
        <f t="shared" si="0"/>
        <v/>
      </c>
      <c r="F15" s="26" t="str">
        <f t="shared" si="1"/>
        <v/>
      </c>
      <c r="G15" s="27" t="str">
        <f t="shared" si="2"/>
        <v/>
      </c>
    </row>
    <row r="16" spans="1:7" x14ac:dyDescent="0.3">
      <c r="B16" s="38" t="s">
        <v>147</v>
      </c>
      <c r="C16" s="38"/>
      <c r="D16" s="38"/>
      <c r="E16" s="38"/>
      <c r="F16" s="39"/>
      <c r="G16" s="28">
        <f>SUM(G6:G15)</f>
        <v>0.55833333333333335</v>
      </c>
    </row>
    <row r="18" spans="1:7" x14ac:dyDescent="0.3">
      <c r="A18" s="31">
        <v>0</v>
      </c>
      <c r="B18" s="40" t="s">
        <v>150</v>
      </c>
      <c r="C18" s="40"/>
      <c r="D18" s="30" t="s">
        <v>29</v>
      </c>
    </row>
    <row r="19" spans="1:7" x14ac:dyDescent="0.3">
      <c r="B19" s="23" t="s">
        <v>146</v>
      </c>
      <c r="C19" s="23" t="s">
        <v>0</v>
      </c>
      <c r="D19" s="23" t="s">
        <v>21</v>
      </c>
      <c r="E19" s="23" t="s">
        <v>22</v>
      </c>
      <c r="F19" s="23" t="s">
        <v>24</v>
      </c>
      <c r="G19" s="23" t="s">
        <v>25</v>
      </c>
    </row>
    <row r="20" spans="1:7" x14ac:dyDescent="0.3">
      <c r="B20" s="24">
        <v>1</v>
      </c>
      <c r="C20" s="29" t="str">
        <f>IF(C6&lt;&gt;"",C6,"")</f>
        <v>Laundry Detergent</v>
      </c>
      <c r="D20" s="26" t="str">
        <f>IFERROR(VLOOKUP(C20,Setup!$B$5:$C$140,2,FALSE),"")</f>
        <v>Cleaning</v>
      </c>
      <c r="E20" s="26" t="str">
        <f t="shared" ref="E20:E29" si="3">IF(C20&lt;&gt;"",IFERROR(VLOOKUP(MartRef&amp;C20,GroceryMartRef,4,FALSE),""),"")</f>
        <v>Brand 1</v>
      </c>
      <c r="F20" s="26" t="str">
        <f t="shared" ref="F20:F29" si="4">IF(C20&lt;&gt;"",IFERROR(VLOOKUP(MartRef&amp;C20,GroceryMartRef,7,FALSE),""),"")</f>
        <v>Mart 3</v>
      </c>
      <c r="G20" s="27">
        <f t="shared" ref="G20:G29" si="5">IF(C20&lt;&gt;"",IFERROR(VLOOKUP(MartRef&amp;C20,GroceryMartRef,9,FALSE),""),"")</f>
        <v>0.17857142857142858</v>
      </c>
    </row>
    <row r="21" spans="1:7" x14ac:dyDescent="0.3">
      <c r="B21" s="24">
        <v>2</v>
      </c>
      <c r="C21" s="29" t="str">
        <f t="shared" ref="C21:C29" si="6">IF(C7&lt;&gt;"",C7,"")</f>
        <v>Paper Towels</v>
      </c>
      <c r="D21" s="26" t="str">
        <f>IFERROR(VLOOKUP(C21,Setup!$B$5:$C$140,2,FALSE),"")</f>
        <v>Cleaning</v>
      </c>
      <c r="E21" s="26" t="str">
        <f t="shared" si="3"/>
        <v/>
      </c>
      <c r="F21" s="26" t="str">
        <f t="shared" si="4"/>
        <v/>
      </c>
      <c r="G21" s="27" t="str">
        <f t="shared" si="5"/>
        <v/>
      </c>
    </row>
    <row r="22" spans="1:7" x14ac:dyDescent="0.3">
      <c r="B22" s="24">
        <v>3</v>
      </c>
      <c r="C22" s="29" t="str">
        <f t="shared" si="6"/>
        <v/>
      </c>
      <c r="D22" s="26" t="str">
        <f>IFERROR(VLOOKUP(C22,Setup!$B$5:$C$140,2,FALSE),"")</f>
        <v/>
      </c>
      <c r="E22" s="26" t="str">
        <f t="shared" si="3"/>
        <v/>
      </c>
      <c r="F22" s="26" t="str">
        <f t="shared" si="4"/>
        <v/>
      </c>
      <c r="G22" s="27" t="str">
        <f t="shared" si="5"/>
        <v/>
      </c>
    </row>
    <row r="23" spans="1:7" x14ac:dyDescent="0.3">
      <c r="B23" s="24">
        <v>4</v>
      </c>
      <c r="C23" s="29" t="str">
        <f t="shared" si="6"/>
        <v/>
      </c>
      <c r="D23" s="26" t="str">
        <f>IFERROR(VLOOKUP(C23,Setup!$B$5:$C$140,2,FALSE),"")</f>
        <v/>
      </c>
      <c r="E23" s="26" t="str">
        <f t="shared" si="3"/>
        <v/>
      </c>
      <c r="F23" s="26" t="str">
        <f t="shared" si="4"/>
        <v/>
      </c>
      <c r="G23" s="27" t="str">
        <f t="shared" si="5"/>
        <v/>
      </c>
    </row>
    <row r="24" spans="1:7" x14ac:dyDescent="0.3">
      <c r="B24" s="24">
        <v>5</v>
      </c>
      <c r="C24" s="29" t="str">
        <f t="shared" si="6"/>
        <v/>
      </c>
      <c r="D24" s="26" t="str">
        <f>IFERROR(VLOOKUP(C24,Setup!$B$5:$C$140,2,FALSE),"")</f>
        <v/>
      </c>
      <c r="E24" s="26" t="str">
        <f t="shared" si="3"/>
        <v/>
      </c>
      <c r="F24" s="26" t="str">
        <f t="shared" si="4"/>
        <v/>
      </c>
      <c r="G24" s="27" t="str">
        <f t="shared" si="5"/>
        <v/>
      </c>
    </row>
    <row r="25" spans="1:7" x14ac:dyDescent="0.3">
      <c r="B25" s="24">
        <v>6</v>
      </c>
      <c r="C25" s="29" t="str">
        <f t="shared" si="6"/>
        <v/>
      </c>
      <c r="D25" s="26" t="str">
        <f>IFERROR(VLOOKUP(C25,Setup!$B$5:$C$140,2,FALSE),"")</f>
        <v/>
      </c>
      <c r="E25" s="26" t="str">
        <f t="shared" si="3"/>
        <v/>
      </c>
      <c r="F25" s="26" t="str">
        <f t="shared" si="4"/>
        <v/>
      </c>
      <c r="G25" s="27" t="str">
        <f t="shared" si="5"/>
        <v/>
      </c>
    </row>
    <row r="26" spans="1:7" x14ac:dyDescent="0.3">
      <c r="B26" s="24">
        <v>7</v>
      </c>
      <c r="C26" s="29" t="str">
        <f t="shared" si="6"/>
        <v/>
      </c>
      <c r="D26" s="26" t="str">
        <f>IFERROR(VLOOKUP(C26,Setup!$B$5:$C$140,2,FALSE),"")</f>
        <v/>
      </c>
      <c r="E26" s="26" t="str">
        <f t="shared" si="3"/>
        <v/>
      </c>
      <c r="F26" s="26" t="str">
        <f t="shared" si="4"/>
        <v/>
      </c>
      <c r="G26" s="27" t="str">
        <f t="shared" si="5"/>
        <v/>
      </c>
    </row>
    <row r="27" spans="1:7" x14ac:dyDescent="0.3">
      <c r="B27" s="24">
        <v>8</v>
      </c>
      <c r="C27" s="29" t="str">
        <f t="shared" si="6"/>
        <v/>
      </c>
      <c r="D27" s="26" t="str">
        <f>IFERROR(VLOOKUP(C27,Setup!$B$5:$C$140,2,FALSE),"")</f>
        <v/>
      </c>
      <c r="E27" s="26" t="str">
        <f t="shared" si="3"/>
        <v/>
      </c>
      <c r="F27" s="26" t="str">
        <f t="shared" si="4"/>
        <v/>
      </c>
      <c r="G27" s="27" t="str">
        <f t="shared" si="5"/>
        <v/>
      </c>
    </row>
    <row r="28" spans="1:7" x14ac:dyDescent="0.3">
      <c r="B28" s="24">
        <v>9</v>
      </c>
      <c r="C28" s="29" t="str">
        <f t="shared" si="6"/>
        <v/>
      </c>
      <c r="D28" s="26" t="str">
        <f>IFERROR(VLOOKUP(C28,Setup!$B$5:$C$140,2,FALSE),"")</f>
        <v/>
      </c>
      <c r="E28" s="26" t="str">
        <f t="shared" si="3"/>
        <v/>
      </c>
      <c r="F28" s="26" t="str">
        <f t="shared" si="4"/>
        <v/>
      </c>
      <c r="G28" s="27" t="str">
        <f t="shared" si="5"/>
        <v/>
      </c>
    </row>
    <row r="29" spans="1:7" x14ac:dyDescent="0.3">
      <c r="B29" s="24">
        <v>10</v>
      </c>
      <c r="C29" s="29" t="str">
        <f t="shared" si="6"/>
        <v/>
      </c>
      <c r="D29" s="26" t="str">
        <f>IFERROR(VLOOKUP(C29,Setup!$B$5:$C$140,2,FALSE),"")</f>
        <v/>
      </c>
      <c r="E29" s="26" t="str">
        <f t="shared" si="3"/>
        <v/>
      </c>
      <c r="F29" s="26" t="str">
        <f t="shared" si="4"/>
        <v/>
      </c>
      <c r="G29" s="27" t="str">
        <f t="shared" si="5"/>
        <v/>
      </c>
    </row>
    <row r="30" spans="1:7" x14ac:dyDescent="0.3">
      <c r="B30" s="38" t="s">
        <v>147</v>
      </c>
      <c r="C30" s="38"/>
      <c r="D30" s="38"/>
      <c r="E30" s="38"/>
      <c r="F30" s="39"/>
      <c r="G30" s="28">
        <f>SUM(G20:G29)</f>
        <v>0.17857142857142858</v>
      </c>
    </row>
    <row r="32" spans="1:7" x14ac:dyDescent="0.3">
      <c r="B32" s="3" t="s">
        <v>153</v>
      </c>
    </row>
  </sheetData>
  <mergeCells count="4">
    <mergeCell ref="B16:F16"/>
    <mergeCell ref="B4:C4"/>
    <mergeCell ref="B18:C18"/>
    <mergeCell ref="B30:F30"/>
  </mergeCells>
  <dataValidations count="2">
    <dataValidation type="list" allowBlank="1" showInputMessage="1" showErrorMessage="1" sqref="C6:C15" xr:uid="{00000000-0002-0000-0000-000000000000}">
      <formula1>ItemName</formula1>
    </dataValidation>
    <dataValidation type="list" allowBlank="1" showInputMessage="1" showErrorMessage="1" sqref="D18" xr:uid="{00000000-0002-0000-0000-000001000000}">
      <formula1>Mart</formula1>
    </dataValidation>
  </dataValidations>
  <pageMargins left="0.7" right="0.7" top="0.75" bottom="0.75" header="0.3" footer="0.3"/>
  <pageSetup scale="9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154"/>
  <sheetViews>
    <sheetView showGridLines="0" workbookViewId="0">
      <selection activeCell="E13" sqref="E13"/>
    </sheetView>
  </sheetViews>
  <sheetFormatPr defaultColWidth="0" defaultRowHeight="14.4" x14ac:dyDescent="0.3"/>
  <cols>
    <col min="1" max="1" width="2.77734375" style="31" customWidth="1"/>
    <col min="2" max="3" width="2.77734375" style="31" hidden="1" customWidth="1"/>
    <col min="4" max="4" width="24.33203125" style="3" customWidth="1"/>
    <col min="5" max="5" width="18.44140625" style="3" customWidth="1"/>
    <col min="6" max="6" width="17.77734375" style="3" customWidth="1"/>
    <col min="7" max="7" width="8.6640625" style="5" customWidth="1"/>
    <col min="8" max="8" width="7.6640625" style="2" customWidth="1"/>
    <col min="9" max="9" width="11.77734375" style="3" customWidth="1"/>
    <col min="10" max="11" width="8.6640625" style="5" customWidth="1"/>
    <col min="12" max="12" width="4.6640625" style="3" customWidth="1"/>
    <col min="13" max="16384" width="8.6640625" style="3" hidden="1"/>
  </cols>
  <sheetData>
    <row r="2" spans="1:11" ht="23.4" x14ac:dyDescent="0.3">
      <c r="D2" s="22" t="s">
        <v>54</v>
      </c>
      <c r="E2" s="7"/>
      <c r="F2" s="7"/>
      <c r="G2" s="8"/>
      <c r="H2" s="9"/>
      <c r="I2" s="10"/>
      <c r="J2" s="8"/>
      <c r="K2" s="8"/>
    </row>
    <row r="4" spans="1:11" s="6" customFormat="1" x14ac:dyDescent="0.3">
      <c r="A4" s="31"/>
      <c r="B4" s="31"/>
      <c r="C4" s="31"/>
      <c r="D4" s="41" t="s">
        <v>0</v>
      </c>
      <c r="E4" s="41" t="s">
        <v>21</v>
      </c>
      <c r="F4" s="41" t="s">
        <v>22</v>
      </c>
      <c r="G4" s="43" t="s">
        <v>26</v>
      </c>
      <c r="H4" s="44"/>
      <c r="I4" s="44"/>
      <c r="J4" s="45"/>
      <c r="K4" s="42" t="s">
        <v>23</v>
      </c>
    </row>
    <row r="5" spans="1:11" s="6" customFormat="1" x14ac:dyDescent="0.3">
      <c r="A5" s="31"/>
      <c r="B5" s="31"/>
      <c r="C5" s="31"/>
      <c r="D5" s="41"/>
      <c r="E5" s="41"/>
      <c r="F5" s="41"/>
      <c r="G5" s="12" t="s">
        <v>1</v>
      </c>
      <c r="H5" s="13" t="s">
        <v>2</v>
      </c>
      <c r="I5" s="14" t="s">
        <v>24</v>
      </c>
      <c r="J5" s="12" t="s">
        <v>25</v>
      </c>
      <c r="K5" s="42"/>
    </row>
    <row r="6" spans="1:11" x14ac:dyDescent="0.3">
      <c r="A6" s="31">
        <f>SUMPRODUCT(($D$6:$D$154=D6)*($K$6:$K$154&lt;K6)*1)</f>
        <v>2</v>
      </c>
      <c r="B6" s="31" t="str">
        <f>A6&amp;D6</f>
        <v>2Laundry Detergent</v>
      </c>
      <c r="C6" s="31" t="str">
        <f>I6&amp;D6</f>
        <v>Mart 1Laundry Detergent</v>
      </c>
      <c r="D6" s="15" t="s">
        <v>122</v>
      </c>
      <c r="E6" s="21" t="str">
        <f>IFERROR(VLOOKUP(D6,Setup!$B$5:$C4140,2,FALSE),"")</f>
        <v>Cleaning</v>
      </c>
      <c r="F6" s="15" t="s">
        <v>34</v>
      </c>
      <c r="G6" s="16">
        <v>32</v>
      </c>
      <c r="H6" s="17" t="s">
        <v>128</v>
      </c>
      <c r="I6" s="15" t="s">
        <v>27</v>
      </c>
      <c r="J6" s="16">
        <v>1</v>
      </c>
      <c r="K6" s="18">
        <f>IFERROR(J6/G6,0)</f>
        <v>3.125E-2</v>
      </c>
    </row>
    <row r="7" spans="1:11" x14ac:dyDescent="0.3">
      <c r="A7" s="31">
        <f t="shared" ref="A7:A70" si="0">SUMPRODUCT(($D$6:$D$154=D7)*($K$6:$K$154&lt;K7)*1)</f>
        <v>1</v>
      </c>
      <c r="B7" s="31" t="str">
        <f t="shared" ref="B7:B70" si="1">A7&amp;D7</f>
        <v>1Laundry Detergent</v>
      </c>
      <c r="C7" s="31" t="str">
        <f t="shared" ref="C7:C70" si="2">I7&amp;D7</f>
        <v>Mart 1Laundry Detergent</v>
      </c>
      <c r="D7" s="15" t="s">
        <v>122</v>
      </c>
      <c r="E7" s="21" t="str">
        <f>IFERROR(VLOOKUP(D7,Setup!$B$5:$C4141,2,FALSE),"")</f>
        <v>Cleaning</v>
      </c>
      <c r="F7" s="15" t="s">
        <v>35</v>
      </c>
      <c r="G7" s="16">
        <v>32</v>
      </c>
      <c r="H7" s="17" t="s">
        <v>128</v>
      </c>
      <c r="I7" s="15" t="s">
        <v>27</v>
      </c>
      <c r="J7" s="16">
        <v>0.55000000000000004</v>
      </c>
      <c r="K7" s="18">
        <f t="shared" ref="K7:K70" si="3">IFERROR(J7/G7,0)</f>
        <v>1.7187500000000001E-2</v>
      </c>
    </row>
    <row r="8" spans="1:11" x14ac:dyDescent="0.3">
      <c r="A8" s="31">
        <f t="shared" si="0"/>
        <v>0</v>
      </c>
      <c r="B8" s="31" t="str">
        <f t="shared" si="1"/>
        <v>0Laundry Detergent</v>
      </c>
      <c r="C8" s="31" t="str">
        <f t="shared" si="2"/>
        <v>Mart 1Laundry Detergent</v>
      </c>
      <c r="D8" s="15" t="s">
        <v>122</v>
      </c>
      <c r="E8" s="21" t="str">
        <f>IFERROR(VLOOKUP(D8,Setup!$B$5:$C4142,2,FALSE),"")</f>
        <v>Cleaning</v>
      </c>
      <c r="F8" s="15" t="s">
        <v>36</v>
      </c>
      <c r="G8" s="16">
        <v>30</v>
      </c>
      <c r="H8" s="17" t="s">
        <v>128</v>
      </c>
      <c r="I8" s="15" t="s">
        <v>27</v>
      </c>
      <c r="J8" s="16">
        <v>0.25</v>
      </c>
      <c r="K8" s="18">
        <f t="shared" si="3"/>
        <v>8.3333333333333332E-3</v>
      </c>
    </row>
    <row r="9" spans="1:11" x14ac:dyDescent="0.3">
      <c r="A9" s="31">
        <f t="shared" si="0"/>
        <v>3</v>
      </c>
      <c r="B9" s="31" t="str">
        <f t="shared" si="1"/>
        <v>3Laundry Detergent</v>
      </c>
      <c r="C9" s="31" t="str">
        <f t="shared" si="2"/>
        <v>Mart 2Laundry Detergent</v>
      </c>
      <c r="D9" s="15" t="s">
        <v>122</v>
      </c>
      <c r="E9" s="21" t="str">
        <f>IFERROR(VLOOKUP(D9,Setup!$B$5:$C4143,2,FALSE),"")</f>
        <v>Cleaning</v>
      </c>
      <c r="F9" s="15" t="s">
        <v>34</v>
      </c>
      <c r="G9" s="16">
        <v>30</v>
      </c>
      <c r="H9" s="17" t="s">
        <v>128</v>
      </c>
      <c r="I9" s="15" t="s">
        <v>28</v>
      </c>
      <c r="J9" s="16">
        <v>2.98</v>
      </c>
      <c r="K9" s="18">
        <f t="shared" si="3"/>
        <v>9.9333333333333329E-2</v>
      </c>
    </row>
    <row r="10" spans="1:11" x14ac:dyDescent="0.3">
      <c r="A10" s="31">
        <f t="shared" si="0"/>
        <v>4</v>
      </c>
      <c r="B10" s="31" t="str">
        <f t="shared" si="1"/>
        <v>4Laundry Detergent</v>
      </c>
      <c r="C10" s="31" t="str">
        <f t="shared" si="2"/>
        <v>Mart 3Laundry Detergent</v>
      </c>
      <c r="D10" s="15" t="s">
        <v>122</v>
      </c>
      <c r="E10" s="21" t="str">
        <f>IFERROR(VLOOKUP(D10,Setup!$B$5:$C4144,2,FALSE),"")</f>
        <v>Cleaning</v>
      </c>
      <c r="F10" s="15" t="s">
        <v>34</v>
      </c>
      <c r="G10" s="16">
        <v>28</v>
      </c>
      <c r="H10" s="17" t="s">
        <v>128</v>
      </c>
      <c r="I10" s="15" t="s">
        <v>29</v>
      </c>
      <c r="J10" s="16">
        <v>5</v>
      </c>
      <c r="K10" s="18">
        <f t="shared" si="3"/>
        <v>0.17857142857142858</v>
      </c>
    </row>
    <row r="11" spans="1:11" x14ac:dyDescent="0.3">
      <c r="A11" s="31">
        <f t="shared" si="0"/>
        <v>0</v>
      </c>
      <c r="B11" s="31" t="str">
        <f t="shared" si="1"/>
        <v>0Paper Towels</v>
      </c>
      <c r="C11" s="31" t="str">
        <f t="shared" si="2"/>
        <v>Mart 1Paper Towels</v>
      </c>
      <c r="D11" s="15" t="s">
        <v>123</v>
      </c>
      <c r="E11" s="21" t="str">
        <f>IFERROR(VLOOKUP(D11,Setup!$B$5:$C4145,2,FALSE),"")</f>
        <v>Cleaning</v>
      </c>
      <c r="F11" s="15" t="s">
        <v>34</v>
      </c>
      <c r="G11" s="16">
        <v>1</v>
      </c>
      <c r="H11" s="17" t="s">
        <v>129</v>
      </c>
      <c r="I11" s="15" t="s">
        <v>27</v>
      </c>
      <c r="J11" s="16">
        <v>0.55000000000000004</v>
      </c>
      <c r="K11" s="18">
        <f t="shared" si="3"/>
        <v>0.55000000000000004</v>
      </c>
    </row>
    <row r="12" spans="1:11" x14ac:dyDescent="0.3">
      <c r="A12" s="31">
        <f t="shared" si="0"/>
        <v>0</v>
      </c>
      <c r="B12" s="31" t="str">
        <f t="shared" si="1"/>
        <v>0Toilet Paper</v>
      </c>
      <c r="C12" s="31" t="str">
        <f t="shared" si="2"/>
        <v>Mart 1Toilet Paper</v>
      </c>
      <c r="D12" s="15" t="s">
        <v>124</v>
      </c>
      <c r="E12" s="21" t="str">
        <f>IFERROR(VLOOKUP(D12,Setup!$B$5:$C4146,2,FALSE),"")</f>
        <v>Cleaning</v>
      </c>
      <c r="F12" s="15" t="s">
        <v>34</v>
      </c>
      <c r="G12" s="16">
        <v>1</v>
      </c>
      <c r="H12" s="17" t="s">
        <v>129</v>
      </c>
      <c r="I12" s="15" t="s">
        <v>27</v>
      </c>
      <c r="J12" s="16">
        <v>0.25</v>
      </c>
      <c r="K12" s="18">
        <f t="shared" si="3"/>
        <v>0.25</v>
      </c>
    </row>
    <row r="13" spans="1:11" x14ac:dyDescent="0.3">
      <c r="A13" s="31">
        <f t="shared" si="0"/>
        <v>0</v>
      </c>
      <c r="B13" s="31" t="str">
        <f t="shared" si="1"/>
        <v>0Kitchen Trash Bags</v>
      </c>
      <c r="C13" s="31" t="str">
        <f t="shared" si="2"/>
        <v>Mart 1Kitchen Trash Bags</v>
      </c>
      <c r="D13" s="15" t="s">
        <v>125</v>
      </c>
      <c r="E13" s="21" t="str">
        <f>IFERROR(VLOOKUP(D13,Setup!$B$5:$C4147,2,FALSE),"")</f>
        <v>Cleaning</v>
      </c>
      <c r="F13" s="15" t="s">
        <v>34</v>
      </c>
      <c r="G13" s="16">
        <v>32</v>
      </c>
      <c r="H13" s="17" t="s">
        <v>130</v>
      </c>
      <c r="I13" s="15" t="s">
        <v>27</v>
      </c>
      <c r="J13" s="16">
        <v>2.98</v>
      </c>
      <c r="K13" s="18">
        <f t="shared" si="3"/>
        <v>9.3124999999999999E-2</v>
      </c>
    </row>
    <row r="14" spans="1:11" x14ac:dyDescent="0.3">
      <c r="A14" s="31">
        <f t="shared" si="0"/>
        <v>0</v>
      </c>
      <c r="B14" s="31" t="str">
        <f t="shared" si="1"/>
        <v>0Diapers</v>
      </c>
      <c r="C14" s="31" t="str">
        <f t="shared" si="2"/>
        <v>Mart 1Diapers</v>
      </c>
      <c r="D14" s="15" t="s">
        <v>16</v>
      </c>
      <c r="E14" s="21" t="str">
        <f>IFERROR(VLOOKUP(D14,Setup!$B$5:$C4148,2,FALSE),"")</f>
        <v>Cleaning</v>
      </c>
      <c r="F14" s="15" t="s">
        <v>34</v>
      </c>
      <c r="G14" s="16">
        <v>6</v>
      </c>
      <c r="H14" s="17" t="s">
        <v>131</v>
      </c>
      <c r="I14" s="15" t="s">
        <v>27</v>
      </c>
      <c r="J14" s="16">
        <v>5</v>
      </c>
      <c r="K14" s="18">
        <f t="shared" si="3"/>
        <v>0.83333333333333337</v>
      </c>
    </row>
    <row r="15" spans="1:11" x14ac:dyDescent="0.3">
      <c r="A15" s="31">
        <f t="shared" si="0"/>
        <v>0</v>
      </c>
      <c r="B15" s="31" t="str">
        <f t="shared" si="1"/>
        <v>0Wipes</v>
      </c>
      <c r="C15" s="31" t="str">
        <f t="shared" si="2"/>
        <v>Mart 1Wipes</v>
      </c>
      <c r="D15" s="15" t="s">
        <v>17</v>
      </c>
      <c r="E15" s="21" t="str">
        <f>IFERROR(VLOOKUP(D15,Setup!$B$5:$C4149,2,FALSE),"")</f>
        <v>Cleaning</v>
      </c>
      <c r="F15" s="15" t="s">
        <v>34</v>
      </c>
      <c r="G15" s="16">
        <v>64</v>
      </c>
      <c r="H15" s="17" t="s">
        <v>132</v>
      </c>
      <c r="I15" s="15" t="s">
        <v>27</v>
      </c>
      <c r="J15" s="16">
        <v>1</v>
      </c>
      <c r="K15" s="18">
        <f t="shared" si="3"/>
        <v>1.5625E-2</v>
      </c>
    </row>
    <row r="16" spans="1:11" x14ac:dyDescent="0.3">
      <c r="A16" s="31">
        <f t="shared" si="0"/>
        <v>0</v>
      </c>
      <c r="B16" s="31" t="str">
        <f t="shared" si="1"/>
        <v>0Bread</v>
      </c>
      <c r="C16" s="31" t="str">
        <f t="shared" si="2"/>
        <v>Mart 1Bread</v>
      </c>
      <c r="D16" s="15" t="s">
        <v>96</v>
      </c>
      <c r="E16" s="21" t="str">
        <f>IFERROR(VLOOKUP(D16,Setup!$B$5:$C4150,2,FALSE),"")</f>
        <v>Dry/Canned Goods</v>
      </c>
      <c r="F16" s="15" t="s">
        <v>34</v>
      </c>
      <c r="G16" s="16">
        <v>8</v>
      </c>
      <c r="H16" s="17" t="s">
        <v>140</v>
      </c>
      <c r="I16" s="15" t="s">
        <v>27</v>
      </c>
      <c r="J16" s="16">
        <v>1</v>
      </c>
      <c r="K16" s="18">
        <f t="shared" si="3"/>
        <v>0.125</v>
      </c>
    </row>
    <row r="17" spans="1:11" x14ac:dyDescent="0.3">
      <c r="A17" s="31">
        <f t="shared" si="0"/>
        <v>0</v>
      </c>
      <c r="B17" s="31" t="str">
        <f t="shared" si="1"/>
        <v>0Brownie Mix</v>
      </c>
      <c r="C17" s="31" t="str">
        <f t="shared" si="2"/>
        <v>Mart 1Brownie Mix</v>
      </c>
      <c r="D17" s="15" t="s">
        <v>97</v>
      </c>
      <c r="E17" s="21" t="str">
        <f>IFERROR(VLOOKUP(D17,Setup!$B$5:$C4151,2,FALSE),"")</f>
        <v>Dry/Canned Goods</v>
      </c>
      <c r="F17" s="15" t="s">
        <v>34</v>
      </c>
      <c r="G17" s="16">
        <v>1</v>
      </c>
      <c r="H17" s="17" t="s">
        <v>133</v>
      </c>
      <c r="I17" s="15" t="s">
        <v>27</v>
      </c>
      <c r="J17" s="16">
        <v>0.75</v>
      </c>
      <c r="K17" s="18">
        <f t="shared" si="3"/>
        <v>0.75</v>
      </c>
    </row>
    <row r="18" spans="1:11" x14ac:dyDescent="0.3">
      <c r="A18" s="31">
        <f t="shared" si="0"/>
        <v>0</v>
      </c>
      <c r="B18" s="31" t="str">
        <f t="shared" si="1"/>
        <v>0Tuna</v>
      </c>
      <c r="C18" s="31" t="str">
        <f t="shared" si="2"/>
        <v>Mart 1Tuna</v>
      </c>
      <c r="D18" s="15" t="s">
        <v>98</v>
      </c>
      <c r="E18" s="21" t="str">
        <f>IFERROR(VLOOKUP(D18,Setup!$B$5:$C4152,2,FALSE),"")</f>
        <v>Dry/Canned Goods</v>
      </c>
      <c r="F18" s="15" t="s">
        <v>34</v>
      </c>
      <c r="G18" s="16">
        <v>5</v>
      </c>
      <c r="H18" s="17" t="s">
        <v>20</v>
      </c>
      <c r="I18" s="15" t="s">
        <v>27</v>
      </c>
      <c r="J18" s="16">
        <v>0.75</v>
      </c>
      <c r="K18" s="18">
        <f t="shared" si="3"/>
        <v>0.15</v>
      </c>
    </row>
    <row r="19" spans="1:11" x14ac:dyDescent="0.3">
      <c r="A19" s="31">
        <f t="shared" si="0"/>
        <v>0</v>
      </c>
      <c r="B19" s="31" t="str">
        <f t="shared" si="1"/>
        <v>0Canned Vegetables</v>
      </c>
      <c r="C19" s="31" t="str">
        <f t="shared" si="2"/>
        <v>Mart 1Canned Vegetables</v>
      </c>
      <c r="D19" s="15" t="s">
        <v>99</v>
      </c>
      <c r="E19" s="21" t="str">
        <f>IFERROR(VLOOKUP(D19,Setup!$B$5:$C4153,2,FALSE),"")</f>
        <v>Dry/Canned Goods</v>
      </c>
      <c r="F19" s="15" t="s">
        <v>34</v>
      </c>
      <c r="G19" s="16">
        <v>14.5</v>
      </c>
      <c r="H19" s="17" t="s">
        <v>20</v>
      </c>
      <c r="I19" s="15" t="s">
        <v>27</v>
      </c>
      <c r="J19" s="16">
        <v>0.5</v>
      </c>
      <c r="K19" s="18">
        <f t="shared" si="3"/>
        <v>3.4482758620689655E-2</v>
      </c>
    </row>
    <row r="20" spans="1:11" x14ac:dyDescent="0.3">
      <c r="A20" s="31">
        <f t="shared" si="0"/>
        <v>0</v>
      </c>
      <c r="B20" s="31" t="str">
        <f t="shared" si="1"/>
        <v>0Cereal</v>
      </c>
      <c r="C20" s="31" t="str">
        <f t="shared" si="2"/>
        <v>Mart 1Cereal</v>
      </c>
      <c r="D20" s="15" t="s">
        <v>100</v>
      </c>
      <c r="E20" s="21" t="str">
        <f>IFERROR(VLOOKUP(D20,Setup!$B$5:$C4154,2,FALSE),"")</f>
        <v>Dry/Canned Goods</v>
      </c>
      <c r="F20" s="15" t="s">
        <v>34</v>
      </c>
      <c r="G20" s="16">
        <v>12</v>
      </c>
      <c r="H20" s="17" t="s">
        <v>20</v>
      </c>
      <c r="I20" s="15" t="s">
        <v>27</v>
      </c>
      <c r="J20" s="16">
        <v>1</v>
      </c>
      <c r="K20" s="18">
        <f t="shared" si="3"/>
        <v>8.3333333333333329E-2</v>
      </c>
    </row>
    <row r="21" spans="1:11" x14ac:dyDescent="0.3">
      <c r="A21" s="31">
        <f t="shared" si="0"/>
        <v>0</v>
      </c>
      <c r="B21" s="31" t="str">
        <f t="shared" si="1"/>
        <v>0Chips</v>
      </c>
      <c r="C21" s="31" t="str">
        <f t="shared" si="2"/>
        <v>Mart 1Chips</v>
      </c>
      <c r="D21" s="15" t="s">
        <v>101</v>
      </c>
      <c r="E21" s="21" t="str">
        <f>IFERROR(VLOOKUP(D21,Setup!$B$5:$C4155,2,FALSE),"")</f>
        <v>Dry/Canned Goods</v>
      </c>
      <c r="F21" s="15" t="s">
        <v>34</v>
      </c>
      <c r="G21" s="16">
        <v>12</v>
      </c>
      <c r="H21" s="17" t="s">
        <v>20</v>
      </c>
      <c r="I21" s="15" t="s">
        <v>27</v>
      </c>
      <c r="J21" s="16">
        <v>2.5</v>
      </c>
      <c r="K21" s="18">
        <f t="shared" si="3"/>
        <v>0.20833333333333334</v>
      </c>
    </row>
    <row r="22" spans="1:11" x14ac:dyDescent="0.3">
      <c r="A22" s="31">
        <f t="shared" si="0"/>
        <v>0</v>
      </c>
      <c r="B22" s="31" t="str">
        <f t="shared" si="1"/>
        <v>0Chocolate chips</v>
      </c>
      <c r="C22" s="31" t="str">
        <f t="shared" si="2"/>
        <v>Mart 1Chocolate chips</v>
      </c>
      <c r="D22" s="15" t="s">
        <v>102</v>
      </c>
      <c r="E22" s="21" t="str">
        <f>IFERROR(VLOOKUP(D22,Setup!$B$5:$C4156,2,FALSE),"")</f>
        <v>Dry/Canned Goods</v>
      </c>
      <c r="F22" s="15" t="s">
        <v>34</v>
      </c>
      <c r="G22" s="16">
        <v>12</v>
      </c>
      <c r="H22" s="17" t="s">
        <v>20</v>
      </c>
      <c r="I22" s="15" t="s">
        <v>27</v>
      </c>
      <c r="J22" s="16">
        <v>2</v>
      </c>
      <c r="K22" s="18">
        <f t="shared" si="3"/>
        <v>0.16666666666666666</v>
      </c>
    </row>
    <row r="23" spans="1:11" x14ac:dyDescent="0.3">
      <c r="A23" s="31">
        <f t="shared" si="0"/>
        <v>0</v>
      </c>
      <c r="B23" s="31" t="str">
        <f t="shared" si="1"/>
        <v>0Crackers</v>
      </c>
      <c r="C23" s="31" t="str">
        <f t="shared" si="2"/>
        <v>Mart 1Crackers</v>
      </c>
      <c r="D23" s="15" t="s">
        <v>103</v>
      </c>
      <c r="E23" s="21" t="str">
        <f>IFERROR(VLOOKUP(D23,Setup!$B$5:$C4157,2,FALSE),"")</f>
        <v>Dry/Canned Goods</v>
      </c>
      <c r="F23" s="15" t="s">
        <v>34</v>
      </c>
      <c r="G23" s="16">
        <v>1</v>
      </c>
      <c r="H23" s="17" t="s">
        <v>133</v>
      </c>
      <c r="I23" s="15" t="s">
        <v>27</v>
      </c>
      <c r="J23" s="16">
        <v>2</v>
      </c>
      <c r="K23" s="18">
        <f t="shared" si="3"/>
        <v>2</v>
      </c>
    </row>
    <row r="24" spans="1:11" x14ac:dyDescent="0.3">
      <c r="A24" s="31">
        <f t="shared" si="0"/>
        <v>0</v>
      </c>
      <c r="B24" s="31" t="str">
        <f t="shared" si="1"/>
        <v>0Flour</v>
      </c>
      <c r="C24" s="31" t="str">
        <f t="shared" si="2"/>
        <v>Mart 1Flour</v>
      </c>
      <c r="D24" s="15" t="s">
        <v>104</v>
      </c>
      <c r="E24" s="21" t="str">
        <f>IFERROR(VLOOKUP(D24,Setup!$B$5:$C4158,2,FALSE),"")</f>
        <v>Dry/Canned Goods</v>
      </c>
      <c r="F24" s="15" t="s">
        <v>34</v>
      </c>
      <c r="G24" s="16">
        <v>1</v>
      </c>
      <c r="H24" s="17" t="s">
        <v>19</v>
      </c>
      <c r="I24" s="15" t="s">
        <v>27</v>
      </c>
      <c r="J24" s="16">
        <v>0.5</v>
      </c>
      <c r="K24" s="18">
        <f t="shared" si="3"/>
        <v>0.5</v>
      </c>
    </row>
    <row r="25" spans="1:11" x14ac:dyDescent="0.3">
      <c r="A25" s="31">
        <f t="shared" si="0"/>
        <v>0</v>
      </c>
      <c r="B25" s="31" t="str">
        <f t="shared" si="1"/>
        <v>0Fruit Snacks</v>
      </c>
      <c r="C25" s="31" t="str">
        <f t="shared" si="2"/>
        <v>Mart 1Fruit Snacks</v>
      </c>
      <c r="D25" s="15" t="s">
        <v>105</v>
      </c>
      <c r="E25" s="21" t="str">
        <f>IFERROR(VLOOKUP(D25,Setup!$B$5:$C4159,2,FALSE),"")</f>
        <v>Dry/Canned Goods</v>
      </c>
      <c r="F25" s="15" t="s">
        <v>34</v>
      </c>
      <c r="G25" s="16">
        <v>12</v>
      </c>
      <c r="H25" s="17" t="s">
        <v>132</v>
      </c>
      <c r="I25" s="15" t="s">
        <v>27</v>
      </c>
      <c r="J25" s="16">
        <v>2</v>
      </c>
      <c r="K25" s="18">
        <f t="shared" si="3"/>
        <v>0.16666666666666666</v>
      </c>
    </row>
    <row r="26" spans="1:11" x14ac:dyDescent="0.3">
      <c r="A26" s="31">
        <f t="shared" si="0"/>
        <v>0</v>
      </c>
      <c r="B26" s="31" t="str">
        <f t="shared" si="1"/>
        <v>0Hamburger/ Hot Dog Buns</v>
      </c>
      <c r="C26" s="31" t="str">
        <f t="shared" si="2"/>
        <v>Mart 1Hamburger/ Hot Dog Buns</v>
      </c>
      <c r="D26" s="15" t="s">
        <v>106</v>
      </c>
      <c r="E26" s="21" t="str">
        <f>IFERROR(VLOOKUP(D26,Setup!$B$5:$C4160,2,FALSE),"")</f>
        <v>Dry/Canned Goods</v>
      </c>
      <c r="F26" s="15" t="s">
        <v>34</v>
      </c>
      <c r="G26" s="16">
        <v>8</v>
      </c>
      <c r="H26" s="17" t="s">
        <v>132</v>
      </c>
      <c r="I26" s="15" t="s">
        <v>27</v>
      </c>
      <c r="J26" s="16">
        <v>1</v>
      </c>
      <c r="K26" s="18">
        <f t="shared" si="3"/>
        <v>0.125</v>
      </c>
    </row>
    <row r="27" spans="1:11" x14ac:dyDescent="0.3">
      <c r="A27" s="31">
        <f t="shared" si="0"/>
        <v>0</v>
      </c>
      <c r="B27" s="31" t="str">
        <f t="shared" si="1"/>
        <v>0Jelly/Jam</v>
      </c>
      <c r="C27" s="31" t="str">
        <f t="shared" si="2"/>
        <v>Mart 1Jelly/Jam</v>
      </c>
      <c r="D27" s="15" t="s">
        <v>107</v>
      </c>
      <c r="E27" s="21" t="str">
        <f>IFERROR(VLOOKUP(D27,Setup!$B$5:$C4161,2,FALSE),"")</f>
        <v>Dry/Canned Goods</v>
      </c>
      <c r="F27" s="15" t="s">
        <v>34</v>
      </c>
      <c r="G27" s="16">
        <v>32</v>
      </c>
      <c r="H27" s="17" t="s">
        <v>20</v>
      </c>
      <c r="I27" s="15" t="s">
        <v>27</v>
      </c>
      <c r="J27" s="16">
        <v>1</v>
      </c>
      <c r="K27" s="18">
        <f t="shared" si="3"/>
        <v>3.125E-2</v>
      </c>
    </row>
    <row r="28" spans="1:11" x14ac:dyDescent="0.3">
      <c r="A28" s="31">
        <f t="shared" si="0"/>
        <v>0</v>
      </c>
      <c r="B28" s="31" t="str">
        <f t="shared" si="1"/>
        <v>0Ketchup</v>
      </c>
      <c r="C28" s="31" t="str">
        <f t="shared" si="2"/>
        <v>Mart 1Ketchup</v>
      </c>
      <c r="D28" s="15" t="s">
        <v>108</v>
      </c>
      <c r="E28" s="21" t="str">
        <f>IFERROR(VLOOKUP(D28,Setup!$B$5:$C4162,2,FALSE),"")</f>
        <v>Dry/Canned Goods</v>
      </c>
      <c r="F28" s="15" t="s">
        <v>34</v>
      </c>
      <c r="G28" s="16">
        <v>32</v>
      </c>
      <c r="H28" s="17" t="s">
        <v>20</v>
      </c>
      <c r="I28" s="15" t="s">
        <v>27</v>
      </c>
      <c r="J28" s="16">
        <v>1</v>
      </c>
      <c r="K28" s="18">
        <f t="shared" si="3"/>
        <v>3.125E-2</v>
      </c>
    </row>
    <row r="29" spans="1:11" x14ac:dyDescent="0.3">
      <c r="A29" s="31">
        <f t="shared" si="0"/>
        <v>0</v>
      </c>
      <c r="B29" s="31" t="str">
        <f t="shared" si="1"/>
        <v>0Mayo</v>
      </c>
      <c r="C29" s="31" t="str">
        <f t="shared" si="2"/>
        <v>Mart 1Mayo</v>
      </c>
      <c r="D29" s="15" t="s">
        <v>109</v>
      </c>
      <c r="E29" s="21" t="str">
        <f>IFERROR(VLOOKUP(D29,Setup!$B$5:$C4163,2,FALSE),"")</f>
        <v>Dry/Canned Goods</v>
      </c>
      <c r="F29" s="15" t="s">
        <v>34</v>
      </c>
      <c r="G29" s="16">
        <v>32</v>
      </c>
      <c r="H29" s="17" t="s">
        <v>20</v>
      </c>
      <c r="I29" s="15" t="s">
        <v>27</v>
      </c>
      <c r="J29" s="16">
        <v>2</v>
      </c>
      <c r="K29" s="18">
        <f t="shared" si="3"/>
        <v>6.25E-2</v>
      </c>
    </row>
    <row r="30" spans="1:11" x14ac:dyDescent="0.3">
      <c r="A30" s="31">
        <f t="shared" si="0"/>
        <v>0</v>
      </c>
      <c r="B30" s="31" t="str">
        <f t="shared" si="1"/>
        <v>0Yellow Mustard</v>
      </c>
      <c r="C30" s="31" t="str">
        <f t="shared" si="2"/>
        <v>Mart 1Yellow Mustard</v>
      </c>
      <c r="D30" s="15" t="s">
        <v>110</v>
      </c>
      <c r="E30" s="21" t="str">
        <f>IFERROR(VLOOKUP(D30,Setup!$B$5:$C4164,2,FALSE),"")</f>
        <v>Dry/Canned Goods</v>
      </c>
      <c r="F30" s="15" t="s">
        <v>34</v>
      </c>
      <c r="G30" s="16">
        <v>20</v>
      </c>
      <c r="H30" s="17" t="s">
        <v>20</v>
      </c>
      <c r="I30" s="15" t="s">
        <v>27</v>
      </c>
      <c r="J30" s="16">
        <v>0.5</v>
      </c>
      <c r="K30" s="18">
        <f t="shared" si="3"/>
        <v>2.5000000000000001E-2</v>
      </c>
    </row>
    <row r="31" spans="1:11" x14ac:dyDescent="0.3">
      <c r="A31" s="31">
        <f t="shared" si="0"/>
        <v>0</v>
      </c>
      <c r="B31" s="31" t="str">
        <f t="shared" si="1"/>
        <v>0Oats</v>
      </c>
      <c r="C31" s="31" t="str">
        <f t="shared" si="2"/>
        <v>Mart 1Oats</v>
      </c>
      <c r="D31" s="15" t="s">
        <v>111</v>
      </c>
      <c r="E31" s="21" t="str">
        <f>IFERROR(VLOOKUP(D31,Setup!$B$5:$C4165,2,FALSE),"")</f>
        <v>Dry/Canned Goods</v>
      </c>
      <c r="F31" s="15" t="s">
        <v>34</v>
      </c>
      <c r="G31" s="16">
        <v>42</v>
      </c>
      <c r="H31" s="17" t="s">
        <v>20</v>
      </c>
      <c r="I31" s="15" t="s">
        <v>27</v>
      </c>
      <c r="J31" s="16">
        <v>2.5</v>
      </c>
      <c r="K31" s="18">
        <f t="shared" si="3"/>
        <v>5.9523809523809521E-2</v>
      </c>
    </row>
    <row r="32" spans="1:11" x14ac:dyDescent="0.3">
      <c r="A32" s="31">
        <f t="shared" si="0"/>
        <v>0</v>
      </c>
      <c r="B32" s="31" t="str">
        <f t="shared" si="1"/>
        <v>0Oil (vegetable)</v>
      </c>
      <c r="C32" s="31" t="str">
        <f t="shared" si="2"/>
        <v>Mart 1Oil (vegetable)</v>
      </c>
      <c r="D32" s="15" t="s">
        <v>112</v>
      </c>
      <c r="E32" s="21" t="str">
        <f>IFERROR(VLOOKUP(D32,Setup!$B$5:$C4166,2,FALSE),"")</f>
        <v>Dry/Canned Goods</v>
      </c>
      <c r="F32" s="15" t="s">
        <v>34</v>
      </c>
      <c r="G32" s="16">
        <v>24</v>
      </c>
      <c r="H32" s="17" t="s">
        <v>20</v>
      </c>
      <c r="I32" s="15" t="s">
        <v>27</v>
      </c>
      <c r="J32" s="16">
        <v>1</v>
      </c>
      <c r="K32" s="18">
        <f t="shared" si="3"/>
        <v>4.1666666666666664E-2</v>
      </c>
    </row>
    <row r="33" spans="1:11" x14ac:dyDescent="0.3">
      <c r="A33" s="31">
        <f t="shared" si="0"/>
        <v>0</v>
      </c>
      <c r="B33" s="31" t="str">
        <f t="shared" si="1"/>
        <v>0Olive Oil</v>
      </c>
      <c r="C33" s="31" t="str">
        <f t="shared" si="2"/>
        <v>Mart 1Olive Oil</v>
      </c>
      <c r="D33" s="15" t="s">
        <v>14</v>
      </c>
      <c r="E33" s="21" t="str">
        <f>IFERROR(VLOOKUP(D33,Setup!$B$5:$C4167,2,FALSE),"")</f>
        <v>Dry/Canned Goods</v>
      </c>
      <c r="F33" s="15" t="s">
        <v>34</v>
      </c>
      <c r="G33" s="16">
        <v>1</v>
      </c>
      <c r="H33" s="17" t="s">
        <v>20</v>
      </c>
      <c r="I33" s="15" t="s">
        <v>27</v>
      </c>
      <c r="J33" s="16">
        <v>0.2</v>
      </c>
      <c r="K33" s="18">
        <f t="shared" si="3"/>
        <v>0.2</v>
      </c>
    </row>
    <row r="34" spans="1:11" x14ac:dyDescent="0.3">
      <c r="A34" s="31">
        <f t="shared" si="0"/>
        <v>0</v>
      </c>
      <c r="B34" s="31" t="str">
        <f t="shared" si="1"/>
        <v>0Pasta</v>
      </c>
      <c r="C34" s="31" t="str">
        <f t="shared" si="2"/>
        <v>Mart 1Pasta</v>
      </c>
      <c r="D34" s="15" t="s">
        <v>13</v>
      </c>
      <c r="E34" s="21" t="str">
        <f>IFERROR(VLOOKUP(D34,Setup!$B$5:$C4168,2,FALSE),"")</f>
        <v>Dry/Canned Goods</v>
      </c>
      <c r="F34" s="15" t="s">
        <v>34</v>
      </c>
      <c r="G34" s="16">
        <v>14.5</v>
      </c>
      <c r="H34" s="17" t="s">
        <v>20</v>
      </c>
      <c r="I34" s="15" t="s">
        <v>27</v>
      </c>
      <c r="J34" s="16">
        <v>1</v>
      </c>
      <c r="K34" s="18">
        <f t="shared" si="3"/>
        <v>6.8965517241379309E-2</v>
      </c>
    </row>
    <row r="35" spans="1:11" x14ac:dyDescent="0.3">
      <c r="A35" s="31">
        <f t="shared" si="0"/>
        <v>0</v>
      </c>
      <c r="B35" s="31" t="str">
        <f t="shared" si="1"/>
        <v>0Peanut butter</v>
      </c>
      <c r="C35" s="31" t="str">
        <f t="shared" si="2"/>
        <v>Mart 1Peanut butter</v>
      </c>
      <c r="D35" s="15" t="s">
        <v>15</v>
      </c>
      <c r="E35" s="21" t="str">
        <f>IFERROR(VLOOKUP(D35,Setup!$B$5:$C4169,2,FALSE),"")</f>
        <v>Dry/Canned Goods</v>
      </c>
      <c r="F35" s="15" t="s">
        <v>34</v>
      </c>
      <c r="G35" s="16">
        <v>18</v>
      </c>
      <c r="H35" s="17" t="s">
        <v>20</v>
      </c>
      <c r="I35" s="15" t="s">
        <v>27</v>
      </c>
      <c r="J35" s="16">
        <v>1.25</v>
      </c>
      <c r="K35" s="18">
        <f t="shared" si="3"/>
        <v>6.9444444444444448E-2</v>
      </c>
    </row>
    <row r="36" spans="1:11" x14ac:dyDescent="0.3">
      <c r="A36" s="31">
        <f t="shared" si="0"/>
        <v>0</v>
      </c>
      <c r="B36" s="31" t="str">
        <f t="shared" si="1"/>
        <v>0Salad Dressing</v>
      </c>
      <c r="C36" s="31" t="str">
        <f t="shared" si="2"/>
        <v>Mart 1Salad Dressing</v>
      </c>
      <c r="D36" s="15" t="s">
        <v>113</v>
      </c>
      <c r="E36" s="21" t="str">
        <f>IFERROR(VLOOKUP(D36,Setup!$B$5:$C4170,2,FALSE),"")</f>
        <v>Dry/Canned Goods</v>
      </c>
      <c r="F36" s="15" t="s">
        <v>34</v>
      </c>
      <c r="G36" s="16">
        <v>16</v>
      </c>
      <c r="H36" s="17" t="s">
        <v>20</v>
      </c>
      <c r="I36" s="15" t="s">
        <v>27</v>
      </c>
      <c r="J36" s="16">
        <v>1</v>
      </c>
      <c r="K36" s="18">
        <f t="shared" si="3"/>
        <v>6.25E-2</v>
      </c>
    </row>
    <row r="37" spans="1:11" x14ac:dyDescent="0.3">
      <c r="A37" s="31">
        <f t="shared" si="0"/>
        <v>0</v>
      </c>
      <c r="B37" s="31" t="str">
        <f t="shared" si="1"/>
        <v>0Soda (can)</v>
      </c>
      <c r="C37" s="31" t="str">
        <f t="shared" si="2"/>
        <v>Mart 1Soda (can)</v>
      </c>
      <c r="D37" s="15" t="s">
        <v>114</v>
      </c>
      <c r="E37" s="21" t="str">
        <f>IFERROR(VLOOKUP(D37,Setup!$B$5:$C4171,2,FALSE),"")</f>
        <v>Dry/Canned Goods</v>
      </c>
      <c r="F37" s="15" t="s">
        <v>34</v>
      </c>
      <c r="G37" s="16">
        <v>12</v>
      </c>
      <c r="H37" s="17" t="s">
        <v>134</v>
      </c>
      <c r="I37" s="15" t="s">
        <v>27</v>
      </c>
      <c r="J37" s="16">
        <v>2.5</v>
      </c>
      <c r="K37" s="18">
        <f t="shared" si="3"/>
        <v>0.20833333333333334</v>
      </c>
    </row>
    <row r="38" spans="1:11" x14ac:dyDescent="0.3">
      <c r="A38" s="31">
        <f t="shared" si="0"/>
        <v>0</v>
      </c>
      <c r="B38" s="31" t="str">
        <f t="shared" si="1"/>
        <v>0Soda (bottle)</v>
      </c>
      <c r="C38" s="31" t="str">
        <f t="shared" si="2"/>
        <v>Mart 1Soda (bottle)</v>
      </c>
      <c r="D38" s="15" t="s">
        <v>115</v>
      </c>
      <c r="E38" s="21" t="str">
        <f>IFERROR(VLOOKUP(D38,Setup!$B$5:$C4172,2,FALSE),"")</f>
        <v>Dry/Canned Goods</v>
      </c>
      <c r="F38" s="15" t="s">
        <v>34</v>
      </c>
      <c r="G38" s="16">
        <v>2</v>
      </c>
      <c r="H38" s="17" t="s">
        <v>135</v>
      </c>
      <c r="I38" s="15" t="s">
        <v>27</v>
      </c>
      <c r="J38" s="16">
        <v>0.7</v>
      </c>
      <c r="K38" s="18">
        <f t="shared" si="3"/>
        <v>0.35</v>
      </c>
    </row>
    <row r="39" spans="1:11" x14ac:dyDescent="0.3">
      <c r="A39" s="31">
        <f t="shared" si="0"/>
        <v>0</v>
      </c>
      <c r="B39" s="31" t="str">
        <f t="shared" si="1"/>
        <v>0Soup (canned)</v>
      </c>
      <c r="C39" s="31" t="str">
        <f t="shared" si="2"/>
        <v>Mart 1Soup (canned)</v>
      </c>
      <c r="D39" s="15" t="s">
        <v>116</v>
      </c>
      <c r="E39" s="21" t="str">
        <f>IFERROR(VLOOKUP(D39,Setup!$B$5:$C4173,2,FALSE),"")</f>
        <v>Dry/Canned Goods</v>
      </c>
      <c r="F39" s="15" t="s">
        <v>34</v>
      </c>
      <c r="G39" s="16">
        <v>10</v>
      </c>
      <c r="H39" s="17" t="s">
        <v>20</v>
      </c>
      <c r="I39" s="15" t="s">
        <v>27</v>
      </c>
      <c r="J39" s="16">
        <v>0.5</v>
      </c>
      <c r="K39" s="18">
        <f t="shared" si="3"/>
        <v>0.05</v>
      </c>
    </row>
    <row r="40" spans="1:11" x14ac:dyDescent="0.3">
      <c r="A40" s="31">
        <f t="shared" si="0"/>
        <v>0</v>
      </c>
      <c r="B40" s="31" t="str">
        <f t="shared" si="1"/>
        <v>0Spaghetti Sauce</v>
      </c>
      <c r="C40" s="31" t="str">
        <f t="shared" si="2"/>
        <v>Mart 1Spaghetti Sauce</v>
      </c>
      <c r="D40" s="15" t="s">
        <v>117</v>
      </c>
      <c r="E40" s="21" t="str">
        <f>IFERROR(VLOOKUP(D40,Setup!$B$5:$C4174,2,FALSE),"")</f>
        <v>Dry/Canned Goods</v>
      </c>
      <c r="F40" s="15" t="s">
        <v>34</v>
      </c>
      <c r="G40" s="16">
        <v>26</v>
      </c>
      <c r="H40" s="17" t="s">
        <v>20</v>
      </c>
      <c r="I40" s="15" t="s">
        <v>27</v>
      </c>
      <c r="J40" s="16">
        <v>1</v>
      </c>
      <c r="K40" s="18">
        <f t="shared" si="3"/>
        <v>3.8461538461538464E-2</v>
      </c>
    </row>
    <row r="41" spans="1:11" x14ac:dyDescent="0.3">
      <c r="A41" s="31">
        <f t="shared" si="0"/>
        <v>0</v>
      </c>
      <c r="B41" s="31" t="str">
        <f t="shared" si="1"/>
        <v>0Sugar</v>
      </c>
      <c r="C41" s="31" t="str">
        <f t="shared" si="2"/>
        <v>Mart 1Sugar</v>
      </c>
      <c r="D41" s="15" t="s">
        <v>118</v>
      </c>
      <c r="E41" s="21" t="str">
        <f>IFERROR(VLOOKUP(D41,Setup!$B$5:$C4175,2,FALSE),"")</f>
        <v>Dry/Canned Goods</v>
      </c>
      <c r="F41" s="15" t="s">
        <v>34</v>
      </c>
      <c r="G41" s="16">
        <v>1</v>
      </c>
      <c r="H41" s="17" t="s">
        <v>19</v>
      </c>
      <c r="I41" s="15" t="s">
        <v>27</v>
      </c>
      <c r="J41" s="16">
        <v>0.5</v>
      </c>
      <c r="K41" s="18">
        <f t="shared" si="3"/>
        <v>0.5</v>
      </c>
    </row>
    <row r="42" spans="1:11" x14ac:dyDescent="0.3">
      <c r="A42" s="31">
        <f t="shared" si="0"/>
        <v>0</v>
      </c>
      <c r="B42" s="31" t="str">
        <f t="shared" si="1"/>
        <v>0Tomato Paste</v>
      </c>
      <c r="C42" s="31" t="str">
        <f t="shared" si="2"/>
        <v>Mart 1Tomato Paste</v>
      </c>
      <c r="D42" s="15" t="s">
        <v>119</v>
      </c>
      <c r="E42" s="21" t="str">
        <f>IFERROR(VLOOKUP(D42,Setup!$B$5:$C4176,2,FALSE),"")</f>
        <v>Dry/Canned Goods</v>
      </c>
      <c r="F42" s="15" t="s">
        <v>34</v>
      </c>
      <c r="G42" s="16">
        <v>6</v>
      </c>
      <c r="H42" s="17" t="s">
        <v>20</v>
      </c>
      <c r="I42" s="15" t="s">
        <v>27</v>
      </c>
      <c r="J42" s="16">
        <v>0.3</v>
      </c>
      <c r="K42" s="18">
        <f t="shared" si="3"/>
        <v>4.9999999999999996E-2</v>
      </c>
    </row>
    <row r="43" spans="1:11" x14ac:dyDescent="0.3">
      <c r="A43" s="31">
        <f t="shared" si="0"/>
        <v>0</v>
      </c>
      <c r="B43" s="31" t="str">
        <f t="shared" si="1"/>
        <v>0Tomato Sauce</v>
      </c>
      <c r="C43" s="31" t="str">
        <f t="shared" si="2"/>
        <v>Mart 1Tomato Sauce</v>
      </c>
      <c r="D43" s="15" t="s">
        <v>120</v>
      </c>
      <c r="E43" s="21" t="str">
        <f>IFERROR(VLOOKUP(D43,Setup!$B$5:$C4177,2,FALSE),"")</f>
        <v>Dry/Canned Goods</v>
      </c>
      <c r="F43" s="15" t="s">
        <v>34</v>
      </c>
      <c r="G43" s="16">
        <v>8</v>
      </c>
      <c r="H43" s="17" t="s">
        <v>20</v>
      </c>
      <c r="I43" s="15" t="s">
        <v>27</v>
      </c>
      <c r="J43" s="16">
        <v>0.25</v>
      </c>
      <c r="K43" s="18">
        <f t="shared" si="3"/>
        <v>3.125E-2</v>
      </c>
    </row>
    <row r="44" spans="1:11" x14ac:dyDescent="0.3">
      <c r="A44" s="31">
        <f t="shared" si="0"/>
        <v>0</v>
      </c>
      <c r="B44" s="31" t="str">
        <f t="shared" si="1"/>
        <v>0Tortillas</v>
      </c>
      <c r="C44" s="31" t="str">
        <f t="shared" si="2"/>
        <v>Mart 1Tortillas</v>
      </c>
      <c r="D44" s="15" t="s">
        <v>121</v>
      </c>
      <c r="E44" s="21" t="str">
        <f>IFERROR(VLOOKUP(D44,Setup!$B$5:$C4178,2,FALSE),"")</f>
        <v>Dry/Canned Goods</v>
      </c>
      <c r="F44" s="15" t="s">
        <v>34</v>
      </c>
      <c r="G44" s="16">
        <v>10</v>
      </c>
      <c r="H44" s="17" t="s">
        <v>132</v>
      </c>
      <c r="I44" s="15" t="s">
        <v>27</v>
      </c>
      <c r="J44" s="16">
        <v>2</v>
      </c>
      <c r="K44" s="18">
        <f t="shared" si="3"/>
        <v>0.2</v>
      </c>
    </row>
    <row r="45" spans="1:11" x14ac:dyDescent="0.3">
      <c r="A45" s="31">
        <f t="shared" si="0"/>
        <v>0</v>
      </c>
      <c r="B45" s="31" t="str">
        <f t="shared" si="1"/>
        <v>0Frozen Veggies</v>
      </c>
      <c r="C45" s="31" t="str">
        <f t="shared" si="2"/>
        <v>Mart 1Frozen Veggies</v>
      </c>
      <c r="D45" s="15" t="s">
        <v>65</v>
      </c>
      <c r="E45" s="21" t="str">
        <f>IFERROR(VLOOKUP(D45,Setup!$B$5:$C4179,2,FALSE),"")</f>
        <v>Frozen Food</v>
      </c>
      <c r="F45" s="15" t="s">
        <v>34</v>
      </c>
      <c r="G45" s="16">
        <v>16</v>
      </c>
      <c r="H45" s="17" t="s">
        <v>20</v>
      </c>
      <c r="I45" s="15" t="s">
        <v>27</v>
      </c>
      <c r="J45" s="16">
        <v>1</v>
      </c>
      <c r="K45" s="18">
        <f t="shared" si="3"/>
        <v>6.25E-2</v>
      </c>
    </row>
    <row r="46" spans="1:11" x14ac:dyDescent="0.3">
      <c r="A46" s="31">
        <f t="shared" si="0"/>
        <v>0</v>
      </c>
      <c r="B46" s="31" t="str">
        <f t="shared" si="1"/>
        <v>0Ice Cream</v>
      </c>
      <c r="C46" s="31" t="str">
        <f t="shared" si="2"/>
        <v>Mart 1Ice Cream</v>
      </c>
      <c r="D46" s="15" t="s">
        <v>66</v>
      </c>
      <c r="E46" s="21" t="str">
        <f>IFERROR(VLOOKUP(D46,Setup!$B$5:$C4180,2,FALSE),"")</f>
        <v>Frozen Food</v>
      </c>
      <c r="F46" s="15" t="s">
        <v>34</v>
      </c>
      <c r="G46" s="16">
        <v>1</v>
      </c>
      <c r="H46" s="17" t="s">
        <v>136</v>
      </c>
      <c r="I46" s="15" t="s">
        <v>27</v>
      </c>
      <c r="J46" s="16">
        <v>2</v>
      </c>
      <c r="K46" s="18">
        <f t="shared" si="3"/>
        <v>2</v>
      </c>
    </row>
    <row r="47" spans="1:11" x14ac:dyDescent="0.3">
      <c r="A47" s="31">
        <f t="shared" si="0"/>
        <v>0</v>
      </c>
      <c r="B47" s="31" t="str">
        <f t="shared" si="1"/>
        <v>0Pizza</v>
      </c>
      <c r="C47" s="31" t="str">
        <f t="shared" si="2"/>
        <v>Mart 1Pizza</v>
      </c>
      <c r="D47" s="15" t="s">
        <v>67</v>
      </c>
      <c r="E47" s="21" t="str">
        <f>IFERROR(VLOOKUP(D47,Setup!$B$5:$C4181,2,FALSE),"")</f>
        <v>Frozen Food</v>
      </c>
      <c r="F47" s="15" t="s">
        <v>34</v>
      </c>
      <c r="G47" s="16">
        <v>8</v>
      </c>
      <c r="H47" s="17" t="s">
        <v>140</v>
      </c>
      <c r="I47" s="15" t="s">
        <v>27</v>
      </c>
      <c r="J47" s="16">
        <v>3</v>
      </c>
      <c r="K47" s="18">
        <f t="shared" si="3"/>
        <v>0.375</v>
      </c>
    </row>
    <row r="48" spans="1:11" x14ac:dyDescent="0.3">
      <c r="A48" s="31">
        <f t="shared" si="0"/>
        <v>0</v>
      </c>
      <c r="B48" s="31" t="str">
        <f t="shared" si="1"/>
        <v>0Bananas</v>
      </c>
      <c r="C48" s="31" t="str">
        <f t="shared" si="2"/>
        <v>Mart 1Bananas</v>
      </c>
      <c r="D48" s="15" t="s">
        <v>6</v>
      </c>
      <c r="E48" s="21" t="str">
        <f>IFERROR(VLOOKUP(D48,Setup!$B$5:$C4182,2,FALSE),"")</f>
        <v>Fruits</v>
      </c>
      <c r="F48" s="15" t="s">
        <v>34</v>
      </c>
      <c r="G48" s="16">
        <v>1</v>
      </c>
      <c r="H48" s="17" t="s">
        <v>19</v>
      </c>
      <c r="I48" s="15" t="s">
        <v>27</v>
      </c>
      <c r="J48" s="16">
        <v>0.49</v>
      </c>
      <c r="K48" s="18">
        <f t="shared" si="3"/>
        <v>0.49</v>
      </c>
    </row>
    <row r="49" spans="1:11" x14ac:dyDescent="0.3">
      <c r="A49" s="31">
        <f t="shared" si="0"/>
        <v>0</v>
      </c>
      <c r="B49" s="31" t="str">
        <f t="shared" si="1"/>
        <v>0Grapes</v>
      </c>
      <c r="C49" s="31" t="str">
        <f t="shared" si="2"/>
        <v>Mart 1Grapes</v>
      </c>
      <c r="D49" s="15" t="s">
        <v>7</v>
      </c>
      <c r="E49" s="21" t="str">
        <f>IFERROR(VLOOKUP(D49,Setup!$B$5:$C4183,2,FALSE),"")</f>
        <v>Fruits</v>
      </c>
      <c r="F49" s="15" t="s">
        <v>34</v>
      </c>
      <c r="G49" s="16">
        <v>1</v>
      </c>
      <c r="H49" s="17" t="s">
        <v>19</v>
      </c>
      <c r="I49" s="15" t="s">
        <v>27</v>
      </c>
      <c r="J49" s="16">
        <v>0.99</v>
      </c>
      <c r="K49" s="18">
        <f t="shared" si="3"/>
        <v>0.99</v>
      </c>
    </row>
    <row r="50" spans="1:11" x14ac:dyDescent="0.3">
      <c r="A50" s="31">
        <f t="shared" si="0"/>
        <v>0</v>
      </c>
      <c r="B50" s="31" t="str">
        <f t="shared" si="1"/>
        <v>0Potatos</v>
      </c>
      <c r="C50" s="31" t="str">
        <f t="shared" si="2"/>
        <v>Mart 1Potatos</v>
      </c>
      <c r="D50" s="15" t="s">
        <v>60</v>
      </c>
      <c r="E50" s="21" t="str">
        <f>IFERROR(VLOOKUP(D50,Setup!$B$5:$C4184,2,FALSE),"")</f>
        <v>Fruits</v>
      </c>
      <c r="F50" s="15" t="s">
        <v>34</v>
      </c>
      <c r="G50" s="16">
        <v>10</v>
      </c>
      <c r="H50" s="17" t="s">
        <v>137</v>
      </c>
      <c r="I50" s="15" t="s">
        <v>27</v>
      </c>
      <c r="J50" s="16">
        <v>5</v>
      </c>
      <c r="K50" s="18">
        <f t="shared" si="3"/>
        <v>0.5</v>
      </c>
    </row>
    <row r="51" spans="1:11" x14ac:dyDescent="0.3">
      <c r="A51" s="31">
        <f t="shared" si="0"/>
        <v>0</v>
      </c>
      <c r="B51" s="31" t="str">
        <f t="shared" si="1"/>
        <v>0Salad (package)</v>
      </c>
      <c r="C51" s="31" t="str">
        <f t="shared" si="2"/>
        <v>Mart 1Salad (package)</v>
      </c>
      <c r="D51" s="15" t="s">
        <v>61</v>
      </c>
      <c r="E51" s="21" t="str">
        <f>IFERROR(VLOOKUP(D51,Setup!$B$5:$C4185,2,FALSE),"")</f>
        <v>Fruits</v>
      </c>
      <c r="F51" s="15" t="s">
        <v>34</v>
      </c>
      <c r="G51" s="16">
        <v>16</v>
      </c>
      <c r="H51" s="17" t="s">
        <v>20</v>
      </c>
      <c r="I51" s="15" t="s">
        <v>27</v>
      </c>
      <c r="J51" s="16">
        <v>2</v>
      </c>
      <c r="K51" s="18">
        <f t="shared" si="3"/>
        <v>0.125</v>
      </c>
    </row>
    <row r="52" spans="1:11" x14ac:dyDescent="0.3">
      <c r="A52" s="31">
        <f t="shared" si="0"/>
        <v>0</v>
      </c>
      <c r="B52" s="31" t="str">
        <f t="shared" si="1"/>
        <v>0Salad (head)</v>
      </c>
      <c r="C52" s="31" t="str">
        <f t="shared" si="2"/>
        <v>Mart 1Salad (head)</v>
      </c>
      <c r="D52" s="15" t="s">
        <v>62</v>
      </c>
      <c r="E52" s="21" t="str">
        <f>IFERROR(VLOOKUP(D52,Setup!$B$5:$C4186,2,FALSE),"")</f>
        <v>Fruits</v>
      </c>
      <c r="F52" s="15" t="s">
        <v>34</v>
      </c>
      <c r="G52" s="16">
        <v>1</v>
      </c>
      <c r="H52" s="17" t="s">
        <v>138</v>
      </c>
      <c r="I52" s="15" t="s">
        <v>27</v>
      </c>
      <c r="J52" s="16">
        <v>1</v>
      </c>
      <c r="K52" s="18">
        <f t="shared" si="3"/>
        <v>1</v>
      </c>
    </row>
    <row r="53" spans="1:11" x14ac:dyDescent="0.3">
      <c r="A53" s="31">
        <f t="shared" si="0"/>
        <v>0</v>
      </c>
      <c r="B53" s="31" t="str">
        <f t="shared" si="1"/>
        <v>0Strawberries</v>
      </c>
      <c r="C53" s="31" t="str">
        <f t="shared" si="2"/>
        <v>Mart 1Strawberries</v>
      </c>
      <c r="D53" s="15" t="s">
        <v>63</v>
      </c>
      <c r="E53" s="21" t="str">
        <f>IFERROR(VLOOKUP(D53,Setup!$B$5:$C4187,2,FALSE),"")</f>
        <v>Fruits</v>
      </c>
      <c r="F53" s="15" t="s">
        <v>34</v>
      </c>
      <c r="G53" s="16">
        <v>1</v>
      </c>
      <c r="H53" s="17" t="s">
        <v>139</v>
      </c>
      <c r="I53" s="15" t="s">
        <v>27</v>
      </c>
      <c r="J53" s="16">
        <v>1.25</v>
      </c>
      <c r="K53" s="18">
        <f t="shared" si="3"/>
        <v>1.25</v>
      </c>
    </row>
    <row r="54" spans="1:11" x14ac:dyDescent="0.3">
      <c r="A54" s="31">
        <f t="shared" si="0"/>
        <v>0</v>
      </c>
      <c r="B54" s="31" t="str">
        <f t="shared" si="1"/>
        <v>0Tomatoes</v>
      </c>
      <c r="C54" s="31" t="str">
        <f t="shared" si="2"/>
        <v>Mart 1Tomatoes</v>
      </c>
      <c r="D54" s="15" t="s">
        <v>4</v>
      </c>
      <c r="E54" s="21" t="str">
        <f>IFERROR(VLOOKUP(D54,Setup!$B$5:$C4188,2,FALSE),"")</f>
        <v>Fruits</v>
      </c>
      <c r="F54" s="15" t="s">
        <v>34</v>
      </c>
      <c r="G54" s="16">
        <v>1</v>
      </c>
      <c r="H54" s="17" t="s">
        <v>19</v>
      </c>
      <c r="I54" s="15" t="s">
        <v>27</v>
      </c>
      <c r="J54" s="16">
        <v>0.99</v>
      </c>
      <c r="K54" s="18">
        <f t="shared" si="3"/>
        <v>0.99</v>
      </c>
    </row>
    <row r="55" spans="1:11" x14ac:dyDescent="0.3">
      <c r="A55" s="31">
        <f t="shared" si="0"/>
        <v>0</v>
      </c>
      <c r="B55" s="31" t="str">
        <f t="shared" si="1"/>
        <v>0Carrots</v>
      </c>
      <c r="C55" s="31" t="str">
        <f t="shared" si="2"/>
        <v>Mart 1Carrots</v>
      </c>
      <c r="D55" s="15" t="s">
        <v>3</v>
      </c>
      <c r="E55" s="21" t="str">
        <f>IFERROR(VLOOKUP(D55,Setup!$B$5:$C4189,2,FALSE),"")</f>
        <v>Fruits</v>
      </c>
      <c r="F55" s="15" t="s">
        <v>34</v>
      </c>
      <c r="G55" s="16">
        <v>1</v>
      </c>
      <c r="H55" s="17" t="s">
        <v>19</v>
      </c>
      <c r="I55" s="15" t="s">
        <v>27</v>
      </c>
      <c r="J55" s="16">
        <v>0.75</v>
      </c>
      <c r="K55" s="18">
        <f t="shared" si="3"/>
        <v>0.75</v>
      </c>
    </row>
    <row r="56" spans="1:11" x14ac:dyDescent="0.3">
      <c r="A56" s="31">
        <f t="shared" si="0"/>
        <v>0</v>
      </c>
      <c r="B56" s="31" t="str">
        <f t="shared" si="1"/>
        <v>0Bacon</v>
      </c>
      <c r="C56" s="31" t="str">
        <f t="shared" si="2"/>
        <v>Mart 1Bacon</v>
      </c>
      <c r="D56" s="15" t="s">
        <v>68</v>
      </c>
      <c r="E56" s="21" t="str">
        <f>IFERROR(VLOOKUP(D56,Setup!$B$5:$C4190,2,FALSE),"")</f>
        <v>Meat</v>
      </c>
      <c r="F56" s="15" t="s">
        <v>34</v>
      </c>
      <c r="G56" s="16">
        <v>12</v>
      </c>
      <c r="H56" s="17" t="s">
        <v>20</v>
      </c>
      <c r="I56" s="15" t="s">
        <v>27</v>
      </c>
      <c r="J56" s="16">
        <v>3</v>
      </c>
      <c r="K56" s="18">
        <f t="shared" si="3"/>
        <v>0.25</v>
      </c>
    </row>
    <row r="57" spans="1:11" x14ac:dyDescent="0.3">
      <c r="A57" s="31">
        <f t="shared" si="0"/>
        <v>0</v>
      </c>
      <c r="B57" s="31" t="str">
        <f t="shared" si="1"/>
        <v>0Beef, Bonless Stew</v>
      </c>
      <c r="C57" s="31" t="str">
        <f t="shared" si="2"/>
        <v>Mart 1Beef, Bonless Stew</v>
      </c>
      <c r="D57" s="15" t="s">
        <v>69</v>
      </c>
      <c r="E57" s="21" t="str">
        <f>IFERROR(VLOOKUP(D57,Setup!$B$5:$C4191,2,FALSE),"")</f>
        <v>Meat</v>
      </c>
      <c r="F57" s="15" t="s">
        <v>34</v>
      </c>
      <c r="G57" s="16">
        <v>1</v>
      </c>
      <c r="H57" s="17" t="s">
        <v>19</v>
      </c>
      <c r="I57" s="15" t="s">
        <v>27</v>
      </c>
      <c r="J57" s="16">
        <v>6</v>
      </c>
      <c r="K57" s="18">
        <f t="shared" si="3"/>
        <v>6</v>
      </c>
    </row>
    <row r="58" spans="1:11" x14ac:dyDescent="0.3">
      <c r="A58" s="31">
        <f t="shared" si="0"/>
        <v>0</v>
      </c>
      <c r="B58" s="31" t="str">
        <f t="shared" si="1"/>
        <v>0Beef, Ground (93% lean)</v>
      </c>
      <c r="C58" s="31" t="str">
        <f t="shared" si="2"/>
        <v>Mart 1Beef, Ground (93% lean)</v>
      </c>
      <c r="D58" s="15" t="s">
        <v>70</v>
      </c>
      <c r="E58" s="21" t="str">
        <f>IFERROR(VLOOKUP(D58,Setup!$B$5:$C4192,2,FALSE),"")</f>
        <v>Meat</v>
      </c>
      <c r="F58" s="15" t="s">
        <v>34</v>
      </c>
      <c r="G58" s="16">
        <v>1</v>
      </c>
      <c r="H58" s="17" t="s">
        <v>19</v>
      </c>
      <c r="I58" s="15" t="s">
        <v>27</v>
      </c>
      <c r="J58" s="16">
        <v>4.5</v>
      </c>
      <c r="K58" s="18">
        <f t="shared" si="3"/>
        <v>4.5</v>
      </c>
    </row>
    <row r="59" spans="1:11" x14ac:dyDescent="0.3">
      <c r="A59" s="31">
        <f t="shared" si="0"/>
        <v>0</v>
      </c>
      <c r="B59" s="31" t="str">
        <f t="shared" si="1"/>
        <v>0Beef, Ground (85% lean)</v>
      </c>
      <c r="C59" s="31" t="str">
        <f t="shared" si="2"/>
        <v>Mart 1Beef, Ground (85% lean)</v>
      </c>
      <c r="D59" s="15" t="s">
        <v>71</v>
      </c>
      <c r="E59" s="21" t="str">
        <f>IFERROR(VLOOKUP(D59,Setup!$B$5:$C4193,2,FALSE),"")</f>
        <v>Meat</v>
      </c>
      <c r="F59" s="15" t="s">
        <v>34</v>
      </c>
      <c r="G59" s="16">
        <v>1</v>
      </c>
      <c r="H59" s="17" t="s">
        <v>19</v>
      </c>
      <c r="I59" s="15" t="s">
        <v>27</v>
      </c>
      <c r="J59" s="16">
        <v>4</v>
      </c>
      <c r="K59" s="18">
        <f t="shared" si="3"/>
        <v>4</v>
      </c>
    </row>
    <row r="60" spans="1:11" x14ac:dyDescent="0.3">
      <c r="A60" s="31">
        <f t="shared" si="0"/>
        <v>0</v>
      </c>
      <c r="B60" s="31" t="str">
        <f t="shared" si="1"/>
        <v>0Beef, Ground (80% lean)</v>
      </c>
      <c r="C60" s="31" t="str">
        <f t="shared" si="2"/>
        <v>Mart 1Beef, Ground (80% lean)</v>
      </c>
      <c r="D60" s="15" t="s">
        <v>72</v>
      </c>
      <c r="E60" s="21" t="str">
        <f>IFERROR(VLOOKUP(D60,Setup!$B$5:$C4194,2,FALSE),"")</f>
        <v>Meat</v>
      </c>
      <c r="F60" s="15" t="s">
        <v>34</v>
      </c>
      <c r="G60" s="16">
        <v>1</v>
      </c>
      <c r="H60" s="17" t="s">
        <v>19</v>
      </c>
      <c r="I60" s="15" t="s">
        <v>27</v>
      </c>
      <c r="J60" s="16">
        <v>3</v>
      </c>
      <c r="K60" s="18">
        <f t="shared" si="3"/>
        <v>3</v>
      </c>
    </row>
    <row r="61" spans="1:11" x14ac:dyDescent="0.3">
      <c r="A61" s="31">
        <f t="shared" si="0"/>
        <v>0</v>
      </c>
      <c r="B61" s="31" t="str">
        <f t="shared" si="1"/>
        <v>0Beef, Ground (73% lean)</v>
      </c>
      <c r="C61" s="31" t="str">
        <f t="shared" si="2"/>
        <v>Mart 1Beef, Ground (73% lean)</v>
      </c>
      <c r="D61" s="15" t="s">
        <v>73</v>
      </c>
      <c r="E61" s="21" t="str">
        <f>IFERROR(VLOOKUP(D61,Setup!$B$5:$C4195,2,FALSE),"")</f>
        <v>Meat</v>
      </c>
      <c r="F61" s="15" t="s">
        <v>34</v>
      </c>
      <c r="G61" s="16">
        <v>1</v>
      </c>
      <c r="H61" s="17" t="s">
        <v>19</v>
      </c>
      <c r="I61" s="15" t="s">
        <v>27</v>
      </c>
      <c r="J61" s="16">
        <v>2.5</v>
      </c>
      <c r="K61" s="18">
        <f t="shared" si="3"/>
        <v>2.5</v>
      </c>
    </row>
    <row r="62" spans="1:11" x14ac:dyDescent="0.3">
      <c r="A62" s="31">
        <f t="shared" si="0"/>
        <v>0</v>
      </c>
      <c r="B62" s="31" t="str">
        <f t="shared" si="1"/>
        <v>0Beef, Whole Beef Brisket</v>
      </c>
      <c r="C62" s="31" t="str">
        <f t="shared" si="2"/>
        <v>Mart 1Beef, Whole Beef Brisket</v>
      </c>
      <c r="D62" s="15" t="s">
        <v>74</v>
      </c>
      <c r="E62" s="21" t="str">
        <f>IFERROR(VLOOKUP(D62,Setup!$B$5:$C4196,2,FALSE),"")</f>
        <v>Meat</v>
      </c>
      <c r="F62" s="15" t="s">
        <v>34</v>
      </c>
      <c r="G62" s="16">
        <v>1</v>
      </c>
      <c r="H62" s="17" t="s">
        <v>19</v>
      </c>
      <c r="I62" s="15" t="s">
        <v>27</v>
      </c>
      <c r="J62" s="16">
        <v>4</v>
      </c>
      <c r="K62" s="18">
        <f t="shared" si="3"/>
        <v>4</v>
      </c>
    </row>
    <row r="63" spans="1:11" x14ac:dyDescent="0.3">
      <c r="A63" s="31">
        <f t="shared" si="0"/>
        <v>0</v>
      </c>
      <c r="B63" s="31" t="str">
        <f t="shared" si="1"/>
        <v>0Chicken (bnls/skinls)</v>
      </c>
      <c r="C63" s="31" t="str">
        <f t="shared" si="2"/>
        <v>Mart 1Chicken (bnls/skinls)</v>
      </c>
      <c r="D63" s="15" t="s">
        <v>75</v>
      </c>
      <c r="E63" s="21" t="str">
        <f>IFERROR(VLOOKUP(D63,Setup!$B$5:$C4197,2,FALSE),"")</f>
        <v>Meat</v>
      </c>
      <c r="F63" s="15" t="s">
        <v>34</v>
      </c>
      <c r="G63" s="16">
        <v>1</v>
      </c>
      <c r="H63" s="17" t="s">
        <v>19</v>
      </c>
      <c r="I63" s="15" t="s">
        <v>27</v>
      </c>
      <c r="J63" s="16">
        <v>2</v>
      </c>
      <c r="K63" s="18">
        <f t="shared" si="3"/>
        <v>2</v>
      </c>
    </row>
    <row r="64" spans="1:11" x14ac:dyDescent="0.3">
      <c r="A64" s="31">
        <f t="shared" si="0"/>
        <v>0</v>
      </c>
      <c r="B64" s="31" t="str">
        <f t="shared" si="1"/>
        <v>0Chicken (whole)</v>
      </c>
      <c r="C64" s="31" t="str">
        <f t="shared" si="2"/>
        <v>Mart 1Chicken (whole)</v>
      </c>
      <c r="D64" s="15" t="s">
        <v>76</v>
      </c>
      <c r="E64" s="21" t="str">
        <f>IFERROR(VLOOKUP(D64,Setup!$B$5:$C4198,2,FALSE),"")</f>
        <v>Meat</v>
      </c>
      <c r="F64" s="15" t="s">
        <v>34</v>
      </c>
      <c r="G64" s="16">
        <v>1</v>
      </c>
      <c r="H64" s="17" t="s">
        <v>19</v>
      </c>
      <c r="I64" s="15" t="s">
        <v>27</v>
      </c>
      <c r="J64" s="16">
        <v>1</v>
      </c>
      <c r="K64" s="18">
        <f t="shared" si="3"/>
        <v>1</v>
      </c>
    </row>
    <row r="65" spans="1:11" x14ac:dyDescent="0.3">
      <c r="A65" s="31">
        <f t="shared" si="0"/>
        <v>0</v>
      </c>
      <c r="B65" s="31" t="str">
        <f t="shared" si="1"/>
        <v>0Chicken (split)</v>
      </c>
      <c r="C65" s="31" t="str">
        <f t="shared" si="2"/>
        <v>Mart 1Chicken (split)</v>
      </c>
      <c r="D65" s="15" t="s">
        <v>77</v>
      </c>
      <c r="E65" s="21" t="str">
        <f>IFERROR(VLOOKUP(D65,Setup!$B$5:$C4199,2,FALSE),"")</f>
        <v>Meat</v>
      </c>
      <c r="F65" s="15" t="s">
        <v>34</v>
      </c>
      <c r="G65" s="16">
        <v>1</v>
      </c>
      <c r="H65" s="17" t="s">
        <v>19</v>
      </c>
      <c r="I65" s="15" t="s">
        <v>27</v>
      </c>
      <c r="J65" s="16">
        <v>1.7</v>
      </c>
      <c r="K65" s="18">
        <f t="shared" si="3"/>
        <v>1.7</v>
      </c>
    </row>
    <row r="66" spans="1:11" x14ac:dyDescent="0.3">
      <c r="A66" s="31">
        <f t="shared" si="0"/>
        <v>0</v>
      </c>
      <c r="B66" s="31" t="str">
        <f t="shared" si="1"/>
        <v>0Chicken (thighs)</v>
      </c>
      <c r="C66" s="31" t="str">
        <f t="shared" si="2"/>
        <v>Mart 1Chicken (thighs)</v>
      </c>
      <c r="D66" s="15" t="s">
        <v>78</v>
      </c>
      <c r="E66" s="21" t="str">
        <f>IFERROR(VLOOKUP(D66,Setup!$B$5:$C4200,2,FALSE),"")</f>
        <v>Meat</v>
      </c>
      <c r="F66" s="15" t="s">
        <v>34</v>
      </c>
      <c r="G66" s="16">
        <v>1</v>
      </c>
      <c r="H66" s="17" t="s">
        <v>19</v>
      </c>
      <c r="I66" s="15" t="s">
        <v>27</v>
      </c>
      <c r="J66" s="16">
        <v>1</v>
      </c>
      <c r="K66" s="18">
        <f t="shared" si="3"/>
        <v>1</v>
      </c>
    </row>
    <row r="67" spans="1:11" x14ac:dyDescent="0.3">
      <c r="A67" s="31">
        <f t="shared" si="0"/>
        <v>0</v>
      </c>
      <c r="B67" s="31" t="str">
        <f t="shared" si="1"/>
        <v>0Chicken (drums)</v>
      </c>
      <c r="C67" s="31" t="str">
        <f t="shared" si="2"/>
        <v>Mart 1Chicken (drums)</v>
      </c>
      <c r="D67" s="15" t="s">
        <v>79</v>
      </c>
      <c r="E67" s="21" t="str">
        <f>IFERROR(VLOOKUP(D67,Setup!$B$5:$C4201,2,FALSE),"")</f>
        <v>Meat</v>
      </c>
      <c r="F67" s="15" t="s">
        <v>34</v>
      </c>
      <c r="G67" s="16">
        <v>1</v>
      </c>
      <c r="H67" s="17" t="s">
        <v>19</v>
      </c>
      <c r="I67" s="15" t="s">
        <v>27</v>
      </c>
      <c r="J67" s="16">
        <v>1</v>
      </c>
      <c r="K67" s="18">
        <f t="shared" si="3"/>
        <v>1</v>
      </c>
    </row>
    <row r="68" spans="1:11" x14ac:dyDescent="0.3">
      <c r="A68" s="31">
        <f t="shared" si="0"/>
        <v>0</v>
      </c>
      <c r="B68" s="31" t="str">
        <f t="shared" si="1"/>
        <v>0Steak- Bone In Strip</v>
      </c>
      <c r="C68" s="31" t="str">
        <f t="shared" si="2"/>
        <v>Mart 1Steak- Bone In Strip</v>
      </c>
      <c r="D68" s="15" t="s">
        <v>80</v>
      </c>
      <c r="E68" s="21" t="str">
        <f>IFERROR(VLOOKUP(D68,Setup!$B$5:$C4202,2,FALSE),"")</f>
        <v>Meat</v>
      </c>
      <c r="F68" s="15" t="s">
        <v>34</v>
      </c>
      <c r="G68" s="16">
        <v>1</v>
      </c>
      <c r="H68" s="17" t="s">
        <v>19</v>
      </c>
      <c r="I68" s="15" t="s">
        <v>27</v>
      </c>
      <c r="J68" s="16">
        <v>6</v>
      </c>
      <c r="K68" s="18">
        <f t="shared" si="3"/>
        <v>6</v>
      </c>
    </row>
    <row r="69" spans="1:11" x14ac:dyDescent="0.3">
      <c r="A69" s="31">
        <f t="shared" si="0"/>
        <v>0</v>
      </c>
      <c r="B69" s="31" t="str">
        <f t="shared" si="1"/>
        <v>0Steak- Boneless chuck roast</v>
      </c>
      <c r="C69" s="31" t="str">
        <f t="shared" si="2"/>
        <v>Mart 1Steak- Boneless chuck roast</v>
      </c>
      <c r="D69" s="15" t="s">
        <v>81</v>
      </c>
      <c r="E69" s="21" t="str">
        <f>IFERROR(VLOOKUP(D69,Setup!$B$5:$C4203,2,FALSE),"")</f>
        <v>Meat</v>
      </c>
      <c r="F69" s="15" t="s">
        <v>34</v>
      </c>
      <c r="G69" s="16">
        <v>1</v>
      </c>
      <c r="H69" s="17" t="s">
        <v>19</v>
      </c>
      <c r="I69" s="15" t="s">
        <v>27</v>
      </c>
      <c r="J69" s="16">
        <v>4</v>
      </c>
      <c r="K69" s="18">
        <f t="shared" si="3"/>
        <v>4</v>
      </c>
    </row>
    <row r="70" spans="1:11" x14ac:dyDescent="0.3">
      <c r="A70" s="31">
        <f t="shared" si="0"/>
        <v>0</v>
      </c>
      <c r="B70" s="31" t="str">
        <f t="shared" si="1"/>
        <v>0Steak- Boneless New York Strip</v>
      </c>
      <c r="C70" s="31" t="str">
        <f t="shared" si="2"/>
        <v>Mart 1Steak- Boneless New York Strip</v>
      </c>
      <c r="D70" s="15" t="s">
        <v>82</v>
      </c>
      <c r="E70" s="21" t="str">
        <f>IFERROR(VLOOKUP(D70,Setup!$B$5:$C4204,2,FALSE),"")</f>
        <v>Meat</v>
      </c>
      <c r="F70" s="15" t="s">
        <v>34</v>
      </c>
      <c r="G70" s="16">
        <v>1</v>
      </c>
      <c r="H70" s="17" t="s">
        <v>19</v>
      </c>
      <c r="I70" s="15" t="s">
        <v>27</v>
      </c>
      <c r="J70" s="16">
        <v>7</v>
      </c>
      <c r="K70" s="18">
        <f t="shared" si="3"/>
        <v>7</v>
      </c>
    </row>
    <row r="71" spans="1:11" x14ac:dyDescent="0.3">
      <c r="A71" s="31">
        <f t="shared" ref="A71:A134" si="4">SUMPRODUCT(($D$6:$D$154=D71)*($K$6:$K$154&lt;K71)*1)</f>
        <v>0</v>
      </c>
      <c r="B71" s="31" t="str">
        <f t="shared" ref="B71:B134" si="5">A71&amp;D71</f>
        <v>0Steak- Bnless Ribeye Steak</v>
      </c>
      <c r="C71" s="31" t="str">
        <f t="shared" ref="C71:C134" si="6">I71&amp;D71</f>
        <v>Mart 1Steak- Bnless Ribeye Steak</v>
      </c>
      <c r="D71" s="15" t="s">
        <v>83</v>
      </c>
      <c r="E71" s="21" t="str">
        <f>IFERROR(VLOOKUP(D71,Setup!$B$5:$C4205,2,FALSE),"")</f>
        <v>Meat</v>
      </c>
      <c r="F71" s="15" t="s">
        <v>34</v>
      </c>
      <c r="G71" s="16">
        <v>1</v>
      </c>
      <c r="H71" s="17" t="s">
        <v>19</v>
      </c>
      <c r="I71" s="15" t="s">
        <v>27</v>
      </c>
      <c r="J71" s="16">
        <v>8</v>
      </c>
      <c r="K71" s="18">
        <f t="shared" ref="K71:K134" si="7">IFERROR(J71/G71,0)</f>
        <v>8</v>
      </c>
    </row>
    <row r="72" spans="1:11" x14ac:dyDescent="0.3">
      <c r="A72" s="31">
        <f t="shared" si="4"/>
        <v>0</v>
      </c>
      <c r="B72" s="31" t="str">
        <f t="shared" si="5"/>
        <v>0Steak- Boneless Sirloin</v>
      </c>
      <c r="C72" s="31" t="str">
        <f t="shared" si="6"/>
        <v>Mart 1Steak- Boneless Sirloin</v>
      </c>
      <c r="D72" s="15" t="s">
        <v>84</v>
      </c>
      <c r="E72" s="21" t="str">
        <f>IFERROR(VLOOKUP(D72,Setup!$B$5:$C4206,2,FALSE),"")</f>
        <v>Meat</v>
      </c>
      <c r="F72" s="15" t="s">
        <v>34</v>
      </c>
      <c r="G72" s="16">
        <v>1</v>
      </c>
      <c r="H72" s="17" t="s">
        <v>19</v>
      </c>
      <c r="I72" s="15" t="s">
        <v>27</v>
      </c>
      <c r="J72" s="16">
        <v>5.5</v>
      </c>
      <c r="K72" s="18">
        <f t="shared" si="7"/>
        <v>5.5</v>
      </c>
    </row>
    <row r="73" spans="1:11" x14ac:dyDescent="0.3">
      <c r="A73" s="31">
        <f t="shared" si="4"/>
        <v>0</v>
      </c>
      <c r="B73" s="31" t="str">
        <f t="shared" si="5"/>
        <v>0Steak- Bottom Round Roast</v>
      </c>
      <c r="C73" s="31" t="str">
        <f t="shared" si="6"/>
        <v>Mart 1Steak- Bottom Round Roast</v>
      </c>
      <c r="D73" s="15" t="s">
        <v>85</v>
      </c>
      <c r="E73" s="21" t="str">
        <f>IFERROR(VLOOKUP(D73,Setup!$B$5:$C4207,2,FALSE),"")</f>
        <v>Meat</v>
      </c>
      <c r="F73" s="15" t="s">
        <v>34</v>
      </c>
      <c r="G73" s="16">
        <v>1</v>
      </c>
      <c r="H73" s="17" t="s">
        <v>19</v>
      </c>
      <c r="I73" s="15" t="s">
        <v>27</v>
      </c>
      <c r="J73" s="16">
        <v>4.75</v>
      </c>
      <c r="K73" s="18">
        <f t="shared" si="7"/>
        <v>4.75</v>
      </c>
    </row>
    <row r="74" spans="1:11" x14ac:dyDescent="0.3">
      <c r="A74" s="31">
        <f t="shared" si="4"/>
        <v>0</v>
      </c>
      <c r="B74" s="31" t="str">
        <f t="shared" si="5"/>
        <v>0Steak- Cubed steak</v>
      </c>
      <c r="C74" s="31" t="str">
        <f t="shared" si="6"/>
        <v>Mart 1Steak- Cubed steak</v>
      </c>
      <c r="D74" s="15" t="s">
        <v>86</v>
      </c>
      <c r="E74" s="21" t="str">
        <f>IFERROR(VLOOKUP(D74,Setup!$B$5:$C4208,2,FALSE),"")</f>
        <v>Meat</v>
      </c>
      <c r="F74" s="15" t="s">
        <v>34</v>
      </c>
      <c r="G74" s="16">
        <v>1</v>
      </c>
      <c r="H74" s="17" t="s">
        <v>19</v>
      </c>
      <c r="I74" s="15" t="s">
        <v>27</v>
      </c>
      <c r="J74" s="16">
        <v>5.4</v>
      </c>
      <c r="K74" s="18">
        <f t="shared" si="7"/>
        <v>5.4</v>
      </c>
    </row>
    <row r="75" spans="1:11" x14ac:dyDescent="0.3">
      <c r="A75" s="31">
        <f t="shared" si="4"/>
        <v>0</v>
      </c>
      <c r="B75" s="31" t="str">
        <f t="shared" si="5"/>
        <v>0Steak- Eye of round roast</v>
      </c>
      <c r="C75" s="31" t="str">
        <f t="shared" si="6"/>
        <v>Mart 1Steak- Eye of round roast</v>
      </c>
      <c r="D75" s="15" t="s">
        <v>87</v>
      </c>
      <c r="E75" s="21" t="str">
        <f>IFERROR(VLOOKUP(D75,Setup!$B$5:$C4209,2,FALSE),"")</f>
        <v>Meat</v>
      </c>
      <c r="F75" s="15" t="s">
        <v>34</v>
      </c>
      <c r="G75" s="16">
        <v>1</v>
      </c>
      <c r="H75" s="17" t="s">
        <v>19</v>
      </c>
      <c r="I75" s="15" t="s">
        <v>27</v>
      </c>
      <c r="J75" s="16">
        <v>4</v>
      </c>
      <c r="K75" s="18">
        <f t="shared" si="7"/>
        <v>4</v>
      </c>
    </row>
    <row r="76" spans="1:11" x14ac:dyDescent="0.3">
      <c r="A76" s="31">
        <f t="shared" si="4"/>
        <v>0</v>
      </c>
      <c r="B76" s="31" t="str">
        <f t="shared" si="5"/>
        <v>0Steak- Filet Mignon</v>
      </c>
      <c r="C76" s="31" t="str">
        <f t="shared" si="6"/>
        <v>Mart 1Steak- Filet Mignon</v>
      </c>
      <c r="D76" s="15" t="s">
        <v>88</v>
      </c>
      <c r="E76" s="21" t="str">
        <f>IFERROR(VLOOKUP(D76,Setup!$B$5:$C4210,2,FALSE),"")</f>
        <v>Meat</v>
      </c>
      <c r="F76" s="15" t="s">
        <v>34</v>
      </c>
      <c r="G76" s="16">
        <v>1</v>
      </c>
      <c r="H76" s="17" t="s">
        <v>19</v>
      </c>
      <c r="I76" s="15" t="s">
        <v>27</v>
      </c>
      <c r="J76" s="16">
        <v>12</v>
      </c>
      <c r="K76" s="18">
        <f t="shared" si="7"/>
        <v>12</v>
      </c>
    </row>
    <row r="77" spans="1:11" x14ac:dyDescent="0.3">
      <c r="A77" s="31">
        <f t="shared" si="4"/>
        <v>0</v>
      </c>
      <c r="B77" s="31" t="str">
        <f t="shared" si="5"/>
        <v>0Steak- Flank, Skirt, Flat Iron</v>
      </c>
      <c r="C77" s="31" t="str">
        <f t="shared" si="6"/>
        <v>Mart 1Steak- Flank, Skirt, Flat Iron</v>
      </c>
      <c r="D77" s="15" t="s">
        <v>89</v>
      </c>
      <c r="E77" s="21" t="str">
        <f>IFERROR(VLOOKUP(D77,Setup!$B$5:$C4211,2,FALSE),"")</f>
        <v>Meat</v>
      </c>
      <c r="F77" s="15" t="s">
        <v>34</v>
      </c>
      <c r="G77" s="16">
        <v>1</v>
      </c>
      <c r="H77" s="17" t="s">
        <v>19</v>
      </c>
      <c r="I77" s="15" t="s">
        <v>27</v>
      </c>
      <c r="J77" s="16">
        <v>8</v>
      </c>
      <c r="K77" s="18">
        <f t="shared" si="7"/>
        <v>8</v>
      </c>
    </row>
    <row r="78" spans="1:11" x14ac:dyDescent="0.3">
      <c r="A78" s="31">
        <f t="shared" si="4"/>
        <v>0</v>
      </c>
      <c r="B78" s="31" t="str">
        <f t="shared" si="5"/>
        <v>0Steak- Porterhouse Steak</v>
      </c>
      <c r="C78" s="31" t="str">
        <f t="shared" si="6"/>
        <v>Mart 1Steak- Porterhouse Steak</v>
      </c>
      <c r="D78" s="15" t="s">
        <v>90</v>
      </c>
      <c r="E78" s="21" t="str">
        <f>IFERROR(VLOOKUP(D78,Setup!$B$5:$C4212,2,FALSE),"")</f>
        <v>Meat</v>
      </c>
      <c r="F78" s="15" t="s">
        <v>34</v>
      </c>
      <c r="G78" s="16">
        <v>1</v>
      </c>
      <c r="H78" s="17" t="s">
        <v>19</v>
      </c>
      <c r="I78" s="15" t="s">
        <v>27</v>
      </c>
      <c r="J78" s="16">
        <v>7</v>
      </c>
      <c r="K78" s="18">
        <f t="shared" si="7"/>
        <v>7</v>
      </c>
    </row>
    <row r="79" spans="1:11" x14ac:dyDescent="0.3">
      <c r="A79" s="31">
        <f t="shared" si="4"/>
        <v>0</v>
      </c>
      <c r="B79" s="31" t="str">
        <f t="shared" si="5"/>
        <v>0Steak- T-Bone Steak</v>
      </c>
      <c r="C79" s="31" t="str">
        <f t="shared" si="6"/>
        <v>Mart 1Steak- T-Bone Steak</v>
      </c>
      <c r="D79" s="15" t="s">
        <v>91</v>
      </c>
      <c r="E79" s="21" t="str">
        <f>IFERROR(VLOOKUP(D79,Setup!$B$5:$C4213,2,FALSE),"")</f>
        <v>Meat</v>
      </c>
      <c r="F79" s="15" t="s">
        <v>34</v>
      </c>
      <c r="G79" s="16">
        <v>1</v>
      </c>
      <c r="H79" s="17" t="s">
        <v>19</v>
      </c>
      <c r="I79" s="15" t="s">
        <v>27</v>
      </c>
      <c r="J79" s="16">
        <v>7</v>
      </c>
      <c r="K79" s="18">
        <f t="shared" si="7"/>
        <v>7</v>
      </c>
    </row>
    <row r="80" spans="1:11" x14ac:dyDescent="0.3">
      <c r="A80" s="31">
        <f t="shared" si="4"/>
        <v>0</v>
      </c>
      <c r="B80" s="31" t="str">
        <f t="shared" si="5"/>
        <v>0Steak-Top Rd LondonBroil</v>
      </c>
      <c r="C80" s="31" t="str">
        <f t="shared" si="6"/>
        <v>Mart 1Steak-Top Rd LondonBroil</v>
      </c>
      <c r="D80" s="15" t="s">
        <v>92</v>
      </c>
      <c r="E80" s="21" t="str">
        <f>IFERROR(VLOOKUP(D80,Setup!$B$5:$C4214,2,FALSE),"")</f>
        <v>Meat</v>
      </c>
      <c r="F80" s="15" t="s">
        <v>34</v>
      </c>
      <c r="G80" s="16">
        <v>1</v>
      </c>
      <c r="H80" s="17" t="s">
        <v>19</v>
      </c>
      <c r="I80" s="15" t="s">
        <v>27</v>
      </c>
      <c r="J80" s="16">
        <v>4.5</v>
      </c>
      <c r="K80" s="18">
        <f t="shared" si="7"/>
        <v>4.5</v>
      </c>
    </row>
    <row r="81" spans="1:11" x14ac:dyDescent="0.3">
      <c r="A81" s="31">
        <f t="shared" si="4"/>
        <v>0</v>
      </c>
      <c r="B81" s="31" t="str">
        <f t="shared" si="5"/>
        <v>0Turkey- Whole</v>
      </c>
      <c r="C81" s="31" t="str">
        <f t="shared" si="6"/>
        <v>Mart 1Turkey- Whole</v>
      </c>
      <c r="D81" s="15" t="s">
        <v>93</v>
      </c>
      <c r="E81" s="21" t="str">
        <f>IFERROR(VLOOKUP(D81,Setup!$B$5:$C4215,2,FALSE),"")</f>
        <v>Meat</v>
      </c>
      <c r="F81" s="15" t="s">
        <v>34</v>
      </c>
      <c r="G81" s="16">
        <v>1</v>
      </c>
      <c r="H81" s="17" t="s">
        <v>19</v>
      </c>
      <c r="I81" s="15" t="s">
        <v>27</v>
      </c>
      <c r="J81" s="16">
        <v>0.5</v>
      </c>
      <c r="K81" s="18">
        <f t="shared" si="7"/>
        <v>0.5</v>
      </c>
    </row>
    <row r="82" spans="1:11" x14ac:dyDescent="0.3">
      <c r="A82" s="31">
        <f t="shared" si="4"/>
        <v>0</v>
      </c>
      <c r="B82" s="31" t="str">
        <f t="shared" si="5"/>
        <v>0Turkey- Ground Turkey</v>
      </c>
      <c r="C82" s="31" t="str">
        <f t="shared" si="6"/>
        <v>Mart 1Turkey- Ground Turkey</v>
      </c>
      <c r="D82" s="15" t="s">
        <v>94</v>
      </c>
      <c r="E82" s="21" t="str">
        <f>IFERROR(VLOOKUP(D82,Setup!$B$5:$C4216,2,FALSE),"")</f>
        <v>Meat</v>
      </c>
      <c r="F82" s="15" t="s">
        <v>34</v>
      </c>
      <c r="G82" s="16">
        <v>1</v>
      </c>
      <c r="H82" s="17" t="s">
        <v>19</v>
      </c>
      <c r="I82" s="15" t="s">
        <v>27</v>
      </c>
      <c r="J82" s="16">
        <v>3</v>
      </c>
      <c r="K82" s="18">
        <f t="shared" si="7"/>
        <v>3</v>
      </c>
    </row>
    <row r="83" spans="1:11" x14ac:dyDescent="0.3">
      <c r="A83" s="31">
        <f t="shared" si="4"/>
        <v>0</v>
      </c>
      <c r="B83" s="31" t="str">
        <f t="shared" si="5"/>
        <v>0Butter (stick)</v>
      </c>
      <c r="C83" s="31" t="str">
        <f t="shared" si="6"/>
        <v>Mart 1Butter (stick)</v>
      </c>
      <c r="D83" s="15" t="s">
        <v>56</v>
      </c>
      <c r="E83" s="21" t="str">
        <f>IFERROR(VLOOKUP(D83,Setup!$B$5:$C4217,2,FALSE),"")</f>
        <v>Refrigerated Items</v>
      </c>
      <c r="F83" s="15" t="s">
        <v>34</v>
      </c>
      <c r="G83" s="16">
        <v>1</v>
      </c>
      <c r="H83" s="17" t="s">
        <v>19</v>
      </c>
      <c r="I83" s="15" t="s">
        <v>27</v>
      </c>
      <c r="J83" s="16">
        <v>2</v>
      </c>
      <c r="K83" s="18">
        <f t="shared" si="7"/>
        <v>2</v>
      </c>
    </row>
    <row r="84" spans="1:11" x14ac:dyDescent="0.3">
      <c r="A84" s="31">
        <f t="shared" si="4"/>
        <v>0</v>
      </c>
      <c r="B84" s="31" t="str">
        <f t="shared" si="5"/>
        <v>0Butter (tub)</v>
      </c>
      <c r="C84" s="31" t="str">
        <f t="shared" si="6"/>
        <v>Mart 1Butter (tub)</v>
      </c>
      <c r="D84" s="15" t="s">
        <v>57</v>
      </c>
      <c r="E84" s="21" t="str">
        <f>IFERROR(VLOOKUP(D84,Setup!$B$5:$C4218,2,FALSE),"")</f>
        <v>Refrigerated Items</v>
      </c>
      <c r="F84" s="15" t="s">
        <v>34</v>
      </c>
      <c r="G84" s="16">
        <v>1</v>
      </c>
      <c r="H84" s="17" t="s">
        <v>19</v>
      </c>
      <c r="I84" s="15" t="s">
        <v>27</v>
      </c>
      <c r="J84" s="16">
        <v>2</v>
      </c>
      <c r="K84" s="18">
        <f t="shared" si="7"/>
        <v>2</v>
      </c>
    </row>
    <row r="85" spans="1:11" x14ac:dyDescent="0.3">
      <c r="A85" s="31">
        <f t="shared" si="4"/>
        <v>0</v>
      </c>
      <c r="B85" s="31" t="str">
        <f t="shared" si="5"/>
        <v>0Cheese (shredded)</v>
      </c>
      <c r="C85" s="31" t="str">
        <f t="shared" si="6"/>
        <v>Mart 1Cheese (shredded)</v>
      </c>
      <c r="D85" s="15" t="s">
        <v>58</v>
      </c>
      <c r="E85" s="21" t="str">
        <f>IFERROR(VLOOKUP(D85,Setup!$B$5:$C4219,2,FALSE),"")</f>
        <v>Refrigerated Items</v>
      </c>
      <c r="F85" s="15" t="s">
        <v>34</v>
      </c>
      <c r="G85" s="16">
        <v>8</v>
      </c>
      <c r="H85" s="17" t="s">
        <v>20</v>
      </c>
      <c r="I85" s="15" t="s">
        <v>27</v>
      </c>
      <c r="J85" s="16">
        <v>1.88</v>
      </c>
      <c r="K85" s="18">
        <f t="shared" si="7"/>
        <v>0.23499999999999999</v>
      </c>
    </row>
    <row r="86" spans="1:11" x14ac:dyDescent="0.3">
      <c r="A86" s="31">
        <f t="shared" si="4"/>
        <v>0</v>
      </c>
      <c r="B86" s="31" t="str">
        <f t="shared" si="5"/>
        <v>0Cheese (sliced)</v>
      </c>
      <c r="C86" s="31" t="str">
        <f t="shared" si="6"/>
        <v>Mart 1Cheese (sliced)</v>
      </c>
      <c r="D86" s="15" t="s">
        <v>59</v>
      </c>
      <c r="E86" s="21" t="str">
        <f>IFERROR(VLOOKUP(D86,Setup!$B$5:$C4220,2,FALSE),"")</f>
        <v>Refrigerated Items</v>
      </c>
      <c r="F86" s="15" t="s">
        <v>34</v>
      </c>
      <c r="G86" s="16">
        <v>16</v>
      </c>
      <c r="H86" s="17" t="s">
        <v>140</v>
      </c>
      <c r="I86" s="15" t="s">
        <v>27</v>
      </c>
      <c r="J86" s="16">
        <v>1.5</v>
      </c>
      <c r="K86" s="18">
        <f t="shared" si="7"/>
        <v>9.375E-2</v>
      </c>
    </row>
    <row r="87" spans="1:11" x14ac:dyDescent="0.3">
      <c r="A87" s="31">
        <f t="shared" si="4"/>
        <v>0</v>
      </c>
      <c r="B87" s="31" t="str">
        <f t="shared" si="5"/>
        <v>0Cream Cheese</v>
      </c>
      <c r="C87" s="31" t="str">
        <f t="shared" si="6"/>
        <v>Mart 1Cream Cheese</v>
      </c>
      <c r="D87" s="15" t="s">
        <v>8</v>
      </c>
      <c r="E87" s="21" t="str">
        <f>IFERROR(VLOOKUP(D87,Setup!$B$5:$C4221,2,FALSE),"")</f>
        <v>Refrigerated Items</v>
      </c>
      <c r="F87" s="15" t="s">
        <v>34</v>
      </c>
      <c r="G87" s="16">
        <v>8</v>
      </c>
      <c r="H87" s="17" t="s">
        <v>20</v>
      </c>
      <c r="I87" s="15" t="s">
        <v>27</v>
      </c>
      <c r="J87" s="16">
        <v>1</v>
      </c>
      <c r="K87" s="18">
        <f t="shared" si="7"/>
        <v>0.125</v>
      </c>
    </row>
    <row r="88" spans="1:11" x14ac:dyDescent="0.3">
      <c r="A88" s="31">
        <f t="shared" si="4"/>
        <v>0</v>
      </c>
      <c r="B88" s="31" t="str">
        <f t="shared" si="5"/>
        <v>0Eggs</v>
      </c>
      <c r="C88" s="31" t="str">
        <f t="shared" si="6"/>
        <v>Mart 1Eggs</v>
      </c>
      <c r="D88" s="15" t="s">
        <v>9</v>
      </c>
      <c r="E88" s="21" t="str">
        <f>IFERROR(VLOOKUP(D88,Setup!$B$5:$C4222,2,FALSE),"")</f>
        <v>Refrigerated Items</v>
      </c>
      <c r="F88" s="15" t="s">
        <v>34</v>
      </c>
      <c r="G88" s="16">
        <v>1</v>
      </c>
      <c r="H88" s="17" t="s">
        <v>141</v>
      </c>
      <c r="I88" s="15" t="s">
        <v>27</v>
      </c>
      <c r="J88" s="16">
        <v>1.5</v>
      </c>
      <c r="K88" s="18">
        <f t="shared" si="7"/>
        <v>1.5</v>
      </c>
    </row>
    <row r="89" spans="1:11" x14ac:dyDescent="0.3">
      <c r="A89" s="31">
        <f t="shared" si="4"/>
        <v>0</v>
      </c>
      <c r="B89" s="31" t="str">
        <f t="shared" si="5"/>
        <v>0Milk</v>
      </c>
      <c r="C89" s="31" t="str">
        <f t="shared" si="6"/>
        <v>Mart 1Milk</v>
      </c>
      <c r="D89" s="15" t="s">
        <v>10</v>
      </c>
      <c r="E89" s="21" t="str">
        <f>IFERROR(VLOOKUP(D89,Setup!$B$5:$C4223,2,FALSE),"")</f>
        <v>Refrigerated Items</v>
      </c>
      <c r="F89" s="15" t="s">
        <v>34</v>
      </c>
      <c r="G89" s="16">
        <v>1</v>
      </c>
      <c r="H89" s="17" t="s">
        <v>142</v>
      </c>
      <c r="I89" s="15" t="s">
        <v>27</v>
      </c>
      <c r="J89" s="16">
        <v>2.5</v>
      </c>
      <c r="K89" s="18">
        <f t="shared" si="7"/>
        <v>2.5</v>
      </c>
    </row>
    <row r="90" spans="1:11" x14ac:dyDescent="0.3">
      <c r="A90" s="31">
        <f t="shared" si="4"/>
        <v>0</v>
      </c>
      <c r="B90" s="31" t="str">
        <f t="shared" si="5"/>
        <v>0Sour Cream</v>
      </c>
      <c r="C90" s="31" t="str">
        <f t="shared" si="6"/>
        <v>Mart 1Sour Cream</v>
      </c>
      <c r="D90" s="15" t="s">
        <v>11</v>
      </c>
      <c r="E90" s="21" t="str">
        <f>IFERROR(VLOOKUP(D90,Setup!$B$5:$C4224,2,FALSE),"")</f>
        <v>Refrigerated Items</v>
      </c>
      <c r="F90" s="15" t="s">
        <v>34</v>
      </c>
      <c r="G90" s="16">
        <v>16</v>
      </c>
      <c r="H90" s="17" t="s">
        <v>20</v>
      </c>
      <c r="I90" s="15" t="s">
        <v>27</v>
      </c>
      <c r="J90" s="16">
        <v>1</v>
      </c>
      <c r="K90" s="18">
        <f t="shared" si="7"/>
        <v>6.25E-2</v>
      </c>
    </row>
    <row r="91" spans="1:11" x14ac:dyDescent="0.3">
      <c r="A91" s="31">
        <f t="shared" si="4"/>
        <v>0</v>
      </c>
      <c r="B91" s="31" t="str">
        <f t="shared" si="5"/>
        <v>0Yogurt</v>
      </c>
      <c r="C91" s="31" t="str">
        <f t="shared" si="6"/>
        <v>Mart 1Yogurt</v>
      </c>
      <c r="D91" s="15" t="s">
        <v>12</v>
      </c>
      <c r="E91" s="21" t="str">
        <f>IFERROR(VLOOKUP(D91,Setup!$B$5:$C4225,2,FALSE),"")</f>
        <v>Refrigerated Items</v>
      </c>
      <c r="F91" s="15" t="s">
        <v>34</v>
      </c>
      <c r="G91" s="16">
        <v>1</v>
      </c>
      <c r="H91" s="17" t="s">
        <v>143</v>
      </c>
      <c r="I91" s="15" t="s">
        <v>27</v>
      </c>
      <c r="J91" s="16">
        <v>0.25</v>
      </c>
      <c r="K91" s="18">
        <f t="shared" si="7"/>
        <v>0.25</v>
      </c>
    </row>
    <row r="92" spans="1:11" x14ac:dyDescent="0.3">
      <c r="A92" s="31">
        <f t="shared" si="4"/>
        <v>0</v>
      </c>
      <c r="B92" s="31" t="str">
        <f t="shared" si="5"/>
        <v>0</v>
      </c>
      <c r="C92" s="31" t="str">
        <f t="shared" si="6"/>
        <v/>
      </c>
      <c r="D92" s="15"/>
      <c r="E92" s="21" t="str">
        <f>IFERROR(VLOOKUP(D92,Setup!$B$5:$C4226,2,FALSE),"")</f>
        <v/>
      </c>
      <c r="F92" s="15"/>
      <c r="G92" s="16"/>
      <c r="H92" s="17"/>
      <c r="I92" s="15"/>
      <c r="J92" s="16"/>
      <c r="K92" s="18">
        <f t="shared" si="7"/>
        <v>0</v>
      </c>
    </row>
    <row r="93" spans="1:11" x14ac:dyDescent="0.3">
      <c r="A93" s="31">
        <f t="shared" si="4"/>
        <v>0</v>
      </c>
      <c r="B93" s="31" t="str">
        <f t="shared" si="5"/>
        <v>0</v>
      </c>
      <c r="C93" s="31" t="str">
        <f t="shared" si="6"/>
        <v/>
      </c>
      <c r="D93" s="15"/>
      <c r="E93" s="21" t="str">
        <f>IFERROR(VLOOKUP(D93,Setup!$B$5:$C4227,2,FALSE),"")</f>
        <v/>
      </c>
      <c r="F93" s="15"/>
      <c r="G93" s="16"/>
      <c r="H93" s="17"/>
      <c r="I93" s="15"/>
      <c r="J93" s="16"/>
      <c r="K93" s="18">
        <f t="shared" si="7"/>
        <v>0</v>
      </c>
    </row>
    <row r="94" spans="1:11" x14ac:dyDescent="0.3">
      <c r="A94" s="31">
        <f t="shared" si="4"/>
        <v>0</v>
      </c>
      <c r="B94" s="31" t="str">
        <f t="shared" si="5"/>
        <v>0</v>
      </c>
      <c r="C94" s="31" t="str">
        <f t="shared" si="6"/>
        <v/>
      </c>
      <c r="D94" s="15"/>
      <c r="E94" s="21" t="str">
        <f>IFERROR(VLOOKUP(D94,Setup!$B$5:$C4228,2,FALSE),"")</f>
        <v/>
      </c>
      <c r="F94" s="15"/>
      <c r="G94" s="16"/>
      <c r="H94" s="17"/>
      <c r="I94" s="15"/>
      <c r="J94" s="16"/>
      <c r="K94" s="18">
        <f t="shared" si="7"/>
        <v>0</v>
      </c>
    </row>
    <row r="95" spans="1:11" x14ac:dyDescent="0.3">
      <c r="A95" s="31">
        <f t="shared" si="4"/>
        <v>0</v>
      </c>
      <c r="B95" s="31" t="str">
        <f t="shared" si="5"/>
        <v>0</v>
      </c>
      <c r="C95" s="31" t="str">
        <f t="shared" si="6"/>
        <v/>
      </c>
      <c r="D95" s="15"/>
      <c r="E95" s="21" t="str">
        <f>IFERROR(VLOOKUP(D95,Setup!$B$5:$C4229,2,FALSE),"")</f>
        <v/>
      </c>
      <c r="F95" s="15"/>
      <c r="G95" s="16"/>
      <c r="H95" s="17"/>
      <c r="I95" s="15"/>
      <c r="J95" s="16"/>
      <c r="K95" s="18">
        <f t="shared" si="7"/>
        <v>0</v>
      </c>
    </row>
    <row r="96" spans="1:11" x14ac:dyDescent="0.3">
      <c r="A96" s="31">
        <f t="shared" si="4"/>
        <v>0</v>
      </c>
      <c r="B96" s="31" t="str">
        <f t="shared" si="5"/>
        <v>0</v>
      </c>
      <c r="C96" s="31" t="str">
        <f t="shared" si="6"/>
        <v/>
      </c>
      <c r="D96" s="15"/>
      <c r="E96" s="21" t="str">
        <f>IFERROR(VLOOKUP(D96,Setup!$B$5:$C4230,2,FALSE),"")</f>
        <v/>
      </c>
      <c r="F96" s="15"/>
      <c r="G96" s="16"/>
      <c r="H96" s="17"/>
      <c r="I96" s="15"/>
      <c r="J96" s="16"/>
      <c r="K96" s="18">
        <f t="shared" si="7"/>
        <v>0</v>
      </c>
    </row>
    <row r="97" spans="1:11" x14ac:dyDescent="0.3">
      <c r="A97" s="31">
        <f t="shared" si="4"/>
        <v>0</v>
      </c>
      <c r="B97" s="31" t="str">
        <f t="shared" si="5"/>
        <v>0</v>
      </c>
      <c r="C97" s="31" t="str">
        <f t="shared" si="6"/>
        <v/>
      </c>
      <c r="D97" s="15"/>
      <c r="E97" s="21" t="str">
        <f>IFERROR(VLOOKUP(D97,Setup!$B$5:$C4231,2,FALSE),"")</f>
        <v/>
      </c>
      <c r="F97" s="15"/>
      <c r="G97" s="16"/>
      <c r="H97" s="17"/>
      <c r="I97" s="15"/>
      <c r="J97" s="16"/>
      <c r="K97" s="18">
        <f t="shared" si="7"/>
        <v>0</v>
      </c>
    </row>
    <row r="98" spans="1:11" x14ac:dyDescent="0.3">
      <c r="A98" s="31">
        <f t="shared" si="4"/>
        <v>0</v>
      </c>
      <c r="B98" s="31" t="str">
        <f t="shared" si="5"/>
        <v>0</v>
      </c>
      <c r="C98" s="31" t="str">
        <f t="shared" si="6"/>
        <v/>
      </c>
      <c r="D98" s="15"/>
      <c r="E98" s="21" t="str">
        <f>IFERROR(VLOOKUP(D98,Setup!$B$5:$C4232,2,FALSE),"")</f>
        <v/>
      </c>
      <c r="F98" s="15"/>
      <c r="G98" s="16"/>
      <c r="H98" s="17"/>
      <c r="I98" s="15"/>
      <c r="J98" s="16"/>
      <c r="K98" s="18">
        <f t="shared" si="7"/>
        <v>0</v>
      </c>
    </row>
    <row r="99" spans="1:11" x14ac:dyDescent="0.3">
      <c r="A99" s="31">
        <f t="shared" si="4"/>
        <v>0</v>
      </c>
      <c r="B99" s="31" t="str">
        <f t="shared" si="5"/>
        <v>0</v>
      </c>
      <c r="C99" s="31" t="str">
        <f t="shared" si="6"/>
        <v/>
      </c>
      <c r="D99" s="15"/>
      <c r="E99" s="21" t="str">
        <f>IFERROR(VLOOKUP(D99,Setup!$B$5:$C4233,2,FALSE),"")</f>
        <v/>
      </c>
      <c r="F99" s="15"/>
      <c r="G99" s="16"/>
      <c r="H99" s="17"/>
      <c r="I99" s="15"/>
      <c r="J99" s="16"/>
      <c r="K99" s="18">
        <f t="shared" si="7"/>
        <v>0</v>
      </c>
    </row>
    <row r="100" spans="1:11" x14ac:dyDescent="0.3">
      <c r="A100" s="31">
        <f t="shared" si="4"/>
        <v>0</v>
      </c>
      <c r="B100" s="31" t="str">
        <f t="shared" si="5"/>
        <v>0</v>
      </c>
      <c r="C100" s="31" t="str">
        <f t="shared" si="6"/>
        <v/>
      </c>
      <c r="D100" s="15"/>
      <c r="E100" s="21" t="str">
        <f>IFERROR(VLOOKUP(D100,Setup!$B$5:$C4234,2,FALSE),"")</f>
        <v/>
      </c>
      <c r="F100" s="15"/>
      <c r="G100" s="16"/>
      <c r="H100" s="17"/>
      <c r="I100" s="15"/>
      <c r="J100" s="16"/>
      <c r="K100" s="18">
        <f t="shared" si="7"/>
        <v>0</v>
      </c>
    </row>
    <row r="101" spans="1:11" x14ac:dyDescent="0.3">
      <c r="A101" s="31">
        <f t="shared" si="4"/>
        <v>0</v>
      </c>
      <c r="B101" s="31" t="str">
        <f t="shared" si="5"/>
        <v>0</v>
      </c>
      <c r="C101" s="31" t="str">
        <f t="shared" si="6"/>
        <v/>
      </c>
      <c r="D101" s="15"/>
      <c r="E101" s="21" t="str">
        <f>IFERROR(VLOOKUP(D101,Setup!$B$5:$C4235,2,FALSE),"")</f>
        <v/>
      </c>
      <c r="F101" s="15"/>
      <c r="G101" s="16"/>
      <c r="H101" s="17"/>
      <c r="I101" s="15"/>
      <c r="J101" s="16"/>
      <c r="K101" s="18">
        <f t="shared" si="7"/>
        <v>0</v>
      </c>
    </row>
    <row r="102" spans="1:11" x14ac:dyDescent="0.3">
      <c r="A102" s="31">
        <f t="shared" si="4"/>
        <v>0</v>
      </c>
      <c r="B102" s="31" t="str">
        <f t="shared" si="5"/>
        <v>0</v>
      </c>
      <c r="C102" s="31" t="str">
        <f t="shared" si="6"/>
        <v/>
      </c>
      <c r="D102" s="15"/>
      <c r="E102" s="21" t="str">
        <f>IFERROR(VLOOKUP(D102,Setup!$B$5:$C4236,2,FALSE),"")</f>
        <v/>
      </c>
      <c r="F102" s="15"/>
      <c r="G102" s="16"/>
      <c r="H102" s="17"/>
      <c r="I102" s="15"/>
      <c r="J102" s="16"/>
      <c r="K102" s="18">
        <f t="shared" si="7"/>
        <v>0</v>
      </c>
    </row>
    <row r="103" spans="1:11" x14ac:dyDescent="0.3">
      <c r="A103" s="31">
        <f t="shared" si="4"/>
        <v>0</v>
      </c>
      <c r="B103" s="31" t="str">
        <f t="shared" si="5"/>
        <v>0</v>
      </c>
      <c r="C103" s="31" t="str">
        <f t="shared" si="6"/>
        <v/>
      </c>
      <c r="D103" s="15"/>
      <c r="E103" s="21" t="str">
        <f>IFERROR(VLOOKUP(D103,Setup!$B$5:$C4237,2,FALSE),"")</f>
        <v/>
      </c>
      <c r="F103" s="15"/>
      <c r="G103" s="16"/>
      <c r="H103" s="17"/>
      <c r="I103" s="15"/>
      <c r="J103" s="16"/>
      <c r="K103" s="18">
        <f t="shared" si="7"/>
        <v>0</v>
      </c>
    </row>
    <row r="104" spans="1:11" x14ac:dyDescent="0.3">
      <c r="A104" s="31">
        <f t="shared" si="4"/>
        <v>0</v>
      </c>
      <c r="B104" s="31" t="str">
        <f t="shared" si="5"/>
        <v>0</v>
      </c>
      <c r="C104" s="31" t="str">
        <f t="shared" si="6"/>
        <v/>
      </c>
      <c r="D104" s="15"/>
      <c r="E104" s="21" t="str">
        <f>IFERROR(VLOOKUP(D104,Setup!$B$5:$C4238,2,FALSE),"")</f>
        <v/>
      </c>
      <c r="F104" s="15"/>
      <c r="G104" s="16"/>
      <c r="H104" s="17"/>
      <c r="I104" s="15"/>
      <c r="J104" s="16"/>
      <c r="K104" s="18">
        <f t="shared" si="7"/>
        <v>0</v>
      </c>
    </row>
    <row r="105" spans="1:11" x14ac:dyDescent="0.3">
      <c r="A105" s="31">
        <f t="shared" si="4"/>
        <v>0</v>
      </c>
      <c r="B105" s="31" t="str">
        <f t="shared" si="5"/>
        <v>0</v>
      </c>
      <c r="C105" s="31" t="str">
        <f t="shared" si="6"/>
        <v/>
      </c>
      <c r="D105" s="15"/>
      <c r="E105" s="21" t="str">
        <f>IFERROR(VLOOKUP(D105,Setup!$B$5:$C4239,2,FALSE),"")</f>
        <v/>
      </c>
      <c r="F105" s="15"/>
      <c r="G105" s="16"/>
      <c r="H105" s="17"/>
      <c r="I105" s="15"/>
      <c r="J105" s="16"/>
      <c r="K105" s="18">
        <f t="shared" si="7"/>
        <v>0</v>
      </c>
    </row>
    <row r="106" spans="1:11" x14ac:dyDescent="0.3">
      <c r="A106" s="31">
        <f t="shared" si="4"/>
        <v>0</v>
      </c>
      <c r="B106" s="31" t="str">
        <f t="shared" si="5"/>
        <v>0</v>
      </c>
      <c r="C106" s="31" t="str">
        <f t="shared" si="6"/>
        <v/>
      </c>
      <c r="D106" s="15"/>
      <c r="E106" s="21" t="str">
        <f>IFERROR(VLOOKUP(D106,Setup!$B$5:$C4240,2,FALSE),"")</f>
        <v/>
      </c>
      <c r="F106" s="15"/>
      <c r="G106" s="16"/>
      <c r="H106" s="17"/>
      <c r="I106" s="15"/>
      <c r="J106" s="16"/>
      <c r="K106" s="18">
        <f t="shared" si="7"/>
        <v>0</v>
      </c>
    </row>
    <row r="107" spans="1:11" x14ac:dyDescent="0.3">
      <c r="A107" s="31">
        <f t="shared" si="4"/>
        <v>0</v>
      </c>
      <c r="B107" s="31" t="str">
        <f t="shared" si="5"/>
        <v>0</v>
      </c>
      <c r="C107" s="31" t="str">
        <f t="shared" si="6"/>
        <v/>
      </c>
      <c r="D107" s="15"/>
      <c r="E107" s="21" t="str">
        <f>IFERROR(VLOOKUP(D107,Setup!$B$5:$C4241,2,FALSE),"")</f>
        <v/>
      </c>
      <c r="F107" s="15"/>
      <c r="G107" s="16"/>
      <c r="H107" s="17"/>
      <c r="I107" s="15"/>
      <c r="J107" s="16"/>
      <c r="K107" s="18">
        <f t="shared" si="7"/>
        <v>0</v>
      </c>
    </row>
    <row r="108" spans="1:11" x14ac:dyDescent="0.3">
      <c r="A108" s="31">
        <f t="shared" si="4"/>
        <v>0</v>
      </c>
      <c r="B108" s="31" t="str">
        <f t="shared" si="5"/>
        <v>0</v>
      </c>
      <c r="C108" s="31" t="str">
        <f t="shared" si="6"/>
        <v/>
      </c>
      <c r="D108" s="15"/>
      <c r="E108" s="21" t="str">
        <f>IFERROR(VLOOKUP(D108,Setup!$B$5:$C4242,2,FALSE),"")</f>
        <v/>
      </c>
      <c r="F108" s="15"/>
      <c r="G108" s="16"/>
      <c r="H108" s="17"/>
      <c r="I108" s="15"/>
      <c r="J108" s="16"/>
      <c r="K108" s="18">
        <f t="shared" si="7"/>
        <v>0</v>
      </c>
    </row>
    <row r="109" spans="1:11" x14ac:dyDescent="0.3">
      <c r="A109" s="31">
        <f t="shared" si="4"/>
        <v>0</v>
      </c>
      <c r="B109" s="31" t="str">
        <f t="shared" si="5"/>
        <v>0</v>
      </c>
      <c r="C109" s="31" t="str">
        <f t="shared" si="6"/>
        <v/>
      </c>
      <c r="D109" s="15"/>
      <c r="E109" s="21" t="str">
        <f>IFERROR(VLOOKUP(D109,Setup!$B$5:$C4243,2,FALSE),"")</f>
        <v/>
      </c>
      <c r="F109" s="15"/>
      <c r="G109" s="16"/>
      <c r="H109" s="17"/>
      <c r="I109" s="15"/>
      <c r="J109" s="16"/>
      <c r="K109" s="18">
        <f t="shared" si="7"/>
        <v>0</v>
      </c>
    </row>
    <row r="110" spans="1:11" x14ac:dyDescent="0.3">
      <c r="A110" s="31">
        <f t="shared" si="4"/>
        <v>0</v>
      </c>
      <c r="B110" s="31" t="str">
        <f t="shared" si="5"/>
        <v>0</v>
      </c>
      <c r="C110" s="31" t="str">
        <f t="shared" si="6"/>
        <v/>
      </c>
      <c r="D110" s="15"/>
      <c r="E110" s="21" t="str">
        <f>IFERROR(VLOOKUP(D110,Setup!$B$5:$C4244,2,FALSE),"")</f>
        <v/>
      </c>
      <c r="F110" s="15"/>
      <c r="G110" s="16"/>
      <c r="H110" s="17"/>
      <c r="I110" s="15"/>
      <c r="J110" s="16"/>
      <c r="K110" s="18">
        <f t="shared" si="7"/>
        <v>0</v>
      </c>
    </row>
    <row r="111" spans="1:11" x14ac:dyDescent="0.3">
      <c r="A111" s="31">
        <f t="shared" si="4"/>
        <v>0</v>
      </c>
      <c r="B111" s="31" t="str">
        <f t="shared" si="5"/>
        <v>0</v>
      </c>
      <c r="C111" s="31" t="str">
        <f t="shared" si="6"/>
        <v/>
      </c>
      <c r="D111" s="15"/>
      <c r="E111" s="21" t="str">
        <f>IFERROR(VLOOKUP(D111,Setup!$B$5:$C4245,2,FALSE),"")</f>
        <v/>
      </c>
      <c r="F111" s="15"/>
      <c r="G111" s="16"/>
      <c r="H111" s="17"/>
      <c r="I111" s="15"/>
      <c r="J111" s="16"/>
      <c r="K111" s="18">
        <f t="shared" si="7"/>
        <v>0</v>
      </c>
    </row>
    <row r="112" spans="1:11" x14ac:dyDescent="0.3">
      <c r="A112" s="31">
        <f t="shared" si="4"/>
        <v>0</v>
      </c>
      <c r="B112" s="31" t="str">
        <f t="shared" si="5"/>
        <v>0</v>
      </c>
      <c r="C112" s="31" t="str">
        <f t="shared" si="6"/>
        <v/>
      </c>
      <c r="D112" s="15"/>
      <c r="E112" s="21" t="str">
        <f>IFERROR(VLOOKUP(D112,Setup!$B$5:$C4246,2,FALSE),"")</f>
        <v/>
      </c>
      <c r="F112" s="15"/>
      <c r="G112" s="16"/>
      <c r="H112" s="17"/>
      <c r="I112" s="15"/>
      <c r="J112" s="16"/>
      <c r="K112" s="18">
        <f t="shared" si="7"/>
        <v>0</v>
      </c>
    </row>
    <row r="113" spans="1:11" x14ac:dyDescent="0.3">
      <c r="A113" s="31">
        <f t="shared" si="4"/>
        <v>0</v>
      </c>
      <c r="B113" s="31" t="str">
        <f t="shared" si="5"/>
        <v>0</v>
      </c>
      <c r="C113" s="31" t="str">
        <f t="shared" si="6"/>
        <v/>
      </c>
      <c r="D113" s="15"/>
      <c r="E113" s="21" t="str">
        <f>IFERROR(VLOOKUP(D113,Setup!$B$5:$C4247,2,FALSE),"")</f>
        <v/>
      </c>
      <c r="F113" s="15"/>
      <c r="G113" s="16"/>
      <c r="H113" s="17"/>
      <c r="I113" s="15"/>
      <c r="J113" s="16"/>
      <c r="K113" s="18">
        <f t="shared" si="7"/>
        <v>0</v>
      </c>
    </row>
    <row r="114" spans="1:11" x14ac:dyDescent="0.3">
      <c r="A114" s="31">
        <f t="shared" si="4"/>
        <v>0</v>
      </c>
      <c r="B114" s="31" t="str">
        <f t="shared" si="5"/>
        <v>0</v>
      </c>
      <c r="C114" s="31" t="str">
        <f t="shared" si="6"/>
        <v/>
      </c>
      <c r="D114" s="15"/>
      <c r="E114" s="21" t="str">
        <f>IFERROR(VLOOKUP(D114,Setup!$B$5:$C4248,2,FALSE),"")</f>
        <v/>
      </c>
      <c r="F114" s="15"/>
      <c r="G114" s="16"/>
      <c r="H114" s="17"/>
      <c r="I114" s="15"/>
      <c r="J114" s="16"/>
      <c r="K114" s="18">
        <f t="shared" si="7"/>
        <v>0</v>
      </c>
    </row>
    <row r="115" spans="1:11" x14ac:dyDescent="0.3">
      <c r="A115" s="31">
        <f t="shared" si="4"/>
        <v>0</v>
      </c>
      <c r="B115" s="31" t="str">
        <f t="shared" si="5"/>
        <v>0</v>
      </c>
      <c r="C115" s="31" t="str">
        <f t="shared" si="6"/>
        <v/>
      </c>
      <c r="D115" s="15"/>
      <c r="E115" s="21" t="str">
        <f>IFERROR(VLOOKUP(D115,Setup!$B$5:$C4249,2,FALSE),"")</f>
        <v/>
      </c>
      <c r="F115" s="15"/>
      <c r="G115" s="16"/>
      <c r="H115" s="17"/>
      <c r="I115" s="15"/>
      <c r="J115" s="16"/>
      <c r="K115" s="18">
        <f t="shared" si="7"/>
        <v>0</v>
      </c>
    </row>
    <row r="116" spans="1:11" x14ac:dyDescent="0.3">
      <c r="A116" s="31">
        <f t="shared" si="4"/>
        <v>0</v>
      </c>
      <c r="B116" s="31" t="str">
        <f t="shared" si="5"/>
        <v>0</v>
      </c>
      <c r="C116" s="31" t="str">
        <f t="shared" si="6"/>
        <v/>
      </c>
      <c r="D116" s="15"/>
      <c r="E116" s="21" t="str">
        <f>IFERROR(VLOOKUP(D116,Setup!$B$5:$C4250,2,FALSE),"")</f>
        <v/>
      </c>
      <c r="F116" s="15"/>
      <c r="G116" s="16"/>
      <c r="H116" s="17"/>
      <c r="I116" s="15"/>
      <c r="J116" s="16"/>
      <c r="K116" s="18">
        <f t="shared" si="7"/>
        <v>0</v>
      </c>
    </row>
    <row r="117" spans="1:11" x14ac:dyDescent="0.3">
      <c r="A117" s="31">
        <f t="shared" si="4"/>
        <v>0</v>
      </c>
      <c r="B117" s="31" t="str">
        <f t="shared" si="5"/>
        <v>0</v>
      </c>
      <c r="C117" s="31" t="str">
        <f t="shared" si="6"/>
        <v/>
      </c>
      <c r="D117" s="15"/>
      <c r="E117" s="21" t="str">
        <f>IFERROR(VLOOKUP(D117,Setup!$B$5:$C4251,2,FALSE),"")</f>
        <v/>
      </c>
      <c r="F117" s="15"/>
      <c r="G117" s="16"/>
      <c r="H117" s="17"/>
      <c r="I117" s="15"/>
      <c r="J117" s="16"/>
      <c r="K117" s="18">
        <f t="shared" si="7"/>
        <v>0</v>
      </c>
    </row>
    <row r="118" spans="1:11" x14ac:dyDescent="0.3">
      <c r="A118" s="31">
        <f t="shared" si="4"/>
        <v>0</v>
      </c>
      <c r="B118" s="31" t="str">
        <f t="shared" si="5"/>
        <v>0</v>
      </c>
      <c r="C118" s="31" t="str">
        <f t="shared" si="6"/>
        <v/>
      </c>
      <c r="D118" s="15"/>
      <c r="E118" s="21" t="str">
        <f>IFERROR(VLOOKUP(D118,Setup!$B$5:$C4252,2,FALSE),"")</f>
        <v/>
      </c>
      <c r="F118" s="15"/>
      <c r="G118" s="16"/>
      <c r="H118" s="17"/>
      <c r="I118" s="15"/>
      <c r="J118" s="16"/>
      <c r="K118" s="18">
        <f t="shared" si="7"/>
        <v>0</v>
      </c>
    </row>
    <row r="119" spans="1:11" x14ac:dyDescent="0.3">
      <c r="A119" s="31">
        <f t="shared" si="4"/>
        <v>0</v>
      </c>
      <c r="B119" s="31" t="str">
        <f t="shared" si="5"/>
        <v>0</v>
      </c>
      <c r="C119" s="31" t="str">
        <f t="shared" si="6"/>
        <v/>
      </c>
      <c r="D119" s="15"/>
      <c r="E119" s="21" t="str">
        <f>IFERROR(VLOOKUP(D119,Setup!$B$5:$C4253,2,FALSE),"")</f>
        <v/>
      </c>
      <c r="F119" s="15"/>
      <c r="G119" s="16"/>
      <c r="H119" s="17"/>
      <c r="I119" s="15"/>
      <c r="J119" s="16"/>
      <c r="K119" s="18">
        <f t="shared" si="7"/>
        <v>0</v>
      </c>
    </row>
    <row r="120" spans="1:11" x14ac:dyDescent="0.3">
      <c r="A120" s="31">
        <f t="shared" si="4"/>
        <v>0</v>
      </c>
      <c r="B120" s="31" t="str">
        <f t="shared" si="5"/>
        <v>0</v>
      </c>
      <c r="C120" s="31" t="str">
        <f t="shared" si="6"/>
        <v/>
      </c>
      <c r="D120" s="15"/>
      <c r="E120" s="21" t="str">
        <f>IFERROR(VLOOKUP(D120,Setup!$B$5:$C4254,2,FALSE),"")</f>
        <v/>
      </c>
      <c r="F120" s="15"/>
      <c r="G120" s="16"/>
      <c r="H120" s="17"/>
      <c r="I120" s="15"/>
      <c r="J120" s="16"/>
      <c r="K120" s="18">
        <f t="shared" si="7"/>
        <v>0</v>
      </c>
    </row>
    <row r="121" spans="1:11" x14ac:dyDescent="0.3">
      <c r="A121" s="31">
        <f t="shared" si="4"/>
        <v>0</v>
      </c>
      <c r="B121" s="31" t="str">
        <f t="shared" si="5"/>
        <v>0</v>
      </c>
      <c r="C121" s="31" t="str">
        <f t="shared" si="6"/>
        <v/>
      </c>
      <c r="D121" s="15"/>
      <c r="E121" s="21" t="str">
        <f>IFERROR(VLOOKUP(D121,Setup!$B$5:$C4255,2,FALSE),"")</f>
        <v/>
      </c>
      <c r="F121" s="15"/>
      <c r="G121" s="16"/>
      <c r="H121" s="17"/>
      <c r="I121" s="15"/>
      <c r="J121" s="16"/>
      <c r="K121" s="18">
        <f t="shared" si="7"/>
        <v>0</v>
      </c>
    </row>
    <row r="122" spans="1:11" x14ac:dyDescent="0.3">
      <c r="A122" s="31">
        <f t="shared" si="4"/>
        <v>0</v>
      </c>
      <c r="B122" s="31" t="str">
        <f t="shared" si="5"/>
        <v>0</v>
      </c>
      <c r="C122" s="31" t="str">
        <f t="shared" si="6"/>
        <v/>
      </c>
      <c r="D122" s="15"/>
      <c r="E122" s="21" t="str">
        <f>IFERROR(VLOOKUP(D122,Setup!$B$5:$C4256,2,FALSE),"")</f>
        <v/>
      </c>
      <c r="F122" s="15"/>
      <c r="G122" s="16"/>
      <c r="H122" s="17"/>
      <c r="I122" s="15"/>
      <c r="J122" s="16"/>
      <c r="K122" s="18">
        <f t="shared" si="7"/>
        <v>0</v>
      </c>
    </row>
    <row r="123" spans="1:11" x14ac:dyDescent="0.3">
      <c r="A123" s="31">
        <f t="shared" si="4"/>
        <v>0</v>
      </c>
      <c r="B123" s="31" t="str">
        <f t="shared" si="5"/>
        <v>0</v>
      </c>
      <c r="C123" s="31" t="str">
        <f t="shared" si="6"/>
        <v/>
      </c>
      <c r="D123" s="15"/>
      <c r="E123" s="21" t="str">
        <f>IFERROR(VLOOKUP(D123,Setup!$B$5:$C4257,2,FALSE),"")</f>
        <v/>
      </c>
      <c r="F123" s="15"/>
      <c r="G123" s="16"/>
      <c r="H123" s="17"/>
      <c r="I123" s="15"/>
      <c r="J123" s="16"/>
      <c r="K123" s="18">
        <f t="shared" si="7"/>
        <v>0</v>
      </c>
    </row>
    <row r="124" spans="1:11" x14ac:dyDescent="0.3">
      <c r="A124" s="31">
        <f t="shared" si="4"/>
        <v>0</v>
      </c>
      <c r="B124" s="31" t="str">
        <f t="shared" si="5"/>
        <v>0</v>
      </c>
      <c r="C124" s="31" t="str">
        <f t="shared" si="6"/>
        <v/>
      </c>
      <c r="D124" s="15"/>
      <c r="E124" s="21" t="str">
        <f>IFERROR(VLOOKUP(D124,Setup!$B$5:$C4258,2,FALSE),"")</f>
        <v/>
      </c>
      <c r="F124" s="15"/>
      <c r="G124" s="16"/>
      <c r="H124" s="17"/>
      <c r="I124" s="15"/>
      <c r="J124" s="16"/>
      <c r="K124" s="18">
        <f t="shared" si="7"/>
        <v>0</v>
      </c>
    </row>
    <row r="125" spans="1:11" x14ac:dyDescent="0.3">
      <c r="A125" s="31">
        <f t="shared" si="4"/>
        <v>0</v>
      </c>
      <c r="B125" s="31" t="str">
        <f t="shared" si="5"/>
        <v>0</v>
      </c>
      <c r="C125" s="31" t="str">
        <f t="shared" si="6"/>
        <v/>
      </c>
      <c r="D125" s="15"/>
      <c r="E125" s="21" t="str">
        <f>IFERROR(VLOOKUP(D125,Setup!$B$5:$C4259,2,FALSE),"")</f>
        <v/>
      </c>
      <c r="F125" s="15"/>
      <c r="G125" s="16"/>
      <c r="H125" s="17"/>
      <c r="I125" s="15"/>
      <c r="J125" s="16"/>
      <c r="K125" s="18">
        <f t="shared" si="7"/>
        <v>0</v>
      </c>
    </row>
    <row r="126" spans="1:11" x14ac:dyDescent="0.3">
      <c r="A126" s="31">
        <f t="shared" si="4"/>
        <v>0</v>
      </c>
      <c r="B126" s="31" t="str">
        <f t="shared" si="5"/>
        <v>0</v>
      </c>
      <c r="C126" s="31" t="str">
        <f t="shared" si="6"/>
        <v/>
      </c>
      <c r="D126" s="15"/>
      <c r="E126" s="21" t="str">
        <f>IFERROR(VLOOKUP(D126,Setup!$B$5:$C4260,2,FALSE),"")</f>
        <v/>
      </c>
      <c r="F126" s="15"/>
      <c r="G126" s="16"/>
      <c r="H126" s="17"/>
      <c r="I126" s="15"/>
      <c r="J126" s="16"/>
      <c r="K126" s="18">
        <f t="shared" si="7"/>
        <v>0</v>
      </c>
    </row>
    <row r="127" spans="1:11" x14ac:dyDescent="0.3">
      <c r="A127" s="31">
        <f t="shared" si="4"/>
        <v>0</v>
      </c>
      <c r="B127" s="31" t="str">
        <f t="shared" si="5"/>
        <v>0</v>
      </c>
      <c r="C127" s="31" t="str">
        <f t="shared" si="6"/>
        <v/>
      </c>
      <c r="D127" s="15"/>
      <c r="E127" s="21" t="str">
        <f>IFERROR(VLOOKUP(D127,Setup!$B$5:$C4261,2,FALSE),"")</f>
        <v/>
      </c>
      <c r="F127" s="15"/>
      <c r="G127" s="16"/>
      <c r="H127" s="17"/>
      <c r="I127" s="15"/>
      <c r="J127" s="16"/>
      <c r="K127" s="18">
        <f t="shared" si="7"/>
        <v>0</v>
      </c>
    </row>
    <row r="128" spans="1:11" x14ac:dyDescent="0.3">
      <c r="A128" s="31">
        <f t="shared" si="4"/>
        <v>0</v>
      </c>
      <c r="B128" s="31" t="str">
        <f t="shared" si="5"/>
        <v>0</v>
      </c>
      <c r="C128" s="31" t="str">
        <f t="shared" si="6"/>
        <v/>
      </c>
      <c r="D128" s="15"/>
      <c r="E128" s="21" t="str">
        <f>IFERROR(VLOOKUP(D128,Setup!$B$5:$C4262,2,FALSE),"")</f>
        <v/>
      </c>
      <c r="F128" s="15"/>
      <c r="G128" s="16"/>
      <c r="H128" s="17"/>
      <c r="I128" s="15"/>
      <c r="J128" s="16"/>
      <c r="K128" s="18">
        <f t="shared" si="7"/>
        <v>0</v>
      </c>
    </row>
    <row r="129" spans="1:11" x14ac:dyDescent="0.3">
      <c r="A129" s="31">
        <f t="shared" si="4"/>
        <v>0</v>
      </c>
      <c r="B129" s="31" t="str">
        <f t="shared" si="5"/>
        <v>0</v>
      </c>
      <c r="C129" s="31" t="str">
        <f t="shared" si="6"/>
        <v/>
      </c>
      <c r="D129" s="15"/>
      <c r="E129" s="21" t="str">
        <f>IFERROR(VLOOKUP(D129,Setup!$B$5:$C4263,2,FALSE),"")</f>
        <v/>
      </c>
      <c r="F129" s="15"/>
      <c r="G129" s="16"/>
      <c r="H129" s="17"/>
      <c r="I129" s="15"/>
      <c r="J129" s="16"/>
      <c r="K129" s="18">
        <f t="shared" si="7"/>
        <v>0</v>
      </c>
    </row>
    <row r="130" spans="1:11" x14ac:dyDescent="0.3">
      <c r="A130" s="31">
        <f t="shared" si="4"/>
        <v>0</v>
      </c>
      <c r="B130" s="31" t="str">
        <f t="shared" si="5"/>
        <v>0</v>
      </c>
      <c r="C130" s="31" t="str">
        <f t="shared" si="6"/>
        <v/>
      </c>
      <c r="D130" s="15"/>
      <c r="E130" s="21" t="str">
        <f>IFERROR(VLOOKUP(D130,Setup!$B$5:$C4264,2,FALSE),"")</f>
        <v/>
      </c>
      <c r="F130" s="15"/>
      <c r="G130" s="16"/>
      <c r="H130" s="17"/>
      <c r="I130" s="15"/>
      <c r="J130" s="16"/>
      <c r="K130" s="18">
        <f t="shared" si="7"/>
        <v>0</v>
      </c>
    </row>
    <row r="131" spans="1:11" x14ac:dyDescent="0.3">
      <c r="A131" s="31">
        <f t="shared" si="4"/>
        <v>0</v>
      </c>
      <c r="B131" s="31" t="str">
        <f t="shared" si="5"/>
        <v>0</v>
      </c>
      <c r="C131" s="31" t="str">
        <f t="shared" si="6"/>
        <v/>
      </c>
      <c r="D131" s="15"/>
      <c r="E131" s="21" t="str">
        <f>IFERROR(VLOOKUP(D131,Setup!$B$5:$C4265,2,FALSE),"")</f>
        <v/>
      </c>
      <c r="F131" s="15"/>
      <c r="G131" s="16"/>
      <c r="H131" s="17"/>
      <c r="I131" s="15"/>
      <c r="J131" s="16"/>
      <c r="K131" s="18">
        <f t="shared" si="7"/>
        <v>0</v>
      </c>
    </row>
    <row r="132" spans="1:11" x14ac:dyDescent="0.3">
      <c r="A132" s="31">
        <f t="shared" si="4"/>
        <v>0</v>
      </c>
      <c r="B132" s="31" t="str">
        <f t="shared" si="5"/>
        <v>0</v>
      </c>
      <c r="C132" s="31" t="str">
        <f t="shared" si="6"/>
        <v/>
      </c>
      <c r="D132" s="15"/>
      <c r="E132" s="21" t="str">
        <f>IFERROR(VLOOKUP(D132,Setup!$B$5:$C4266,2,FALSE),"")</f>
        <v/>
      </c>
      <c r="F132" s="15"/>
      <c r="G132" s="16"/>
      <c r="H132" s="17"/>
      <c r="I132" s="15"/>
      <c r="J132" s="16"/>
      <c r="K132" s="18">
        <f t="shared" si="7"/>
        <v>0</v>
      </c>
    </row>
    <row r="133" spans="1:11" x14ac:dyDescent="0.3">
      <c r="A133" s="31">
        <f t="shared" si="4"/>
        <v>0</v>
      </c>
      <c r="B133" s="31" t="str">
        <f t="shared" si="5"/>
        <v>0</v>
      </c>
      <c r="C133" s="31" t="str">
        <f t="shared" si="6"/>
        <v/>
      </c>
      <c r="D133" s="15"/>
      <c r="E133" s="21" t="str">
        <f>IFERROR(VLOOKUP(D133,Setup!$B$5:$C4267,2,FALSE),"")</f>
        <v/>
      </c>
      <c r="F133" s="15"/>
      <c r="G133" s="16"/>
      <c r="H133" s="17"/>
      <c r="I133" s="15"/>
      <c r="J133" s="16"/>
      <c r="K133" s="18">
        <f t="shared" si="7"/>
        <v>0</v>
      </c>
    </row>
    <row r="134" spans="1:11" x14ac:dyDescent="0.3">
      <c r="A134" s="31">
        <f t="shared" si="4"/>
        <v>0</v>
      </c>
      <c r="B134" s="31" t="str">
        <f t="shared" si="5"/>
        <v>0</v>
      </c>
      <c r="C134" s="31" t="str">
        <f t="shared" si="6"/>
        <v/>
      </c>
      <c r="D134" s="15"/>
      <c r="E134" s="21" t="str">
        <f>IFERROR(VLOOKUP(D134,Setup!$B$5:$C4268,2,FALSE),"")</f>
        <v/>
      </c>
      <c r="F134" s="15"/>
      <c r="G134" s="16"/>
      <c r="H134" s="17"/>
      <c r="I134" s="15"/>
      <c r="J134" s="16"/>
      <c r="K134" s="18">
        <f t="shared" si="7"/>
        <v>0</v>
      </c>
    </row>
    <row r="135" spans="1:11" x14ac:dyDescent="0.3">
      <c r="A135" s="31">
        <f t="shared" ref="A135:A154" si="8">SUMPRODUCT(($D$6:$D$154=D135)*($K$6:$K$154&lt;K135)*1)</f>
        <v>0</v>
      </c>
      <c r="B135" s="31" t="str">
        <f t="shared" ref="B135:B154" si="9">A135&amp;D135</f>
        <v>0</v>
      </c>
      <c r="C135" s="31" t="str">
        <f t="shared" ref="C135:C154" si="10">I135&amp;D135</f>
        <v/>
      </c>
      <c r="D135" s="15"/>
      <c r="E135" s="21" t="str">
        <f>IFERROR(VLOOKUP(D135,Setup!$B$5:$C4269,2,FALSE),"")</f>
        <v/>
      </c>
      <c r="F135" s="15"/>
      <c r="G135" s="16"/>
      <c r="H135" s="17"/>
      <c r="I135" s="15"/>
      <c r="J135" s="16"/>
      <c r="K135" s="18">
        <f t="shared" ref="K135:K154" si="11">IFERROR(J135/G135,0)</f>
        <v>0</v>
      </c>
    </row>
    <row r="136" spans="1:11" x14ac:dyDescent="0.3">
      <c r="A136" s="31">
        <f t="shared" si="8"/>
        <v>0</v>
      </c>
      <c r="B136" s="31" t="str">
        <f t="shared" si="9"/>
        <v>0</v>
      </c>
      <c r="C136" s="31" t="str">
        <f t="shared" si="10"/>
        <v/>
      </c>
      <c r="D136" s="15"/>
      <c r="E136" s="21" t="str">
        <f>IFERROR(VLOOKUP(D136,Setup!$B$5:$C4270,2,FALSE),"")</f>
        <v/>
      </c>
      <c r="F136" s="15"/>
      <c r="G136" s="16"/>
      <c r="H136" s="17"/>
      <c r="I136" s="15"/>
      <c r="J136" s="16"/>
      <c r="K136" s="18">
        <f t="shared" si="11"/>
        <v>0</v>
      </c>
    </row>
    <row r="137" spans="1:11" x14ac:dyDescent="0.3">
      <c r="A137" s="31">
        <f t="shared" si="8"/>
        <v>0</v>
      </c>
      <c r="B137" s="31" t="str">
        <f t="shared" si="9"/>
        <v>0</v>
      </c>
      <c r="C137" s="31" t="str">
        <f t="shared" si="10"/>
        <v/>
      </c>
      <c r="D137" s="15"/>
      <c r="E137" s="21" t="str">
        <f>IFERROR(VLOOKUP(D137,Setup!$B$5:$C4271,2,FALSE),"")</f>
        <v/>
      </c>
      <c r="F137" s="15"/>
      <c r="G137" s="16"/>
      <c r="H137" s="17"/>
      <c r="I137" s="15"/>
      <c r="J137" s="16"/>
      <c r="K137" s="18">
        <f t="shared" si="11"/>
        <v>0</v>
      </c>
    </row>
    <row r="138" spans="1:11" x14ac:dyDescent="0.3">
      <c r="A138" s="31">
        <f t="shared" si="8"/>
        <v>0</v>
      </c>
      <c r="B138" s="31" t="str">
        <f t="shared" si="9"/>
        <v>0</v>
      </c>
      <c r="C138" s="31" t="str">
        <f t="shared" si="10"/>
        <v/>
      </c>
      <c r="D138" s="15"/>
      <c r="E138" s="21" t="str">
        <f>IFERROR(VLOOKUP(D138,Setup!$B$5:$C4272,2,FALSE),"")</f>
        <v/>
      </c>
      <c r="F138" s="15"/>
      <c r="G138" s="16"/>
      <c r="H138" s="17"/>
      <c r="I138" s="15"/>
      <c r="J138" s="16"/>
      <c r="K138" s="18">
        <f t="shared" si="11"/>
        <v>0</v>
      </c>
    </row>
    <row r="139" spans="1:11" x14ac:dyDescent="0.3">
      <c r="A139" s="31">
        <f t="shared" si="8"/>
        <v>0</v>
      </c>
      <c r="B139" s="31" t="str">
        <f t="shared" si="9"/>
        <v>0</v>
      </c>
      <c r="C139" s="31" t="str">
        <f t="shared" si="10"/>
        <v/>
      </c>
      <c r="D139" s="15"/>
      <c r="E139" s="21" t="str">
        <f>IFERROR(VLOOKUP(D139,Setup!$B$5:$C4273,2,FALSE),"")</f>
        <v/>
      </c>
      <c r="F139" s="15"/>
      <c r="G139" s="16"/>
      <c r="H139" s="17"/>
      <c r="I139" s="15"/>
      <c r="J139" s="16"/>
      <c r="K139" s="18">
        <f t="shared" si="11"/>
        <v>0</v>
      </c>
    </row>
    <row r="140" spans="1:11" x14ac:dyDescent="0.3">
      <c r="A140" s="31">
        <f t="shared" si="8"/>
        <v>0</v>
      </c>
      <c r="B140" s="31" t="str">
        <f t="shared" si="9"/>
        <v>0</v>
      </c>
      <c r="C140" s="31" t="str">
        <f t="shared" si="10"/>
        <v/>
      </c>
      <c r="D140" s="15"/>
      <c r="E140" s="21" t="str">
        <f>IFERROR(VLOOKUP(D140,Setup!$B$5:$C4274,2,FALSE),"")</f>
        <v/>
      </c>
      <c r="F140" s="15"/>
      <c r="G140" s="16"/>
      <c r="H140" s="17"/>
      <c r="I140" s="15"/>
      <c r="J140" s="16"/>
      <c r="K140" s="18">
        <f t="shared" si="11"/>
        <v>0</v>
      </c>
    </row>
    <row r="141" spans="1:11" x14ac:dyDescent="0.3">
      <c r="A141" s="31">
        <f t="shared" si="8"/>
        <v>0</v>
      </c>
      <c r="B141" s="31" t="str">
        <f t="shared" si="9"/>
        <v>0</v>
      </c>
      <c r="C141" s="31" t="str">
        <f t="shared" si="10"/>
        <v/>
      </c>
      <c r="D141" s="15"/>
      <c r="E141" s="21" t="str">
        <f>IFERROR(VLOOKUP(D141,Setup!$B$5:$C4275,2,FALSE),"")</f>
        <v/>
      </c>
      <c r="F141" s="15"/>
      <c r="G141" s="16"/>
      <c r="H141" s="17"/>
      <c r="I141" s="15"/>
      <c r="J141" s="16"/>
      <c r="K141" s="18">
        <f t="shared" si="11"/>
        <v>0</v>
      </c>
    </row>
    <row r="142" spans="1:11" x14ac:dyDescent="0.3">
      <c r="A142" s="31">
        <f t="shared" si="8"/>
        <v>0</v>
      </c>
      <c r="B142" s="31" t="str">
        <f t="shared" si="9"/>
        <v>0</v>
      </c>
      <c r="C142" s="31" t="str">
        <f t="shared" si="10"/>
        <v/>
      </c>
      <c r="D142" s="15"/>
      <c r="E142" s="21" t="str">
        <f>IFERROR(VLOOKUP(D142,Setup!$B$5:$C4276,2,FALSE),"")</f>
        <v/>
      </c>
      <c r="F142" s="15"/>
      <c r="G142" s="16"/>
      <c r="H142" s="17"/>
      <c r="I142" s="15"/>
      <c r="J142" s="16"/>
      <c r="K142" s="18">
        <f t="shared" si="11"/>
        <v>0</v>
      </c>
    </row>
    <row r="143" spans="1:11" x14ac:dyDescent="0.3">
      <c r="A143" s="31">
        <f t="shared" si="8"/>
        <v>0</v>
      </c>
      <c r="B143" s="31" t="str">
        <f t="shared" si="9"/>
        <v>0</v>
      </c>
      <c r="C143" s="31" t="str">
        <f t="shared" si="10"/>
        <v/>
      </c>
      <c r="D143" s="15"/>
      <c r="E143" s="21" t="str">
        <f>IFERROR(VLOOKUP(D143,Setup!$B$5:$C4277,2,FALSE),"")</f>
        <v/>
      </c>
      <c r="F143" s="15"/>
      <c r="G143" s="16"/>
      <c r="H143" s="17"/>
      <c r="I143" s="15"/>
      <c r="J143" s="16"/>
      <c r="K143" s="18">
        <f t="shared" si="11"/>
        <v>0</v>
      </c>
    </row>
    <row r="144" spans="1:11" x14ac:dyDescent="0.3">
      <c r="A144" s="31">
        <f t="shared" si="8"/>
        <v>0</v>
      </c>
      <c r="B144" s="31" t="str">
        <f t="shared" si="9"/>
        <v>0</v>
      </c>
      <c r="C144" s="31" t="str">
        <f t="shared" si="10"/>
        <v/>
      </c>
      <c r="D144" s="15"/>
      <c r="E144" s="21" t="str">
        <f>IFERROR(VLOOKUP(D144,Setup!$B$5:$C4278,2,FALSE),"")</f>
        <v/>
      </c>
      <c r="F144" s="15"/>
      <c r="G144" s="16"/>
      <c r="H144" s="17"/>
      <c r="I144" s="15"/>
      <c r="J144" s="16"/>
      <c r="K144" s="18">
        <f t="shared" si="11"/>
        <v>0</v>
      </c>
    </row>
    <row r="145" spans="1:11" x14ac:dyDescent="0.3">
      <c r="A145" s="31">
        <f t="shared" si="8"/>
        <v>0</v>
      </c>
      <c r="B145" s="31" t="str">
        <f t="shared" si="9"/>
        <v>0</v>
      </c>
      <c r="C145" s="31" t="str">
        <f t="shared" si="10"/>
        <v/>
      </c>
      <c r="D145" s="15"/>
      <c r="E145" s="21" t="str">
        <f>IFERROR(VLOOKUP(D145,Setup!$B$5:$C4279,2,FALSE),"")</f>
        <v/>
      </c>
      <c r="F145" s="15"/>
      <c r="G145" s="16"/>
      <c r="H145" s="17"/>
      <c r="I145" s="15"/>
      <c r="J145" s="16"/>
      <c r="K145" s="18">
        <f t="shared" si="11"/>
        <v>0</v>
      </c>
    </row>
    <row r="146" spans="1:11" x14ac:dyDescent="0.3">
      <c r="A146" s="31">
        <f t="shared" si="8"/>
        <v>0</v>
      </c>
      <c r="B146" s="31" t="str">
        <f t="shared" si="9"/>
        <v>0</v>
      </c>
      <c r="C146" s="31" t="str">
        <f t="shared" si="10"/>
        <v/>
      </c>
      <c r="D146" s="15"/>
      <c r="E146" s="21" t="str">
        <f>IFERROR(VLOOKUP(D146,Setup!$B$5:$C4280,2,FALSE),"")</f>
        <v/>
      </c>
      <c r="F146" s="15"/>
      <c r="G146" s="16"/>
      <c r="H146" s="17"/>
      <c r="I146" s="15"/>
      <c r="J146" s="16"/>
      <c r="K146" s="18">
        <f t="shared" si="11"/>
        <v>0</v>
      </c>
    </row>
    <row r="147" spans="1:11" x14ac:dyDescent="0.3">
      <c r="A147" s="31">
        <f t="shared" si="8"/>
        <v>0</v>
      </c>
      <c r="B147" s="31" t="str">
        <f t="shared" si="9"/>
        <v>0</v>
      </c>
      <c r="C147" s="31" t="str">
        <f t="shared" si="10"/>
        <v/>
      </c>
      <c r="D147" s="15"/>
      <c r="E147" s="21" t="str">
        <f>IFERROR(VLOOKUP(D147,Setup!$B$5:$C4281,2,FALSE),"")</f>
        <v/>
      </c>
      <c r="F147" s="15"/>
      <c r="G147" s="16"/>
      <c r="H147" s="17"/>
      <c r="I147" s="15"/>
      <c r="J147" s="16"/>
      <c r="K147" s="18">
        <f t="shared" si="11"/>
        <v>0</v>
      </c>
    </row>
    <row r="148" spans="1:11" x14ac:dyDescent="0.3">
      <c r="A148" s="31">
        <f t="shared" si="8"/>
        <v>0</v>
      </c>
      <c r="B148" s="31" t="str">
        <f t="shared" si="9"/>
        <v>0</v>
      </c>
      <c r="C148" s="31" t="str">
        <f t="shared" si="10"/>
        <v/>
      </c>
      <c r="D148" s="15"/>
      <c r="E148" s="21" t="str">
        <f>IFERROR(VLOOKUP(D148,Setup!$B$5:$C4282,2,FALSE),"")</f>
        <v/>
      </c>
      <c r="F148" s="15"/>
      <c r="G148" s="16"/>
      <c r="H148" s="17"/>
      <c r="I148" s="15"/>
      <c r="J148" s="16"/>
      <c r="K148" s="18">
        <f t="shared" si="11"/>
        <v>0</v>
      </c>
    </row>
    <row r="149" spans="1:11" x14ac:dyDescent="0.3">
      <c r="A149" s="31">
        <f t="shared" si="8"/>
        <v>0</v>
      </c>
      <c r="B149" s="31" t="str">
        <f t="shared" si="9"/>
        <v>0</v>
      </c>
      <c r="C149" s="31" t="str">
        <f t="shared" si="10"/>
        <v/>
      </c>
      <c r="D149" s="15"/>
      <c r="E149" s="21" t="str">
        <f>IFERROR(VLOOKUP(D149,Setup!$B$5:$C4283,2,FALSE),"")</f>
        <v/>
      </c>
      <c r="F149" s="15"/>
      <c r="G149" s="16"/>
      <c r="H149" s="17"/>
      <c r="I149" s="15"/>
      <c r="J149" s="16"/>
      <c r="K149" s="18">
        <f t="shared" si="11"/>
        <v>0</v>
      </c>
    </row>
    <row r="150" spans="1:11" x14ac:dyDescent="0.3">
      <c r="A150" s="31">
        <f t="shared" si="8"/>
        <v>0</v>
      </c>
      <c r="B150" s="31" t="str">
        <f t="shared" si="9"/>
        <v>0</v>
      </c>
      <c r="C150" s="31" t="str">
        <f t="shared" si="10"/>
        <v/>
      </c>
      <c r="D150" s="15"/>
      <c r="E150" s="21" t="str">
        <f>IFERROR(VLOOKUP(D150,Setup!$B$5:$C4284,2,FALSE),"")</f>
        <v/>
      </c>
      <c r="F150" s="15"/>
      <c r="G150" s="16"/>
      <c r="H150" s="17"/>
      <c r="I150" s="15"/>
      <c r="J150" s="16"/>
      <c r="K150" s="18">
        <f t="shared" si="11"/>
        <v>0</v>
      </c>
    </row>
    <row r="151" spans="1:11" x14ac:dyDescent="0.3">
      <c r="A151" s="31">
        <f t="shared" si="8"/>
        <v>0</v>
      </c>
      <c r="B151" s="31" t="str">
        <f t="shared" si="9"/>
        <v>0</v>
      </c>
      <c r="C151" s="31" t="str">
        <f t="shared" si="10"/>
        <v/>
      </c>
      <c r="D151" s="15"/>
      <c r="E151" s="21" t="str">
        <f>IFERROR(VLOOKUP(D151,Setup!$B$5:$C4285,2,FALSE),"")</f>
        <v/>
      </c>
      <c r="F151" s="15"/>
      <c r="G151" s="16"/>
      <c r="H151" s="17"/>
      <c r="I151" s="15"/>
      <c r="J151" s="16"/>
      <c r="K151" s="18">
        <f t="shared" si="11"/>
        <v>0</v>
      </c>
    </row>
    <row r="152" spans="1:11" x14ac:dyDescent="0.3">
      <c r="A152" s="31">
        <f t="shared" si="8"/>
        <v>0</v>
      </c>
      <c r="B152" s="31" t="str">
        <f t="shared" si="9"/>
        <v>0</v>
      </c>
      <c r="C152" s="31" t="str">
        <f t="shared" si="10"/>
        <v/>
      </c>
      <c r="D152" s="15"/>
      <c r="E152" s="21" t="str">
        <f>IFERROR(VLOOKUP(D152,Setup!$B$5:$C4286,2,FALSE),"")</f>
        <v/>
      </c>
      <c r="F152" s="15"/>
      <c r="G152" s="16"/>
      <c r="H152" s="17"/>
      <c r="I152" s="15"/>
      <c r="J152" s="16"/>
      <c r="K152" s="18">
        <f t="shared" si="11"/>
        <v>0</v>
      </c>
    </row>
    <row r="153" spans="1:11" x14ac:dyDescent="0.3">
      <c r="A153" s="31">
        <f t="shared" si="8"/>
        <v>0</v>
      </c>
      <c r="B153" s="31" t="str">
        <f t="shared" si="9"/>
        <v>0</v>
      </c>
      <c r="C153" s="31" t="str">
        <f t="shared" si="10"/>
        <v/>
      </c>
      <c r="D153" s="15"/>
      <c r="E153" s="21" t="str">
        <f>IFERROR(VLOOKUP(D153,Setup!$B$5:$C4287,2,FALSE),"")</f>
        <v/>
      </c>
      <c r="F153" s="15"/>
      <c r="G153" s="16"/>
      <c r="H153" s="17"/>
      <c r="I153" s="15"/>
      <c r="J153" s="16"/>
      <c r="K153" s="18">
        <f t="shared" si="11"/>
        <v>0</v>
      </c>
    </row>
    <row r="154" spans="1:11" x14ac:dyDescent="0.3">
      <c r="A154" s="31">
        <f t="shared" si="8"/>
        <v>0</v>
      </c>
      <c r="B154" s="31" t="str">
        <f t="shared" si="9"/>
        <v>0</v>
      </c>
      <c r="C154" s="31" t="str">
        <f t="shared" si="10"/>
        <v/>
      </c>
      <c r="D154" s="15"/>
      <c r="E154" s="21" t="str">
        <f>IFERROR(VLOOKUP(D154,Setup!$B$5:$C4288,2,FALSE),"")</f>
        <v/>
      </c>
      <c r="F154" s="15"/>
      <c r="G154" s="16"/>
      <c r="H154" s="17"/>
      <c r="I154" s="15"/>
      <c r="J154" s="16"/>
      <c r="K154" s="18">
        <f t="shared" si="11"/>
        <v>0</v>
      </c>
    </row>
  </sheetData>
  <autoFilter ref="D4:K5" xr:uid="{00000000-0009-0000-0000-000001000000}"/>
  <mergeCells count="5">
    <mergeCell ref="D4:D5"/>
    <mergeCell ref="E4:E5"/>
    <mergeCell ref="F4:F5"/>
    <mergeCell ref="K4:K5"/>
    <mergeCell ref="G4:J4"/>
  </mergeCells>
  <dataValidations count="3">
    <dataValidation type="list" allowBlank="1" showInputMessage="1" showErrorMessage="1" sqref="F6:F154" xr:uid="{00000000-0002-0000-0100-000000000000}">
      <formula1>Brand</formula1>
    </dataValidation>
    <dataValidation type="list" allowBlank="1" showInputMessage="1" showErrorMessage="1" sqref="H6:H154" xr:uid="{00000000-0002-0000-0100-000001000000}">
      <formula1>Unit</formula1>
    </dataValidation>
    <dataValidation type="list" allowBlank="1" showInputMessage="1" showErrorMessage="1" sqref="I6:I154" xr:uid="{00000000-0002-0000-0100-000002000000}">
      <formula1>Mart</formula1>
    </dataValidation>
  </dataValidations>
  <pageMargins left="0.7" right="0.7" top="0.75" bottom="0.75" header="0.3" footer="0.3"/>
  <pageSetup scale="85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140"/>
  <sheetViews>
    <sheetView showGridLines="0" workbookViewId="0">
      <selection activeCell="E37" sqref="E37"/>
    </sheetView>
  </sheetViews>
  <sheetFormatPr defaultColWidth="0" defaultRowHeight="14.4" x14ac:dyDescent="0.3"/>
  <cols>
    <col min="1" max="1" width="2.77734375" style="3" customWidth="1"/>
    <col min="2" max="2" width="27.77734375" style="3" customWidth="1"/>
    <col min="3" max="3" width="21.109375" style="3" customWidth="1"/>
    <col min="4" max="4" width="3.6640625" style="3" customWidth="1"/>
    <col min="5" max="5" width="21.109375" style="3" customWidth="1"/>
    <col min="6" max="6" width="3.6640625" style="3" customWidth="1"/>
    <col min="7" max="7" width="21.109375" style="3" customWidth="1"/>
    <col min="8" max="8" width="3.6640625" style="3" customWidth="1"/>
    <col min="9" max="9" width="10.6640625" style="3" customWidth="1"/>
    <col min="10" max="10" width="3.44140625" style="3" customWidth="1"/>
    <col min="11" max="11" width="13.6640625" style="3" customWidth="1"/>
    <col min="12" max="12" width="5.33203125" style="3" customWidth="1"/>
    <col min="13" max="16384" width="8.6640625" style="3" hidden="1"/>
  </cols>
  <sheetData>
    <row r="2" spans="2:11" ht="23.4" x14ac:dyDescent="0.3">
      <c r="B2" s="22" t="s">
        <v>145</v>
      </c>
      <c r="C2" s="10"/>
      <c r="D2" s="10"/>
      <c r="E2" s="10"/>
      <c r="F2" s="10"/>
      <c r="G2" s="10"/>
      <c r="H2" s="10"/>
      <c r="I2" s="10"/>
      <c r="J2" s="10"/>
      <c r="K2" s="10"/>
    </row>
    <row r="4" spans="2:11" s="2" customFormat="1" x14ac:dyDescent="0.3">
      <c r="B4" s="19" t="s">
        <v>144</v>
      </c>
      <c r="C4" s="20" t="s">
        <v>21</v>
      </c>
      <c r="D4" s="3"/>
      <c r="E4" s="11" t="s">
        <v>21</v>
      </c>
      <c r="F4" s="3"/>
      <c r="G4" s="11" t="s">
        <v>22</v>
      </c>
      <c r="H4" s="3"/>
      <c r="I4" s="11" t="s">
        <v>2</v>
      </c>
      <c r="K4" s="11" t="s">
        <v>24</v>
      </c>
    </row>
    <row r="5" spans="2:11" x14ac:dyDescent="0.3">
      <c r="B5" s="4" t="s">
        <v>122</v>
      </c>
      <c r="C5" s="15" t="s">
        <v>127</v>
      </c>
      <c r="D5" s="2"/>
      <c r="E5" s="4" t="s">
        <v>126</v>
      </c>
      <c r="F5" s="2"/>
      <c r="G5" s="4" t="s">
        <v>34</v>
      </c>
      <c r="H5" s="2"/>
      <c r="I5" s="4" t="s">
        <v>130</v>
      </c>
      <c r="K5" s="4" t="s">
        <v>27</v>
      </c>
    </row>
    <row r="6" spans="2:11" x14ac:dyDescent="0.3">
      <c r="B6" s="4" t="s">
        <v>123</v>
      </c>
      <c r="C6" s="15" t="s">
        <v>127</v>
      </c>
      <c r="E6" s="4" t="s">
        <v>5</v>
      </c>
      <c r="G6" s="4" t="s">
        <v>35</v>
      </c>
      <c r="I6" s="4" t="s">
        <v>133</v>
      </c>
      <c r="K6" s="4" t="s">
        <v>28</v>
      </c>
    </row>
    <row r="7" spans="2:11" x14ac:dyDescent="0.3">
      <c r="B7" s="4" t="s">
        <v>124</v>
      </c>
      <c r="C7" s="15" t="s">
        <v>127</v>
      </c>
      <c r="E7" s="4" t="s">
        <v>64</v>
      </c>
      <c r="G7" s="4" t="s">
        <v>36</v>
      </c>
      <c r="I7" s="4" t="s">
        <v>139</v>
      </c>
      <c r="K7" s="4" t="s">
        <v>29</v>
      </c>
    </row>
    <row r="8" spans="2:11" x14ac:dyDescent="0.3">
      <c r="B8" s="4" t="s">
        <v>125</v>
      </c>
      <c r="C8" s="15" t="s">
        <v>127</v>
      </c>
      <c r="E8" s="4" t="s">
        <v>18</v>
      </c>
      <c r="G8" s="4" t="s">
        <v>37</v>
      </c>
      <c r="I8" s="4" t="s">
        <v>132</v>
      </c>
      <c r="K8" s="4" t="s">
        <v>30</v>
      </c>
    </row>
    <row r="9" spans="2:11" x14ac:dyDescent="0.3">
      <c r="B9" s="4" t="s">
        <v>16</v>
      </c>
      <c r="C9" s="15" t="s">
        <v>127</v>
      </c>
      <c r="E9" s="4" t="s">
        <v>95</v>
      </c>
      <c r="G9" s="4" t="s">
        <v>38</v>
      </c>
      <c r="I9" s="4" t="s">
        <v>141</v>
      </c>
      <c r="K9" s="4" t="s">
        <v>31</v>
      </c>
    </row>
    <row r="10" spans="2:11" x14ac:dyDescent="0.3">
      <c r="B10" s="4" t="s">
        <v>17</v>
      </c>
      <c r="C10" s="15" t="s">
        <v>127</v>
      </c>
      <c r="E10" s="4" t="s">
        <v>127</v>
      </c>
      <c r="G10" s="4" t="s">
        <v>39</v>
      </c>
      <c r="I10" s="4" t="s">
        <v>142</v>
      </c>
      <c r="K10" s="4" t="s">
        <v>32</v>
      </c>
    </row>
    <row r="11" spans="2:11" x14ac:dyDescent="0.3">
      <c r="B11" s="4" t="s">
        <v>96</v>
      </c>
      <c r="C11" s="15" t="s">
        <v>95</v>
      </c>
      <c r="E11" s="4"/>
      <c r="G11" s="4" t="s">
        <v>40</v>
      </c>
      <c r="I11" s="4" t="s">
        <v>138</v>
      </c>
      <c r="K11" s="4" t="s">
        <v>33</v>
      </c>
    </row>
    <row r="12" spans="2:11" x14ac:dyDescent="0.3">
      <c r="B12" s="4" t="s">
        <v>97</v>
      </c>
      <c r="C12" s="15" t="s">
        <v>95</v>
      </c>
      <c r="E12" s="4"/>
      <c r="G12" s="4" t="s">
        <v>41</v>
      </c>
      <c r="I12" s="4" t="s">
        <v>19</v>
      </c>
      <c r="K12" s="4"/>
    </row>
    <row r="13" spans="2:11" x14ac:dyDescent="0.3">
      <c r="B13" s="4" t="s">
        <v>98</v>
      </c>
      <c r="C13" s="15" t="s">
        <v>95</v>
      </c>
      <c r="E13" s="4"/>
      <c r="G13" s="4" t="s">
        <v>42</v>
      </c>
      <c r="I13" s="4" t="s">
        <v>137</v>
      </c>
      <c r="K13" s="4"/>
    </row>
    <row r="14" spans="2:11" x14ac:dyDescent="0.3">
      <c r="B14" s="4" t="s">
        <v>99</v>
      </c>
      <c r="C14" s="15" t="s">
        <v>95</v>
      </c>
      <c r="E14" s="4"/>
      <c r="G14" s="4" t="s">
        <v>43</v>
      </c>
      <c r="I14" s="4" t="s">
        <v>135</v>
      </c>
      <c r="K14" s="4"/>
    </row>
    <row r="15" spans="2:11" x14ac:dyDescent="0.3">
      <c r="B15" s="4" t="s">
        <v>100</v>
      </c>
      <c r="C15" s="15" t="s">
        <v>95</v>
      </c>
      <c r="E15" s="4"/>
      <c r="G15" s="4" t="s">
        <v>44</v>
      </c>
      <c r="I15" s="4" t="s">
        <v>128</v>
      </c>
      <c r="K15" s="4"/>
    </row>
    <row r="16" spans="2:11" x14ac:dyDescent="0.3">
      <c r="B16" s="4" t="s">
        <v>101</v>
      </c>
      <c r="C16" s="15" t="s">
        <v>95</v>
      </c>
      <c r="E16" s="4"/>
      <c r="G16" s="4" t="s">
        <v>45</v>
      </c>
      <c r="I16" s="4" t="s">
        <v>20</v>
      </c>
      <c r="K16" s="4"/>
    </row>
    <row r="17" spans="2:11" x14ac:dyDescent="0.3">
      <c r="B17" s="4" t="s">
        <v>102</v>
      </c>
      <c r="C17" s="15" t="s">
        <v>95</v>
      </c>
      <c r="E17" s="4"/>
      <c r="G17" s="4" t="s">
        <v>46</v>
      </c>
      <c r="I17" s="4" t="s">
        <v>131</v>
      </c>
      <c r="K17" s="4"/>
    </row>
    <row r="18" spans="2:11" x14ac:dyDescent="0.3">
      <c r="B18" s="4" t="s">
        <v>103</v>
      </c>
      <c r="C18" s="15" t="s">
        <v>95</v>
      </c>
      <c r="E18" s="4"/>
      <c r="G18" s="4" t="s">
        <v>47</v>
      </c>
      <c r="I18" s="4" t="s">
        <v>134</v>
      </c>
      <c r="K18" s="4"/>
    </row>
    <row r="19" spans="2:11" x14ac:dyDescent="0.3">
      <c r="B19" s="4" t="s">
        <v>104</v>
      </c>
      <c r="C19" s="15" t="s">
        <v>95</v>
      </c>
      <c r="E19" s="4"/>
      <c r="G19" s="4" t="s">
        <v>48</v>
      </c>
      <c r="I19" s="4" t="s">
        <v>129</v>
      </c>
      <c r="K19" s="4"/>
    </row>
    <row r="20" spans="2:11" x14ac:dyDescent="0.3">
      <c r="B20" s="4" t="s">
        <v>105</v>
      </c>
      <c r="C20" s="15" t="s">
        <v>95</v>
      </c>
      <c r="E20" s="4"/>
      <c r="G20" s="4" t="s">
        <v>49</v>
      </c>
      <c r="I20" s="4" t="s">
        <v>140</v>
      </c>
      <c r="K20" s="4"/>
    </row>
    <row r="21" spans="2:11" x14ac:dyDescent="0.3">
      <c r="B21" s="4" t="s">
        <v>106</v>
      </c>
      <c r="C21" s="15" t="s">
        <v>95</v>
      </c>
      <c r="E21" s="4"/>
      <c r="G21" s="4" t="s">
        <v>50</v>
      </c>
      <c r="I21" s="4" t="s">
        <v>143</v>
      </c>
      <c r="K21" s="4"/>
    </row>
    <row r="22" spans="2:11" x14ac:dyDescent="0.3">
      <c r="B22" s="4" t="s">
        <v>107</v>
      </c>
      <c r="C22" s="15" t="s">
        <v>95</v>
      </c>
      <c r="E22" s="4"/>
      <c r="G22" s="4" t="s">
        <v>51</v>
      </c>
      <c r="I22" s="4" t="s">
        <v>136</v>
      </c>
      <c r="K22" s="4"/>
    </row>
    <row r="23" spans="2:11" x14ac:dyDescent="0.3">
      <c r="B23" s="4" t="s">
        <v>108</v>
      </c>
      <c r="C23" s="15" t="s">
        <v>95</v>
      </c>
      <c r="E23" s="4"/>
      <c r="G23" s="4" t="s">
        <v>52</v>
      </c>
      <c r="I23" s="4"/>
      <c r="K23" s="4"/>
    </row>
    <row r="24" spans="2:11" x14ac:dyDescent="0.3">
      <c r="B24" s="4" t="s">
        <v>109</v>
      </c>
      <c r="C24" s="15" t="s">
        <v>95</v>
      </c>
      <c r="E24" s="4"/>
      <c r="G24" s="4" t="s">
        <v>53</v>
      </c>
      <c r="I24" s="4"/>
      <c r="K24" s="4"/>
    </row>
    <row r="25" spans="2:11" x14ac:dyDescent="0.3">
      <c r="B25" s="4" t="s">
        <v>110</v>
      </c>
      <c r="C25" s="15" t="s">
        <v>95</v>
      </c>
      <c r="E25" s="4"/>
      <c r="G25" s="4"/>
      <c r="I25" s="4"/>
      <c r="K25" s="4"/>
    </row>
    <row r="26" spans="2:11" x14ac:dyDescent="0.3">
      <c r="B26" s="4" t="s">
        <v>111</v>
      </c>
      <c r="C26" s="15" t="s">
        <v>95</v>
      </c>
      <c r="E26" s="4"/>
      <c r="G26" s="4"/>
      <c r="I26" s="4"/>
      <c r="K26" s="4"/>
    </row>
    <row r="27" spans="2:11" x14ac:dyDescent="0.3">
      <c r="B27" s="4" t="s">
        <v>112</v>
      </c>
      <c r="C27" s="15" t="s">
        <v>95</v>
      </c>
      <c r="E27" s="4"/>
      <c r="G27" s="4"/>
      <c r="I27" s="4"/>
      <c r="K27" s="4"/>
    </row>
    <row r="28" spans="2:11" x14ac:dyDescent="0.3">
      <c r="B28" s="4" t="s">
        <v>14</v>
      </c>
      <c r="C28" s="15" t="s">
        <v>95</v>
      </c>
      <c r="E28" s="4"/>
      <c r="G28" s="4"/>
      <c r="I28" s="4"/>
      <c r="K28" s="4"/>
    </row>
    <row r="29" spans="2:11" x14ac:dyDescent="0.3">
      <c r="B29" s="4" t="s">
        <v>13</v>
      </c>
      <c r="C29" s="15" t="s">
        <v>95</v>
      </c>
      <c r="E29" s="4"/>
      <c r="G29" s="4"/>
      <c r="I29" s="4"/>
      <c r="K29" s="4"/>
    </row>
    <row r="30" spans="2:11" x14ac:dyDescent="0.3">
      <c r="B30" s="4" t="s">
        <v>15</v>
      </c>
      <c r="C30" s="15" t="s">
        <v>95</v>
      </c>
      <c r="E30" s="4"/>
      <c r="G30" s="4"/>
      <c r="I30" s="4"/>
      <c r="K30" s="4"/>
    </row>
    <row r="31" spans="2:11" x14ac:dyDescent="0.3">
      <c r="B31" s="4" t="s">
        <v>113</v>
      </c>
      <c r="C31" s="15" t="s">
        <v>95</v>
      </c>
      <c r="E31" s="4"/>
      <c r="G31" s="4"/>
      <c r="I31" s="4"/>
      <c r="K31" s="4"/>
    </row>
    <row r="32" spans="2:11" x14ac:dyDescent="0.3">
      <c r="B32" s="4" t="s">
        <v>114</v>
      </c>
      <c r="C32" s="15" t="s">
        <v>95</v>
      </c>
      <c r="E32" s="4"/>
      <c r="G32" s="4"/>
      <c r="I32" s="4"/>
      <c r="K32" s="4"/>
    </row>
    <row r="33" spans="2:11" x14ac:dyDescent="0.3">
      <c r="B33" s="4" t="s">
        <v>115</v>
      </c>
      <c r="C33" s="15" t="s">
        <v>95</v>
      </c>
      <c r="E33" s="4"/>
      <c r="G33" s="4"/>
      <c r="I33" s="4"/>
      <c r="K33" s="4"/>
    </row>
    <row r="34" spans="2:11" x14ac:dyDescent="0.3">
      <c r="B34" s="4" t="s">
        <v>116</v>
      </c>
      <c r="C34" s="15" t="s">
        <v>95</v>
      </c>
      <c r="E34" s="4"/>
      <c r="G34" s="4"/>
      <c r="I34" s="4"/>
      <c r="K34" s="4"/>
    </row>
    <row r="35" spans="2:11" x14ac:dyDescent="0.3">
      <c r="B35" s="4" t="s">
        <v>117</v>
      </c>
      <c r="C35" s="15" t="s">
        <v>95</v>
      </c>
    </row>
    <row r="36" spans="2:11" x14ac:dyDescent="0.3">
      <c r="B36" s="4" t="s">
        <v>118</v>
      </c>
      <c r="C36" s="15" t="s">
        <v>95</v>
      </c>
      <c r="E36" s="3" t="s">
        <v>153</v>
      </c>
    </row>
    <row r="37" spans="2:11" x14ac:dyDescent="0.3">
      <c r="B37" s="1" t="s">
        <v>119</v>
      </c>
      <c r="C37" s="15" t="s">
        <v>95</v>
      </c>
      <c r="E37"/>
    </row>
    <row r="38" spans="2:11" x14ac:dyDescent="0.3">
      <c r="B38" s="1" t="s">
        <v>120</v>
      </c>
      <c r="C38" s="15" t="s">
        <v>95</v>
      </c>
      <c r="E38"/>
    </row>
    <row r="39" spans="2:11" x14ac:dyDescent="0.3">
      <c r="B39" s="1" t="s">
        <v>121</v>
      </c>
      <c r="C39" s="15" t="s">
        <v>95</v>
      </c>
      <c r="E39"/>
    </row>
    <row r="40" spans="2:11" x14ac:dyDescent="0.3">
      <c r="B40" s="1" t="s">
        <v>65</v>
      </c>
      <c r="C40" s="15" t="s">
        <v>64</v>
      </c>
      <c r="E40"/>
    </row>
    <row r="41" spans="2:11" x14ac:dyDescent="0.3">
      <c r="B41" s="1" t="s">
        <v>66</v>
      </c>
      <c r="C41" s="15" t="s">
        <v>64</v>
      </c>
      <c r="E41"/>
    </row>
    <row r="42" spans="2:11" x14ac:dyDescent="0.3">
      <c r="B42" s="1" t="s">
        <v>67</v>
      </c>
      <c r="C42" s="15" t="s">
        <v>64</v>
      </c>
      <c r="E42"/>
    </row>
    <row r="43" spans="2:11" x14ac:dyDescent="0.3">
      <c r="B43" s="1" t="s">
        <v>6</v>
      </c>
      <c r="C43" s="15" t="s">
        <v>5</v>
      </c>
      <c r="E43"/>
    </row>
    <row r="44" spans="2:11" x14ac:dyDescent="0.3">
      <c r="B44" s="1" t="s">
        <v>7</v>
      </c>
      <c r="C44" s="15" t="s">
        <v>5</v>
      </c>
      <c r="E44"/>
    </row>
    <row r="45" spans="2:11" x14ac:dyDescent="0.3">
      <c r="B45" s="1" t="s">
        <v>60</v>
      </c>
      <c r="C45" s="15" t="s">
        <v>5</v>
      </c>
      <c r="E45"/>
    </row>
    <row r="46" spans="2:11" x14ac:dyDescent="0.3">
      <c r="B46" s="1" t="s">
        <v>61</v>
      </c>
      <c r="C46" s="15" t="s">
        <v>5</v>
      </c>
      <c r="E46"/>
    </row>
    <row r="47" spans="2:11" x14ac:dyDescent="0.3">
      <c r="B47" s="1" t="s">
        <v>62</v>
      </c>
      <c r="C47" s="15" t="s">
        <v>5</v>
      </c>
      <c r="E47"/>
    </row>
    <row r="48" spans="2:11" x14ac:dyDescent="0.3">
      <c r="B48" s="4" t="s">
        <v>63</v>
      </c>
      <c r="C48" s="15" t="s">
        <v>5</v>
      </c>
    </row>
    <row r="49" spans="2:3" x14ac:dyDescent="0.3">
      <c r="B49" s="4" t="s">
        <v>4</v>
      </c>
      <c r="C49" s="15" t="s">
        <v>5</v>
      </c>
    </row>
    <row r="50" spans="2:3" x14ac:dyDescent="0.3">
      <c r="B50" s="4" t="s">
        <v>3</v>
      </c>
      <c r="C50" s="15" t="s">
        <v>5</v>
      </c>
    </row>
    <row r="51" spans="2:3" x14ac:dyDescent="0.3">
      <c r="B51" s="4" t="s">
        <v>68</v>
      </c>
      <c r="C51" s="15" t="s">
        <v>18</v>
      </c>
    </row>
    <row r="52" spans="2:3" x14ac:dyDescent="0.3">
      <c r="B52" s="4" t="s">
        <v>69</v>
      </c>
      <c r="C52" s="15" t="s">
        <v>18</v>
      </c>
    </row>
    <row r="53" spans="2:3" x14ac:dyDescent="0.3">
      <c r="B53" s="4" t="s">
        <v>70</v>
      </c>
      <c r="C53" s="15" t="s">
        <v>18</v>
      </c>
    </row>
    <row r="54" spans="2:3" x14ac:dyDescent="0.3">
      <c r="B54" s="4" t="s">
        <v>71</v>
      </c>
      <c r="C54" s="15" t="s">
        <v>18</v>
      </c>
    </row>
    <row r="55" spans="2:3" x14ac:dyDescent="0.3">
      <c r="B55" s="4" t="s">
        <v>72</v>
      </c>
      <c r="C55" s="15" t="s">
        <v>18</v>
      </c>
    </row>
    <row r="56" spans="2:3" x14ac:dyDescent="0.3">
      <c r="B56" s="4" t="s">
        <v>73</v>
      </c>
      <c r="C56" s="15" t="s">
        <v>18</v>
      </c>
    </row>
    <row r="57" spans="2:3" x14ac:dyDescent="0.3">
      <c r="B57" s="4" t="s">
        <v>74</v>
      </c>
      <c r="C57" s="15" t="s">
        <v>18</v>
      </c>
    </row>
    <row r="58" spans="2:3" x14ac:dyDescent="0.3">
      <c r="B58" s="4" t="s">
        <v>75</v>
      </c>
      <c r="C58" s="15" t="s">
        <v>18</v>
      </c>
    </row>
    <row r="59" spans="2:3" x14ac:dyDescent="0.3">
      <c r="B59" s="4" t="s">
        <v>76</v>
      </c>
      <c r="C59" s="15" t="s">
        <v>18</v>
      </c>
    </row>
    <row r="60" spans="2:3" x14ac:dyDescent="0.3">
      <c r="B60" s="4" t="s">
        <v>77</v>
      </c>
      <c r="C60" s="15" t="s">
        <v>18</v>
      </c>
    </row>
    <row r="61" spans="2:3" x14ac:dyDescent="0.3">
      <c r="B61" s="4" t="s">
        <v>78</v>
      </c>
      <c r="C61" s="15" t="s">
        <v>18</v>
      </c>
    </row>
    <row r="62" spans="2:3" x14ac:dyDescent="0.3">
      <c r="B62" s="4" t="s">
        <v>79</v>
      </c>
      <c r="C62" s="15" t="s">
        <v>18</v>
      </c>
    </row>
    <row r="63" spans="2:3" x14ac:dyDescent="0.3">
      <c r="B63" s="4" t="s">
        <v>80</v>
      </c>
      <c r="C63" s="15" t="s">
        <v>18</v>
      </c>
    </row>
    <row r="64" spans="2:3" x14ac:dyDescent="0.3">
      <c r="B64" s="4" t="s">
        <v>81</v>
      </c>
      <c r="C64" s="15" t="s">
        <v>18</v>
      </c>
    </row>
    <row r="65" spans="2:3" x14ac:dyDescent="0.3">
      <c r="B65" s="4" t="s">
        <v>82</v>
      </c>
      <c r="C65" s="15" t="s">
        <v>18</v>
      </c>
    </row>
    <row r="66" spans="2:3" x14ac:dyDescent="0.3">
      <c r="B66" s="4" t="s">
        <v>83</v>
      </c>
      <c r="C66" s="15" t="s">
        <v>18</v>
      </c>
    </row>
    <row r="67" spans="2:3" x14ac:dyDescent="0.3">
      <c r="B67" s="4" t="s">
        <v>84</v>
      </c>
      <c r="C67" s="15" t="s">
        <v>18</v>
      </c>
    </row>
    <row r="68" spans="2:3" x14ac:dyDescent="0.3">
      <c r="B68" s="4" t="s">
        <v>85</v>
      </c>
      <c r="C68" s="15" t="s">
        <v>18</v>
      </c>
    </row>
    <row r="69" spans="2:3" x14ac:dyDescent="0.3">
      <c r="B69" s="4" t="s">
        <v>86</v>
      </c>
      <c r="C69" s="15" t="s">
        <v>18</v>
      </c>
    </row>
    <row r="70" spans="2:3" x14ac:dyDescent="0.3">
      <c r="B70" s="4" t="s">
        <v>87</v>
      </c>
      <c r="C70" s="15" t="s">
        <v>18</v>
      </c>
    </row>
    <row r="71" spans="2:3" x14ac:dyDescent="0.3">
      <c r="B71" s="4" t="s">
        <v>88</v>
      </c>
      <c r="C71" s="15" t="s">
        <v>18</v>
      </c>
    </row>
    <row r="72" spans="2:3" x14ac:dyDescent="0.3">
      <c r="B72" s="4" t="s">
        <v>89</v>
      </c>
      <c r="C72" s="15" t="s">
        <v>18</v>
      </c>
    </row>
    <row r="73" spans="2:3" x14ac:dyDescent="0.3">
      <c r="B73" s="4" t="s">
        <v>90</v>
      </c>
      <c r="C73" s="15" t="s">
        <v>18</v>
      </c>
    </row>
    <row r="74" spans="2:3" x14ac:dyDescent="0.3">
      <c r="B74" s="4" t="s">
        <v>91</v>
      </c>
      <c r="C74" s="15" t="s">
        <v>18</v>
      </c>
    </row>
    <row r="75" spans="2:3" x14ac:dyDescent="0.3">
      <c r="B75" s="4" t="s">
        <v>92</v>
      </c>
      <c r="C75" s="15" t="s">
        <v>18</v>
      </c>
    </row>
    <row r="76" spans="2:3" x14ac:dyDescent="0.3">
      <c r="B76" s="4" t="s">
        <v>93</v>
      </c>
      <c r="C76" s="15" t="s">
        <v>18</v>
      </c>
    </row>
    <row r="77" spans="2:3" x14ac:dyDescent="0.3">
      <c r="B77" s="4" t="s">
        <v>94</v>
      </c>
      <c r="C77" s="15" t="s">
        <v>18</v>
      </c>
    </row>
    <row r="78" spans="2:3" x14ac:dyDescent="0.3">
      <c r="B78" s="4" t="s">
        <v>56</v>
      </c>
      <c r="C78" s="15" t="s">
        <v>55</v>
      </c>
    </row>
    <row r="79" spans="2:3" x14ac:dyDescent="0.3">
      <c r="B79" s="4" t="s">
        <v>57</v>
      </c>
      <c r="C79" s="15" t="s">
        <v>55</v>
      </c>
    </row>
    <row r="80" spans="2:3" x14ac:dyDescent="0.3">
      <c r="B80" s="4" t="s">
        <v>58</v>
      </c>
      <c r="C80" s="15" t="s">
        <v>55</v>
      </c>
    </row>
    <row r="81" spans="2:3" x14ac:dyDescent="0.3">
      <c r="B81" s="4" t="s">
        <v>59</v>
      </c>
      <c r="C81" s="15" t="s">
        <v>55</v>
      </c>
    </row>
    <row r="82" spans="2:3" x14ac:dyDescent="0.3">
      <c r="B82" s="4" t="s">
        <v>8</v>
      </c>
      <c r="C82" s="15" t="s">
        <v>55</v>
      </c>
    </row>
    <row r="83" spans="2:3" x14ac:dyDescent="0.3">
      <c r="B83" s="4" t="s">
        <v>9</v>
      </c>
      <c r="C83" s="15" t="s">
        <v>55</v>
      </c>
    </row>
    <row r="84" spans="2:3" x14ac:dyDescent="0.3">
      <c r="B84" s="4" t="s">
        <v>10</v>
      </c>
      <c r="C84" s="15" t="s">
        <v>55</v>
      </c>
    </row>
    <row r="85" spans="2:3" x14ac:dyDescent="0.3">
      <c r="B85" s="4" t="s">
        <v>11</v>
      </c>
      <c r="C85" s="15" t="s">
        <v>55</v>
      </c>
    </row>
    <row r="86" spans="2:3" x14ac:dyDescent="0.3">
      <c r="B86" s="4" t="s">
        <v>12</v>
      </c>
      <c r="C86" s="15" t="s">
        <v>55</v>
      </c>
    </row>
    <row r="87" spans="2:3" x14ac:dyDescent="0.3">
      <c r="B87" s="4"/>
      <c r="C87" s="15"/>
    </row>
    <row r="88" spans="2:3" x14ac:dyDescent="0.3">
      <c r="B88" s="4"/>
      <c r="C88" s="15"/>
    </row>
    <row r="89" spans="2:3" x14ac:dyDescent="0.3">
      <c r="B89" s="4"/>
      <c r="C89" s="15"/>
    </row>
    <row r="90" spans="2:3" x14ac:dyDescent="0.3">
      <c r="B90" s="4"/>
      <c r="C90" s="15"/>
    </row>
    <row r="91" spans="2:3" x14ac:dyDescent="0.3">
      <c r="B91" s="4"/>
      <c r="C91" s="15"/>
    </row>
    <row r="92" spans="2:3" x14ac:dyDescent="0.3">
      <c r="B92" s="4"/>
      <c r="C92" s="15"/>
    </row>
    <row r="93" spans="2:3" x14ac:dyDescent="0.3">
      <c r="B93" s="4"/>
      <c r="C93" s="15"/>
    </row>
    <row r="94" spans="2:3" x14ac:dyDescent="0.3">
      <c r="B94" s="4"/>
      <c r="C94" s="15"/>
    </row>
    <row r="95" spans="2:3" x14ac:dyDescent="0.3">
      <c r="B95" s="4"/>
      <c r="C95" s="15"/>
    </row>
    <row r="96" spans="2:3" x14ac:dyDescent="0.3">
      <c r="B96" s="4"/>
      <c r="C96" s="15"/>
    </row>
    <row r="97" spans="2:3" x14ac:dyDescent="0.3">
      <c r="B97" s="4"/>
      <c r="C97" s="15"/>
    </row>
    <row r="98" spans="2:3" x14ac:dyDescent="0.3">
      <c r="B98" s="4"/>
      <c r="C98" s="15"/>
    </row>
    <row r="99" spans="2:3" x14ac:dyDescent="0.3">
      <c r="B99" s="4"/>
      <c r="C99" s="15"/>
    </row>
    <row r="100" spans="2:3" x14ac:dyDescent="0.3">
      <c r="B100" s="4"/>
      <c r="C100" s="15"/>
    </row>
    <row r="101" spans="2:3" x14ac:dyDescent="0.3">
      <c r="B101" s="4"/>
      <c r="C101" s="15"/>
    </row>
    <row r="102" spans="2:3" x14ac:dyDescent="0.3">
      <c r="B102" s="4"/>
      <c r="C102" s="15"/>
    </row>
    <row r="103" spans="2:3" x14ac:dyDescent="0.3">
      <c r="B103" s="4"/>
      <c r="C103" s="15"/>
    </row>
    <row r="104" spans="2:3" x14ac:dyDescent="0.3">
      <c r="B104" s="4"/>
      <c r="C104" s="15"/>
    </row>
    <row r="105" spans="2:3" x14ac:dyDescent="0.3">
      <c r="B105" s="4"/>
      <c r="C105" s="15"/>
    </row>
    <row r="106" spans="2:3" x14ac:dyDescent="0.3">
      <c r="B106" s="4"/>
      <c r="C106" s="15"/>
    </row>
    <row r="107" spans="2:3" x14ac:dyDescent="0.3">
      <c r="B107" s="4"/>
      <c r="C107" s="15"/>
    </row>
    <row r="108" spans="2:3" x14ac:dyDescent="0.3">
      <c r="B108" s="4"/>
      <c r="C108" s="15"/>
    </row>
    <row r="109" spans="2:3" x14ac:dyDescent="0.3">
      <c r="B109" s="4"/>
      <c r="C109" s="15"/>
    </row>
    <row r="110" spans="2:3" x14ac:dyDescent="0.3">
      <c r="B110" s="4"/>
      <c r="C110" s="15"/>
    </row>
    <row r="111" spans="2:3" x14ac:dyDescent="0.3">
      <c r="B111" s="4"/>
      <c r="C111" s="15"/>
    </row>
    <row r="112" spans="2:3" x14ac:dyDescent="0.3">
      <c r="B112" s="4"/>
      <c r="C112" s="15"/>
    </row>
    <row r="113" spans="2:3" x14ac:dyDescent="0.3">
      <c r="B113" s="4"/>
      <c r="C113" s="15"/>
    </row>
    <row r="114" spans="2:3" x14ac:dyDescent="0.3">
      <c r="B114" s="4"/>
      <c r="C114" s="15"/>
    </row>
    <row r="115" spans="2:3" x14ac:dyDescent="0.3">
      <c r="B115" s="4"/>
      <c r="C115" s="15"/>
    </row>
    <row r="116" spans="2:3" x14ac:dyDescent="0.3">
      <c r="B116" s="4"/>
      <c r="C116" s="15"/>
    </row>
    <row r="117" spans="2:3" x14ac:dyDescent="0.3">
      <c r="B117" s="4"/>
      <c r="C117" s="15"/>
    </row>
    <row r="118" spans="2:3" x14ac:dyDescent="0.3">
      <c r="B118" s="4"/>
      <c r="C118" s="15"/>
    </row>
    <row r="119" spans="2:3" x14ac:dyDescent="0.3">
      <c r="B119" s="4"/>
      <c r="C119" s="15"/>
    </row>
    <row r="120" spans="2:3" x14ac:dyDescent="0.3">
      <c r="B120" s="4"/>
      <c r="C120" s="15"/>
    </row>
    <row r="121" spans="2:3" x14ac:dyDescent="0.3">
      <c r="B121" s="4"/>
      <c r="C121" s="15"/>
    </row>
    <row r="122" spans="2:3" x14ac:dyDescent="0.3">
      <c r="B122" s="4"/>
      <c r="C122" s="15"/>
    </row>
    <row r="123" spans="2:3" x14ac:dyDescent="0.3">
      <c r="B123" s="4"/>
      <c r="C123" s="15"/>
    </row>
    <row r="124" spans="2:3" x14ac:dyDescent="0.3">
      <c r="B124" s="4"/>
      <c r="C124" s="15"/>
    </row>
    <row r="125" spans="2:3" x14ac:dyDescent="0.3">
      <c r="B125" s="4"/>
      <c r="C125" s="15"/>
    </row>
    <row r="126" spans="2:3" x14ac:dyDescent="0.3">
      <c r="B126" s="4"/>
      <c r="C126" s="15"/>
    </row>
    <row r="127" spans="2:3" x14ac:dyDescent="0.3">
      <c r="B127" s="4"/>
      <c r="C127" s="15"/>
    </row>
    <row r="128" spans="2:3" x14ac:dyDescent="0.3">
      <c r="B128" s="4"/>
      <c r="C128" s="15"/>
    </row>
    <row r="129" spans="2:3" x14ac:dyDescent="0.3">
      <c r="B129" s="4"/>
      <c r="C129" s="15"/>
    </row>
    <row r="130" spans="2:3" x14ac:dyDescent="0.3">
      <c r="B130" s="4"/>
      <c r="C130" s="15"/>
    </row>
    <row r="131" spans="2:3" x14ac:dyDescent="0.3">
      <c r="B131" s="4"/>
      <c r="C131" s="15"/>
    </row>
    <row r="132" spans="2:3" x14ac:dyDescent="0.3">
      <c r="B132" s="4"/>
      <c r="C132" s="15"/>
    </row>
    <row r="133" spans="2:3" x14ac:dyDescent="0.3">
      <c r="B133" s="4"/>
      <c r="C133" s="15"/>
    </row>
    <row r="134" spans="2:3" x14ac:dyDescent="0.3">
      <c r="B134" s="4"/>
      <c r="C134" s="15"/>
    </row>
    <row r="135" spans="2:3" x14ac:dyDescent="0.3">
      <c r="B135" s="4"/>
      <c r="C135" s="15"/>
    </row>
    <row r="136" spans="2:3" x14ac:dyDescent="0.3">
      <c r="B136" s="4"/>
      <c r="C136" s="15"/>
    </row>
    <row r="137" spans="2:3" x14ac:dyDescent="0.3">
      <c r="B137" s="4"/>
      <c r="C137" s="15"/>
    </row>
    <row r="138" spans="2:3" x14ac:dyDescent="0.3">
      <c r="B138" s="4"/>
      <c r="C138" s="15"/>
    </row>
    <row r="139" spans="2:3" x14ac:dyDescent="0.3">
      <c r="B139" s="4"/>
      <c r="C139" s="15"/>
    </row>
    <row r="140" spans="2:3" x14ac:dyDescent="0.3">
      <c r="B140" s="4"/>
      <c r="C140" s="15"/>
    </row>
  </sheetData>
  <dataValidations count="1">
    <dataValidation type="list" allowBlank="1" showInputMessage="1" showErrorMessage="1" sqref="C5:C140" xr:uid="{00000000-0002-0000-0200-000000000000}">
      <formula1>Category</formula1>
    </dataValidation>
  </dataValidations>
  <pageMargins left="0.7" right="0.7" top="0.75" bottom="0.75" header="0.3" footer="0.3"/>
  <pageSetup scale="91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4:O41"/>
  <sheetViews>
    <sheetView tabSelected="1" zoomScale="80" zoomScaleNormal="80" workbookViewId="0">
      <selection activeCell="A14" sqref="A14"/>
    </sheetView>
  </sheetViews>
  <sheetFormatPr defaultColWidth="12.44140625" defaultRowHeight="15.6" customHeight="1" x14ac:dyDescent="0.3"/>
  <cols>
    <col min="1" max="1" width="12.44140625" style="32" customWidth="1"/>
    <col min="2" max="16384" width="12.44140625" style="32"/>
  </cols>
  <sheetData>
    <row r="4" spans="1:1" s="34" customFormat="1" ht="15.6" customHeight="1" x14ac:dyDescent="0.5">
      <c r="A4" s="33"/>
    </row>
    <row r="5" spans="1:1" s="34" customFormat="1" ht="15.6" customHeight="1" x14ac:dyDescent="0.5">
      <c r="A5" s="35"/>
    </row>
    <row r="40" spans="1:15" s="34" customFormat="1" ht="30" customHeight="1" x14ac:dyDescent="0.5">
      <c r="A40" s="46" t="s">
        <v>151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36"/>
      <c r="N40" s="36"/>
      <c r="O40" s="36"/>
    </row>
    <row r="41" spans="1:15" s="34" customFormat="1" ht="30" customHeight="1" x14ac:dyDescent="0.5">
      <c r="A41" s="47" t="s">
        <v>152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37"/>
      <c r="N41" s="37"/>
      <c r="O41" s="37"/>
    </row>
  </sheetData>
  <mergeCells count="2">
    <mergeCell ref="A40:L40"/>
    <mergeCell ref="A41:L41"/>
  </mergeCells>
  <hyperlinks>
    <hyperlink ref="A41" r:id="rId1" display="https://exceltemplate.net/support/ " xr:uid="{00000000-0004-0000-0300-000000000000}"/>
    <hyperlink ref="A41:L41" r:id="rId2" display="https://exceltemplate.net/support/" xr:uid="{00000000-0004-0000-03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4:O41"/>
  <sheetViews>
    <sheetView topLeftCell="A13" zoomScale="80" zoomScaleNormal="80" workbookViewId="0">
      <selection activeCell="A33" sqref="A33"/>
    </sheetView>
  </sheetViews>
  <sheetFormatPr defaultColWidth="12.44140625" defaultRowHeight="15.6" customHeight="1" x14ac:dyDescent="0.3"/>
  <cols>
    <col min="1" max="1" width="12.44140625" style="32" customWidth="1"/>
    <col min="2" max="16384" width="12.44140625" style="32"/>
  </cols>
  <sheetData>
    <row r="4" spans="1:1" s="34" customFormat="1" ht="15.6" customHeight="1" x14ac:dyDescent="0.5">
      <c r="A4" s="33"/>
    </row>
    <row r="5" spans="1:1" s="34" customFormat="1" ht="15.6" customHeight="1" x14ac:dyDescent="0.5">
      <c r="A5" s="35"/>
    </row>
    <row r="40" spans="1:15" s="34" customFormat="1" ht="30" customHeight="1" x14ac:dyDescent="0.5">
      <c r="A40" s="46" t="s">
        <v>151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36"/>
      <c r="N40" s="36"/>
      <c r="O40" s="36"/>
    </row>
    <row r="41" spans="1:15" s="34" customFormat="1" ht="30" customHeight="1" x14ac:dyDescent="0.5">
      <c r="A41" s="47" t="s">
        <v>152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37"/>
      <c r="N41" s="37"/>
      <c r="O41" s="37"/>
    </row>
  </sheetData>
  <mergeCells count="2">
    <mergeCell ref="A40:L40"/>
    <mergeCell ref="A41:L41"/>
  </mergeCells>
  <hyperlinks>
    <hyperlink ref="A41" r:id="rId1" display="https://exceltemplate.net/support/ " xr:uid="{00000000-0004-0000-0400-000000000000}"/>
    <hyperlink ref="A41:L41" r:id="rId2" display="https://exceltemplate.net/support/" xr:uid="{00000000-0004-0000-04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Cost Summary</vt:lpstr>
      <vt:lpstr>Grocery List</vt:lpstr>
      <vt:lpstr>Setup</vt:lpstr>
      <vt:lpstr>Copyright</vt:lpstr>
      <vt:lpstr>Copyright-2</vt:lpstr>
      <vt:lpstr>Brand</vt:lpstr>
      <vt:lpstr>Category</vt:lpstr>
      <vt:lpstr>GroceryCostTable</vt:lpstr>
      <vt:lpstr>GroceryItemTable</vt:lpstr>
      <vt:lpstr>GroceryLowestPriceRef</vt:lpstr>
      <vt:lpstr>GroceryMartRef</vt:lpstr>
      <vt:lpstr>GroceryPriceTable</vt:lpstr>
      <vt:lpstr>ItemName</vt:lpstr>
      <vt:lpstr>LowestPrice</vt:lpstr>
      <vt:lpstr>Mart</vt:lpstr>
      <vt:lpstr>MartRef</vt:lpstr>
      <vt:lpstr>'Grocery List'!Print_Area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2019-02-16T12:59:33Z</cp:lastPrinted>
  <dcterms:created xsi:type="dcterms:W3CDTF">2019-02-14T06:18:30Z</dcterms:created>
  <dcterms:modified xsi:type="dcterms:W3CDTF">2020-10-10T16:56:38Z</dcterms:modified>
</cp:coreProperties>
</file>