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ed Nayab Haider\Desktop\Excel S3\finance\saving\"/>
    </mc:Choice>
  </mc:AlternateContent>
  <bookViews>
    <workbookView xWindow="0" yWindow="0" windowWidth="23040" windowHeight="9336"/>
  </bookViews>
  <sheets>
    <sheet name="Annuity" sheetId="1" r:id="rId1"/>
    <sheet name="Sheet2" sheetId="2" r:id="rId2"/>
    <sheet name="Sheet3" sheetId="3" r:id="rId3"/>
    <sheet name="Copyright" sheetId="4" r:id="rId4"/>
    <sheet name="Copyright-2" sheetId="5" state="hidden" r:id="rId5"/>
  </sheets>
  <calcPr calcId="162913"/>
</workbook>
</file>

<file path=xl/calcChain.xml><?xml version="1.0" encoding="utf-8"?>
<calcChain xmlns="http://schemas.openxmlformats.org/spreadsheetml/2006/main">
  <c r="E31" i="1" l="1"/>
  <c r="D33" i="1" s="1"/>
  <c r="E20" i="1"/>
  <c r="D22" i="1" s="1"/>
  <c r="E10" i="1"/>
  <c r="D12" i="1" s="1"/>
  <c r="D23" i="1" l="1"/>
</calcChain>
</file>

<file path=xl/sharedStrings.xml><?xml version="1.0" encoding="utf-8"?>
<sst xmlns="http://schemas.openxmlformats.org/spreadsheetml/2006/main" count="37" uniqueCount="20">
  <si>
    <t>INITIAL PRINCIPAL</t>
  </si>
  <si>
    <t>Annual Payment</t>
  </si>
  <si>
    <t>Interest Rate</t>
  </si>
  <si>
    <t>Inflation Rate</t>
  </si>
  <si>
    <t># of Withdrawal Years</t>
  </si>
  <si>
    <t>Payment Type</t>
  </si>
  <si>
    <t>Initial Principal</t>
  </si>
  <si>
    <t>ANNUITY PAYMENT</t>
  </si>
  <si>
    <t>First Annual Payment</t>
  </si>
  <si>
    <t>Last Annual Payment</t>
  </si>
  <si>
    <t># OF PAYMENT YEARS</t>
  </si>
  <si>
    <t>Withdrawal Amount in 1st Year</t>
  </si>
  <si>
    <t># of Years</t>
  </si>
  <si>
    <t>ANNUITY CALCULATOR</t>
  </si>
  <si>
    <t>Beginning of Year</t>
  </si>
  <si>
    <t>%</t>
  </si>
  <si>
    <t>End of Year</t>
  </si>
  <si>
    <t xml:space="preserve">Need help? Please see this page for information: </t>
  </si>
  <si>
    <t>https://exceltemplate.net/support/</t>
  </si>
  <si>
    <t>© 2021 - ExcelTemplate.net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</si>
</sst>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6" tint="0.79998168889431442"/>
      <name val="Calibri"/>
      <family val="2"/>
      <scheme val="minor"/>
    </font>
    <font>
      <sz val="11"/>
      <color theme="9" tint="0.79998168889431442"/>
      <name val="Calibri"/>
      <family val="2"/>
      <scheme val="minor"/>
    </font>
    <font>
      <sz val="11"/>
      <color theme="3" tint="0.79998168889431442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Arial"/>
      <family val="2"/>
    </font>
    <font>
      <sz val="2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20"/>
      <color theme="10"/>
      <name val="Arial"/>
      <family val="2"/>
    </font>
    <font>
      <u/>
      <sz val="20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9" tint="-0.499984740745262"/>
      </left>
      <right style="medium">
        <color theme="9" tint="-0.499984740745262"/>
      </right>
      <top style="medium">
        <color theme="9" tint="-0.499984740745262"/>
      </top>
      <bottom style="medium">
        <color theme="9" tint="-0.499984740745262"/>
      </bottom>
      <diagonal/>
    </border>
    <border>
      <left style="medium">
        <color theme="3" tint="-0.24994659260841701"/>
      </left>
      <right style="medium">
        <color theme="3" tint="-0.24994659260841701"/>
      </right>
      <top style="medium">
        <color theme="3" tint="-0.24994659260841701"/>
      </top>
      <bottom style="medium">
        <color theme="3" tint="-0.24994659260841701"/>
      </bottom>
      <diagonal/>
    </border>
    <border>
      <left style="medium">
        <color theme="6" tint="-0.24994659260841701"/>
      </left>
      <right style="medium">
        <color theme="6" tint="-0.24994659260841701"/>
      </right>
      <top style="medium">
        <color theme="6" tint="-0.24994659260841701"/>
      </top>
      <bottom style="medium">
        <color theme="6" tint="-0.2499465926084170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9" fillId="0" borderId="0"/>
    <xf numFmtId="0" fontId="12" fillId="0" borderId="0" applyNumberFormat="0" applyFill="0" applyBorder="0" applyAlignment="0" applyProtection="0"/>
  </cellStyleXfs>
  <cellXfs count="39">
    <xf numFmtId="0" fontId="0" fillId="0" borderId="0" xfId="0"/>
    <xf numFmtId="0" fontId="2" fillId="0" borderId="0" xfId="0" applyFont="1"/>
    <xf numFmtId="0" fontId="2" fillId="3" borderId="0" xfId="0" applyFont="1" applyFill="1"/>
    <xf numFmtId="0" fontId="0" fillId="3" borderId="0" xfId="0" applyFill="1"/>
    <xf numFmtId="0" fontId="2" fillId="4" borderId="0" xfId="0" applyFont="1" applyFill="1"/>
    <xf numFmtId="0" fontId="0" fillId="4" borderId="0" xfId="0" applyFill="1"/>
    <xf numFmtId="0" fontId="2" fillId="5" borderId="0" xfId="0" applyFont="1" applyFill="1"/>
    <xf numFmtId="0" fontId="0" fillId="5" borderId="0" xfId="0" applyFill="1"/>
    <xf numFmtId="0" fontId="3" fillId="0" borderId="0" xfId="0" applyFont="1"/>
    <xf numFmtId="0" fontId="0" fillId="0" borderId="1" xfId="0" applyFill="1" applyBorder="1" applyAlignment="1">
      <alignment horizontal="center" vertical="center"/>
    </xf>
    <xf numFmtId="164" fontId="0" fillId="0" borderId="1" xfId="1" applyFont="1" applyFill="1" applyBorder="1"/>
    <xf numFmtId="164" fontId="0" fillId="0" borderId="1" xfId="1" applyFont="1" applyFill="1" applyBorder="1" applyAlignment="1">
      <alignment horizontal="right" indent="1"/>
    </xf>
    <xf numFmtId="165" fontId="0" fillId="0" borderId="1" xfId="1" applyNumberFormat="1" applyFont="1" applyFill="1" applyBorder="1" applyAlignment="1">
      <alignment horizontal="right" indent="1"/>
    </xf>
    <xf numFmtId="0" fontId="0" fillId="0" borderId="0" xfId="0" applyAlignment="1">
      <alignment horizontal="left" indent="1"/>
    </xf>
    <xf numFmtId="0" fontId="0" fillId="4" borderId="0" xfId="0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0" fillId="3" borderId="0" xfId="0" applyFill="1" applyAlignment="1">
      <alignment horizontal="left" indent="1"/>
    </xf>
    <xf numFmtId="0" fontId="6" fillId="4" borderId="0" xfId="0" applyFont="1" applyFill="1" applyAlignment="1">
      <alignment horizontal="left" indent="1"/>
    </xf>
    <xf numFmtId="0" fontId="7" fillId="3" borderId="0" xfId="0" applyFont="1" applyFill="1" applyAlignment="1">
      <alignment horizontal="left" indent="1"/>
    </xf>
    <xf numFmtId="0" fontId="8" fillId="5" borderId="0" xfId="0" applyFont="1" applyFill="1" applyAlignment="1">
      <alignment horizontal="left" indent="1"/>
    </xf>
    <xf numFmtId="164" fontId="2" fillId="6" borderId="4" xfId="1" applyFont="1" applyFill="1" applyBorder="1"/>
    <xf numFmtId="0" fontId="2" fillId="4" borderId="4" xfId="0" applyFont="1" applyFill="1" applyBorder="1" applyAlignment="1">
      <alignment vertical="center"/>
    </xf>
    <xf numFmtId="0" fontId="2" fillId="5" borderId="3" xfId="0" applyFont="1" applyFill="1" applyBorder="1"/>
    <xf numFmtId="0" fontId="2" fillId="3" borderId="2" xfId="0" applyFont="1" applyFill="1" applyBorder="1"/>
    <xf numFmtId="164" fontId="2" fillId="7" borderId="3" xfId="1" applyFont="1" applyFill="1" applyBorder="1"/>
    <xf numFmtId="164" fontId="2" fillId="7" borderId="3" xfId="0" applyNumberFormat="1" applyFont="1" applyFill="1" applyBorder="1"/>
    <xf numFmtId="164" fontId="0" fillId="2" borderId="2" xfId="1" applyFont="1" applyFill="1" applyBorder="1"/>
    <xf numFmtId="0" fontId="10" fillId="0" borderId="0" xfId="2" applyFont="1"/>
    <xf numFmtId="0" fontId="11" fillId="0" borderId="0" xfId="2" applyFont="1"/>
    <xf numFmtId="0" fontId="13" fillId="0" borderId="0" xfId="3" applyFont="1"/>
    <xf numFmtId="0" fontId="10" fillId="0" borderId="0" xfId="2" applyFont="1" applyAlignment="1"/>
    <xf numFmtId="0" fontId="14" fillId="0" borderId="0" xfId="3" applyFont="1" applyAlignment="1"/>
    <xf numFmtId="0" fontId="9" fillId="0" borderId="0" xfId="2"/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10" fillId="0" borderId="0" xfId="2" applyFont="1" applyAlignment="1">
      <alignment horizontal="left"/>
    </xf>
    <xf numFmtId="0" fontId="14" fillId="0" borderId="0" xfId="3" applyFont="1" applyAlignment="1">
      <alignment horizontal="left"/>
    </xf>
  </cellXfs>
  <cellStyles count="4">
    <cellStyle name="Comma" xfId="1" builtinId="3"/>
    <cellStyle name="Hyperlink" xfId="3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7620</xdr:rowOff>
    </xdr:from>
    <xdr:to>
      <xdr:col>9</xdr:col>
      <xdr:colOff>0</xdr:colOff>
      <xdr:row>34</xdr:row>
      <xdr:rowOff>22860</xdr:rowOff>
    </xdr:to>
    <xdr:sp macro="" textlink="">
      <xdr:nvSpPr>
        <xdr:cNvPr id="2" name="Rectangle 1"/>
        <xdr:cNvSpPr/>
      </xdr:nvSpPr>
      <xdr:spPr>
        <a:xfrm>
          <a:off x="4632960" y="190500"/>
          <a:ext cx="1828800" cy="611124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This annuity calculator will help you define </a:t>
          </a:r>
        </a:p>
        <a:p>
          <a:pPr algn="l"/>
          <a:endParaRPr lang="en-US" sz="1100">
            <a:solidFill>
              <a:sysClr val="windowText" lastClr="000000"/>
            </a:solidFill>
          </a:endParaRPr>
        </a:p>
        <a:p>
          <a:pPr algn="l"/>
          <a:r>
            <a:rPr lang="en-US" sz="1100">
              <a:solidFill>
                <a:sysClr val="windowText" lastClr="000000"/>
              </a:solidFill>
            </a:rPr>
            <a:t>- The amount of money you have to put for withdrawing a certain amount of money within particular year period (Initial Principal Table)</a:t>
          </a:r>
        </a:p>
        <a:p>
          <a:pPr algn="l"/>
          <a:endParaRPr lang="en-US" sz="1100">
            <a:solidFill>
              <a:sysClr val="windowText" lastClr="000000"/>
            </a:solidFill>
          </a:endParaRPr>
        </a:p>
        <a:p>
          <a:pPr algn="l"/>
          <a:r>
            <a:rPr lang="en-US" sz="1100">
              <a:solidFill>
                <a:sysClr val="windowText" lastClr="000000"/>
              </a:solidFill>
            </a:rPr>
            <a:t>- The amount of annuity payment per year you can receive over particular year period if you start with specific amount of money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(Annuity Payment</a:t>
          </a:r>
          <a:r>
            <a:rPr lang="en-US" sz="1100" baseline="0">
              <a:solidFill>
                <a:sysClr val="windowText" lastClr="000000"/>
              </a:solidFill>
            </a:rPr>
            <a:t> Table)</a:t>
          </a:r>
          <a:endParaRPr lang="en-US" sz="1100">
            <a:solidFill>
              <a:sysClr val="windowText" lastClr="000000"/>
            </a:solidFill>
          </a:endParaRPr>
        </a:p>
        <a:p>
          <a:pPr algn="l"/>
          <a:endParaRPr lang="en-US" sz="1100">
            <a:solidFill>
              <a:sysClr val="windowText" lastClr="000000"/>
            </a:solidFill>
          </a:endParaRPr>
        </a:p>
        <a:p>
          <a:pPr algn="l"/>
          <a:r>
            <a:rPr lang="en-US" sz="1100">
              <a:solidFill>
                <a:sysClr val="windowText" lastClr="000000"/>
              </a:solidFill>
            </a:rPr>
            <a:t>- The number of years you can withdraw particular amount of money based on certain amount of money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(# of Payment Years Table)</a:t>
          </a:r>
        </a:p>
        <a:p>
          <a:pPr algn="l"/>
          <a:endParaRPr lang="en-US" sz="1100">
            <a:solidFill>
              <a:sysClr val="windowText" lastClr="000000"/>
            </a:solidFill>
          </a:endParaRPr>
        </a:p>
        <a:p>
          <a:pPr algn="l"/>
          <a:r>
            <a:rPr lang="en-US" sz="1100">
              <a:solidFill>
                <a:sysClr val="windowText" lastClr="000000"/>
              </a:solidFill>
            </a:rPr>
            <a:t>Fill all required</a:t>
          </a:r>
          <a:r>
            <a:rPr lang="en-US" sz="1100" baseline="0">
              <a:solidFill>
                <a:sysClr val="windowText" lastClr="000000"/>
              </a:solidFill>
            </a:rPr>
            <a:t> data</a:t>
          </a:r>
          <a:r>
            <a:rPr lang="en-US" sz="1100">
              <a:solidFill>
                <a:sysClr val="windowText" lastClr="000000"/>
              </a:solidFill>
            </a:rPr>
            <a:t> in all</a:t>
          </a:r>
          <a:r>
            <a:rPr lang="en-US" sz="1100" baseline="0">
              <a:solidFill>
                <a:sysClr val="windowText" lastClr="000000"/>
              </a:solidFill>
            </a:rPr>
            <a:t> white boxes and see its calculation results in bottom boxes in tables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showGridLines="0" tabSelected="1" workbookViewId="0">
      <selection activeCell="B2" sqref="B2:E2"/>
    </sheetView>
  </sheetViews>
  <sheetFormatPr defaultColWidth="0" defaultRowHeight="14.4" zeroHeight="1" x14ac:dyDescent="0.3"/>
  <cols>
    <col min="1" max="1" width="2.77734375" customWidth="1"/>
    <col min="2" max="2" width="4" customWidth="1"/>
    <col min="3" max="3" width="33.33203125" customWidth="1"/>
    <col min="4" max="4" width="16.5546875" customWidth="1"/>
    <col min="5" max="5" width="7.44140625" style="13" customWidth="1"/>
    <col min="6" max="6" width="3.44140625" customWidth="1"/>
    <col min="7" max="9" width="8.88671875" customWidth="1"/>
    <col min="10" max="10" width="2.6640625" customWidth="1"/>
    <col min="11" max="16384" width="8.88671875" hidden="1"/>
  </cols>
  <sheetData>
    <row r="1" spans="2:5" x14ac:dyDescent="0.3"/>
    <row r="2" spans="2:5" ht="18" x14ac:dyDescent="0.3">
      <c r="B2" s="36" t="s">
        <v>13</v>
      </c>
      <c r="C2" s="36"/>
      <c r="D2" s="36"/>
      <c r="E2" s="36"/>
    </row>
    <row r="3" spans="2:5" ht="7.8" customHeight="1" x14ac:dyDescent="0.3">
      <c r="C3" s="1"/>
    </row>
    <row r="4" spans="2:5" ht="15.6" x14ac:dyDescent="0.3">
      <c r="B4" s="33" t="s">
        <v>0</v>
      </c>
      <c r="C4" s="33"/>
      <c r="D4" s="33"/>
      <c r="E4" s="33"/>
    </row>
    <row r="5" spans="2:5" x14ac:dyDescent="0.3">
      <c r="B5" s="4"/>
      <c r="C5" s="5"/>
      <c r="D5" s="5"/>
      <c r="E5" s="14"/>
    </row>
    <row r="6" spans="2:5" x14ac:dyDescent="0.3">
      <c r="B6" s="5"/>
      <c r="C6" s="5" t="s">
        <v>1</v>
      </c>
      <c r="D6" s="11">
        <v>100000</v>
      </c>
      <c r="E6" s="14"/>
    </row>
    <row r="7" spans="2:5" x14ac:dyDescent="0.3">
      <c r="B7" s="5"/>
      <c r="C7" s="5" t="s">
        <v>2</v>
      </c>
      <c r="D7" s="11">
        <v>10</v>
      </c>
      <c r="E7" s="14" t="s">
        <v>15</v>
      </c>
    </row>
    <row r="8" spans="2:5" x14ac:dyDescent="0.3">
      <c r="B8" s="5"/>
      <c r="C8" s="5" t="s">
        <v>3</v>
      </c>
      <c r="D8" s="11">
        <v>10</v>
      </c>
      <c r="E8" s="14" t="s">
        <v>15</v>
      </c>
    </row>
    <row r="9" spans="2:5" x14ac:dyDescent="0.3">
      <c r="B9" s="5"/>
      <c r="C9" s="5" t="s">
        <v>4</v>
      </c>
      <c r="D9" s="12">
        <v>3</v>
      </c>
      <c r="E9" s="14"/>
    </row>
    <row r="10" spans="2:5" x14ac:dyDescent="0.3">
      <c r="B10" s="5"/>
      <c r="C10" s="5" t="s">
        <v>5</v>
      </c>
      <c r="D10" s="9" t="s">
        <v>14</v>
      </c>
      <c r="E10" s="17">
        <f>IF(D10="Beginning of Year",1,0)</f>
        <v>1</v>
      </c>
    </row>
    <row r="11" spans="2:5" ht="15" thickBot="1" x14ac:dyDescent="0.35">
      <c r="B11" s="5"/>
      <c r="C11" s="5"/>
      <c r="D11" s="5"/>
      <c r="E11" s="14"/>
    </row>
    <row r="12" spans="2:5" ht="15" thickBot="1" x14ac:dyDescent="0.35">
      <c r="B12" s="5"/>
      <c r="C12" s="21" t="s">
        <v>6</v>
      </c>
      <c r="D12" s="20">
        <f>PV((1+D7/100)/(1+D8/100)-1,D9,-IF(E10=1,D6,D6/(1+D8/100)),,E10)</f>
        <v>300000</v>
      </c>
      <c r="E12" s="14"/>
    </row>
    <row r="13" spans="2:5" x14ac:dyDescent="0.3">
      <c r="B13" s="5"/>
      <c r="C13" s="5"/>
      <c r="D13" s="5"/>
      <c r="E13" s="14"/>
    </row>
    <row r="14" spans="2:5" ht="15.6" x14ac:dyDescent="0.3">
      <c r="B14" s="34" t="s">
        <v>7</v>
      </c>
      <c r="C14" s="34"/>
      <c r="D14" s="34"/>
      <c r="E14" s="34"/>
    </row>
    <row r="15" spans="2:5" x14ac:dyDescent="0.3">
      <c r="B15" s="6"/>
      <c r="C15" s="7"/>
      <c r="D15" s="7"/>
      <c r="E15" s="15"/>
    </row>
    <row r="16" spans="2:5" x14ac:dyDescent="0.3">
      <c r="B16" s="7"/>
      <c r="C16" s="7" t="s">
        <v>6</v>
      </c>
      <c r="D16" s="11">
        <v>300000</v>
      </c>
      <c r="E16" s="15"/>
    </row>
    <row r="17" spans="2:5" x14ac:dyDescent="0.3">
      <c r="B17" s="7"/>
      <c r="C17" s="7" t="s">
        <v>2</v>
      </c>
      <c r="D17" s="11">
        <v>10</v>
      </c>
      <c r="E17" s="15" t="s">
        <v>15</v>
      </c>
    </row>
    <row r="18" spans="2:5" x14ac:dyDescent="0.3">
      <c r="B18" s="7"/>
      <c r="C18" s="7" t="s">
        <v>3</v>
      </c>
      <c r="D18" s="11">
        <v>10</v>
      </c>
      <c r="E18" s="15" t="s">
        <v>15</v>
      </c>
    </row>
    <row r="19" spans="2:5" x14ac:dyDescent="0.3">
      <c r="B19" s="7"/>
      <c r="C19" s="7" t="s">
        <v>4</v>
      </c>
      <c r="D19" s="12">
        <v>3</v>
      </c>
      <c r="E19" s="15"/>
    </row>
    <row r="20" spans="2:5" x14ac:dyDescent="0.3">
      <c r="B20" s="7"/>
      <c r="C20" s="7" t="s">
        <v>5</v>
      </c>
      <c r="D20" s="9" t="s">
        <v>16</v>
      </c>
      <c r="E20" s="19">
        <f>IF(D20="Beginning of Year",1,0)</f>
        <v>0</v>
      </c>
    </row>
    <row r="21" spans="2:5" ht="15" thickBot="1" x14ac:dyDescent="0.35">
      <c r="B21" s="7"/>
      <c r="C21" s="7"/>
      <c r="D21" s="7"/>
      <c r="E21" s="15"/>
    </row>
    <row r="22" spans="2:5" ht="15" thickBot="1" x14ac:dyDescent="0.35">
      <c r="B22" s="7"/>
      <c r="C22" s="22" t="s">
        <v>8</v>
      </c>
      <c r="D22" s="24">
        <f>IF(E20=1,PMT((1+D17/100)/(1+D18/100)-1,D19,-D16,,E20),PMT((1+D17/100)/(1+D18/100)-1,D19,-D16,,E20)*(1+D18/100))</f>
        <v>110000.00000000001</v>
      </c>
      <c r="E22" s="15"/>
    </row>
    <row r="23" spans="2:5" ht="15" thickBot="1" x14ac:dyDescent="0.35">
      <c r="B23" s="7"/>
      <c r="C23" s="22" t="s">
        <v>9</v>
      </c>
      <c r="D23" s="25">
        <f>IF(E20=1,PMT((1+D17/100)/(1+D18/100)-1,D19,-D16,,E20)*(1+D18/100)^(D19-1),PMT((1+D17/100)/(1+D18/100)-1,D19,-D16,,E20)*(1+D18/100)^D19)</f>
        <v>133100.00000000003</v>
      </c>
      <c r="E23" s="15"/>
    </row>
    <row r="24" spans="2:5" x14ac:dyDescent="0.3">
      <c r="B24" s="7"/>
      <c r="C24" s="7"/>
      <c r="D24" s="7"/>
      <c r="E24" s="15"/>
    </row>
    <row r="25" spans="2:5" ht="15.6" x14ac:dyDescent="0.3">
      <c r="B25" s="35" t="s">
        <v>10</v>
      </c>
      <c r="C25" s="35"/>
      <c r="D25" s="35"/>
      <c r="E25" s="35"/>
    </row>
    <row r="26" spans="2:5" x14ac:dyDescent="0.3">
      <c r="B26" s="2"/>
      <c r="C26" s="3"/>
      <c r="D26" s="3"/>
      <c r="E26" s="16"/>
    </row>
    <row r="27" spans="2:5" x14ac:dyDescent="0.3">
      <c r="B27" s="3"/>
      <c r="C27" s="3" t="s">
        <v>6</v>
      </c>
      <c r="D27" s="10">
        <v>300000</v>
      </c>
      <c r="E27" s="16"/>
    </row>
    <row r="28" spans="2:5" x14ac:dyDescent="0.3">
      <c r="B28" s="3"/>
      <c r="C28" s="3" t="s">
        <v>2</v>
      </c>
      <c r="D28" s="11">
        <v>10</v>
      </c>
      <c r="E28" s="16" t="s">
        <v>15</v>
      </c>
    </row>
    <row r="29" spans="2:5" x14ac:dyDescent="0.3">
      <c r="B29" s="3"/>
      <c r="C29" s="3" t="s">
        <v>3</v>
      </c>
      <c r="D29" s="11">
        <v>10</v>
      </c>
      <c r="E29" s="16" t="s">
        <v>15</v>
      </c>
    </row>
    <row r="30" spans="2:5" x14ac:dyDescent="0.3">
      <c r="B30" s="3"/>
      <c r="C30" s="3" t="s">
        <v>11</v>
      </c>
      <c r="D30" s="10">
        <v>100000</v>
      </c>
      <c r="E30" s="16"/>
    </row>
    <row r="31" spans="2:5" x14ac:dyDescent="0.3">
      <c r="B31" s="3"/>
      <c r="C31" s="3" t="s">
        <v>5</v>
      </c>
      <c r="D31" s="9" t="s">
        <v>16</v>
      </c>
      <c r="E31" s="18">
        <f>IF(D31="Beginning of Year",1,0)</f>
        <v>0</v>
      </c>
    </row>
    <row r="32" spans="2:5" ht="15" thickBot="1" x14ac:dyDescent="0.35">
      <c r="B32" s="3"/>
      <c r="C32" s="3"/>
      <c r="D32" s="3"/>
      <c r="E32" s="16"/>
    </row>
    <row r="33" spans="2:5" ht="15" thickBot="1" x14ac:dyDescent="0.35">
      <c r="B33" s="3"/>
      <c r="C33" s="23" t="s">
        <v>12</v>
      </c>
      <c r="D33" s="26">
        <f>NPER((1+D28/100)/(1+D29/100)-1,IF(E31=1,D30,D30/(1+D29/100)),-D27,,E31)</f>
        <v>3.3000000000000003</v>
      </c>
      <c r="E33" s="16"/>
    </row>
    <row r="34" spans="2:5" x14ac:dyDescent="0.3">
      <c r="B34" s="3"/>
      <c r="C34" s="3"/>
      <c r="D34" s="3"/>
      <c r="E34" s="16"/>
    </row>
    <row r="35" spans="2:5" x14ac:dyDescent="0.3">
      <c r="B35" s="8" t="s">
        <v>19</v>
      </c>
    </row>
    <row r="36" spans="2:5" x14ac:dyDescent="0.3"/>
  </sheetData>
  <mergeCells count="4">
    <mergeCell ref="B4:E4"/>
    <mergeCell ref="B14:E14"/>
    <mergeCell ref="B25:E25"/>
    <mergeCell ref="B2:E2"/>
  </mergeCells>
  <dataValidations count="1">
    <dataValidation type="list" allowBlank="1" showInputMessage="1" showErrorMessage="1" sqref="D10 D20 D31">
      <formula1>"Beginning of Year, End of Year"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32" customWidth="1"/>
    <col min="2" max="16384" width="12.44140625" style="32"/>
  </cols>
  <sheetData>
    <row r="4" spans="1:1" s="28" customFormat="1" ht="15.6" customHeight="1" x14ac:dyDescent="0.5">
      <c r="A4" s="27"/>
    </row>
    <row r="5" spans="1:1" s="28" customFormat="1" ht="15.6" customHeight="1" x14ac:dyDescent="0.5">
      <c r="A5" s="29"/>
    </row>
    <row r="40" spans="1:15" s="28" customFormat="1" ht="30" customHeight="1" x14ac:dyDescent="0.5">
      <c r="A40" s="37" t="s">
        <v>17</v>
      </c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0"/>
      <c r="N40" s="30"/>
      <c r="O40" s="30"/>
    </row>
    <row r="41" spans="1:15" s="28" customFormat="1" ht="30" customHeight="1" x14ac:dyDescent="0.5">
      <c r="A41" s="38" t="s">
        <v>18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1"/>
      <c r="N41" s="31"/>
      <c r="O41" s="31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pageSetup orientation="portrait" horizontalDpi="1200" verticalDpi="1200" r:id="rId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32" customWidth="1"/>
    <col min="2" max="16384" width="12.44140625" style="32"/>
  </cols>
  <sheetData>
    <row r="4" spans="1:1" s="28" customFormat="1" ht="15.6" customHeight="1" x14ac:dyDescent="0.5">
      <c r="A4" s="27"/>
    </row>
    <row r="5" spans="1:1" s="28" customFormat="1" ht="15.6" customHeight="1" x14ac:dyDescent="0.5">
      <c r="A5" s="29"/>
    </row>
    <row r="40" spans="1:15" s="28" customFormat="1" ht="30" customHeight="1" x14ac:dyDescent="0.5">
      <c r="A40" s="37" t="s">
        <v>17</v>
      </c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0"/>
      <c r="N40" s="30"/>
      <c r="O40" s="30"/>
    </row>
    <row r="41" spans="1:15" s="28" customFormat="1" ht="30" customHeight="1" x14ac:dyDescent="0.5">
      <c r="A41" s="38" t="s">
        <v>18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1"/>
      <c r="N41" s="31"/>
      <c r="O41" s="31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pageSetup orientation="portrait" horizontalDpi="1200" verticalDpi="1200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Annuity</vt:lpstr>
      <vt:lpstr>Sheet2</vt:lpstr>
      <vt:lpstr>Sheet3</vt:lpstr>
      <vt:lpstr>Copyright</vt:lpstr>
      <vt:lpstr>Copyright-2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Annuity Calculator</dc:title>
  <dc:creator>R. Musadya</dc:creator>
  <cp:lastModifiedBy>Syed Nayab Haider</cp:lastModifiedBy>
  <dcterms:created xsi:type="dcterms:W3CDTF">2016-10-13T09:34:14Z</dcterms:created>
  <dcterms:modified xsi:type="dcterms:W3CDTF">2020-10-15T17:26:20Z</dcterms:modified>
</cp:coreProperties>
</file>