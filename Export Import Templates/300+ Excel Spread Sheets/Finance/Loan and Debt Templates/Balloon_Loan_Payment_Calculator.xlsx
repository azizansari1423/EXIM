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\Desktop\Finalize\Excel S3\finance\loan\"/>
    </mc:Choice>
  </mc:AlternateContent>
  <bookViews>
    <workbookView xWindow="0" yWindow="0" windowWidth="23040" windowHeight="9336"/>
  </bookViews>
  <sheets>
    <sheet name="Balloon" sheetId="1" r:id="rId1"/>
    <sheet name="Sheet2" sheetId="2" r:id="rId2"/>
    <sheet name="Sheet3" sheetId="3" r:id="rId3"/>
    <sheet name="Copyright" sheetId="4" r:id="rId4"/>
    <sheet name="Copyright-2" sheetId="5" state="hidden" r:id="rId5"/>
  </sheets>
  <calcPr calcId="162913"/>
</workbook>
</file>

<file path=xl/calcChain.xml><?xml version="1.0" encoding="utf-8"?>
<calcChain xmlns="http://schemas.openxmlformats.org/spreadsheetml/2006/main">
  <c r="E12" i="1" l="1"/>
  <c r="E21" i="1" s="1"/>
  <c r="C22" i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E22" i="1" l="1"/>
  <c r="E25" i="1"/>
  <c r="E28" i="1"/>
  <c r="E24" i="1"/>
  <c r="E32" i="1"/>
  <c r="E36" i="1"/>
  <c r="E29" i="1"/>
  <c r="E33" i="1"/>
  <c r="E37" i="1"/>
  <c r="G38" i="1" s="1"/>
  <c r="E26" i="1"/>
  <c r="E30" i="1"/>
  <c r="E34" i="1"/>
  <c r="E23" i="1"/>
  <c r="E27" i="1"/>
  <c r="E31" i="1"/>
  <c r="E35" i="1"/>
  <c r="E38" i="1"/>
  <c r="F38" i="1" s="1"/>
  <c r="C39" i="1"/>
  <c r="D21" i="1"/>
  <c r="E20" i="1"/>
  <c r="G21" i="1" s="1"/>
  <c r="H38" i="1" l="1"/>
  <c r="C40" i="1"/>
  <c r="E39" i="1"/>
  <c r="F39" i="1" s="1"/>
  <c r="H39" i="1" s="1"/>
  <c r="G39" i="1"/>
  <c r="D22" i="1"/>
  <c r="D23" i="1" s="1"/>
  <c r="D24" i="1" s="1"/>
  <c r="D25" i="1" s="1"/>
  <c r="D26" i="1" s="1"/>
  <c r="G40" i="1" l="1"/>
  <c r="C41" i="1"/>
  <c r="E40" i="1"/>
  <c r="F40" i="1" s="1"/>
  <c r="H40" i="1" s="1"/>
  <c r="D27" i="1"/>
  <c r="C42" i="1" l="1"/>
  <c r="E41" i="1"/>
  <c r="G41" i="1"/>
  <c r="F41" i="1"/>
  <c r="H41" i="1" s="1"/>
  <c r="D28" i="1"/>
  <c r="G42" i="1" l="1"/>
  <c r="F42" i="1"/>
  <c r="C43" i="1"/>
  <c r="E42" i="1"/>
  <c r="H42" i="1"/>
  <c r="D42" i="1"/>
  <c r="D29" i="1"/>
  <c r="C44" i="1" l="1"/>
  <c r="E43" i="1"/>
  <c r="H43" i="1"/>
  <c r="D43" i="1"/>
  <c r="G43" i="1"/>
  <c r="F43" i="1"/>
  <c r="D30" i="1"/>
  <c r="G44" i="1" l="1"/>
  <c r="F44" i="1"/>
  <c r="C45" i="1"/>
  <c r="E44" i="1"/>
  <c r="H44" i="1"/>
  <c r="D44" i="1"/>
  <c r="D31" i="1"/>
  <c r="C46" i="1" l="1"/>
  <c r="E45" i="1"/>
  <c r="H45" i="1"/>
  <c r="D45" i="1"/>
  <c r="G45" i="1"/>
  <c r="F45" i="1"/>
  <c r="D32" i="1"/>
  <c r="G46" i="1" l="1"/>
  <c r="F46" i="1"/>
  <c r="C47" i="1"/>
  <c r="E46" i="1"/>
  <c r="H46" i="1"/>
  <c r="D46" i="1"/>
  <c r="D33" i="1"/>
  <c r="D34" i="1" s="1"/>
  <c r="C48" i="1" l="1"/>
  <c r="E47" i="1"/>
  <c r="H47" i="1"/>
  <c r="D47" i="1"/>
  <c r="G47" i="1"/>
  <c r="F47" i="1"/>
  <c r="D35" i="1"/>
  <c r="G48" i="1" l="1"/>
  <c r="F48" i="1"/>
  <c r="C49" i="1"/>
  <c r="E48" i="1"/>
  <c r="H48" i="1"/>
  <c r="D48" i="1"/>
  <c r="D36" i="1"/>
  <c r="C50" i="1" l="1"/>
  <c r="E49" i="1"/>
  <c r="H49" i="1"/>
  <c r="D49" i="1"/>
  <c r="G49" i="1"/>
  <c r="F49" i="1"/>
  <c r="D37" i="1"/>
  <c r="D38" i="1" s="1"/>
  <c r="D39" i="1" s="1"/>
  <c r="D40" i="1" s="1"/>
  <c r="D41" i="1" s="1"/>
  <c r="G50" i="1" l="1"/>
  <c r="F50" i="1"/>
  <c r="C51" i="1"/>
  <c r="E50" i="1"/>
  <c r="H50" i="1"/>
  <c r="D50" i="1"/>
  <c r="C52" i="1" l="1"/>
  <c r="E51" i="1"/>
  <c r="H51" i="1"/>
  <c r="D51" i="1"/>
  <c r="G51" i="1"/>
  <c r="F51" i="1"/>
  <c r="G52" i="1" l="1"/>
  <c r="F52" i="1"/>
  <c r="C53" i="1"/>
  <c r="E52" i="1"/>
  <c r="H52" i="1"/>
  <c r="D52" i="1"/>
  <c r="C54" i="1" l="1"/>
  <c r="E53" i="1"/>
  <c r="H53" i="1"/>
  <c r="D53" i="1"/>
  <c r="G53" i="1"/>
  <c r="F53" i="1"/>
  <c r="G54" i="1" l="1"/>
  <c r="F54" i="1"/>
  <c r="C55" i="1"/>
  <c r="E54" i="1"/>
  <c r="H54" i="1"/>
  <c r="D54" i="1"/>
  <c r="C56" i="1" l="1"/>
  <c r="E55" i="1"/>
  <c r="H55" i="1"/>
  <c r="D55" i="1"/>
  <c r="G55" i="1"/>
  <c r="F55" i="1"/>
  <c r="G56" i="1" l="1"/>
  <c r="F56" i="1"/>
  <c r="C57" i="1"/>
  <c r="E56" i="1"/>
  <c r="H56" i="1"/>
  <c r="D56" i="1"/>
  <c r="C58" i="1" l="1"/>
  <c r="E57" i="1"/>
  <c r="H57" i="1"/>
  <c r="D57" i="1"/>
  <c r="G57" i="1"/>
  <c r="F57" i="1"/>
  <c r="G58" i="1" l="1"/>
  <c r="F58" i="1"/>
  <c r="C59" i="1"/>
  <c r="E58" i="1"/>
  <c r="H58" i="1"/>
  <c r="D58" i="1"/>
  <c r="C60" i="1" l="1"/>
  <c r="E59" i="1"/>
  <c r="H59" i="1"/>
  <c r="D59" i="1"/>
  <c r="G59" i="1"/>
  <c r="F59" i="1"/>
  <c r="G60" i="1" l="1"/>
  <c r="F60" i="1"/>
  <c r="C61" i="1"/>
  <c r="E60" i="1"/>
  <c r="H60" i="1"/>
  <c r="D60" i="1"/>
  <c r="C62" i="1" l="1"/>
  <c r="E61" i="1"/>
  <c r="H61" i="1"/>
  <c r="D61" i="1"/>
  <c r="G61" i="1"/>
  <c r="F61" i="1"/>
  <c r="G62" i="1" l="1"/>
  <c r="F62" i="1"/>
  <c r="C63" i="1"/>
  <c r="E62" i="1"/>
  <c r="H62" i="1"/>
  <c r="D62" i="1"/>
  <c r="C64" i="1" l="1"/>
  <c r="E63" i="1"/>
  <c r="H63" i="1"/>
  <c r="D63" i="1"/>
  <c r="G63" i="1"/>
  <c r="F63" i="1"/>
  <c r="G64" i="1" l="1"/>
  <c r="F64" i="1"/>
  <c r="C65" i="1"/>
  <c r="E64" i="1"/>
  <c r="H64" i="1"/>
  <c r="D64" i="1"/>
  <c r="C66" i="1" l="1"/>
  <c r="E65" i="1"/>
  <c r="H65" i="1"/>
  <c r="D65" i="1"/>
  <c r="G65" i="1"/>
  <c r="F65" i="1"/>
  <c r="G66" i="1" l="1"/>
  <c r="F66" i="1"/>
  <c r="C67" i="1"/>
  <c r="E66" i="1"/>
  <c r="H66" i="1"/>
  <c r="D66" i="1"/>
  <c r="C68" i="1" l="1"/>
  <c r="E67" i="1"/>
  <c r="H67" i="1"/>
  <c r="D67" i="1"/>
  <c r="G67" i="1"/>
  <c r="F67" i="1"/>
  <c r="G68" i="1" l="1"/>
  <c r="F68" i="1"/>
  <c r="C69" i="1"/>
  <c r="E68" i="1"/>
  <c r="H68" i="1"/>
  <c r="D68" i="1"/>
  <c r="G69" i="1" l="1"/>
  <c r="E69" i="1"/>
  <c r="C70" i="1"/>
  <c r="D69" i="1"/>
  <c r="H69" i="1"/>
  <c r="F69" i="1"/>
  <c r="F70" i="1" l="1"/>
  <c r="C71" i="1"/>
  <c r="E70" i="1"/>
  <c r="D70" i="1"/>
  <c r="H70" i="1"/>
  <c r="G70" i="1"/>
  <c r="H71" i="1" l="1"/>
  <c r="D71" i="1"/>
  <c r="G71" i="1"/>
  <c r="F71" i="1"/>
  <c r="E71" i="1"/>
  <c r="C72" i="1"/>
  <c r="F72" i="1" l="1"/>
  <c r="C73" i="1"/>
  <c r="E72" i="1"/>
  <c r="H72" i="1"/>
  <c r="G72" i="1"/>
  <c r="D72" i="1"/>
  <c r="H73" i="1" l="1"/>
  <c r="D73" i="1"/>
  <c r="G73" i="1"/>
  <c r="C74" i="1"/>
  <c r="F73" i="1"/>
  <c r="E73" i="1"/>
  <c r="F74" i="1" l="1"/>
  <c r="C75" i="1"/>
  <c r="E74" i="1"/>
  <c r="D74" i="1"/>
  <c r="H74" i="1"/>
  <c r="G74" i="1"/>
  <c r="H75" i="1" l="1"/>
  <c r="D75" i="1"/>
  <c r="G75" i="1"/>
  <c r="F75" i="1"/>
  <c r="E75" i="1"/>
  <c r="C76" i="1"/>
  <c r="F76" i="1" l="1"/>
  <c r="C77" i="1"/>
  <c r="E76" i="1"/>
  <c r="H76" i="1"/>
  <c r="G76" i="1"/>
  <c r="D76" i="1"/>
  <c r="H77" i="1" l="1"/>
  <c r="D77" i="1"/>
  <c r="G77" i="1"/>
  <c r="C78" i="1"/>
  <c r="F77" i="1"/>
  <c r="E77" i="1"/>
  <c r="F78" i="1" l="1"/>
  <c r="C79" i="1"/>
  <c r="E78" i="1"/>
  <c r="D78" i="1"/>
  <c r="H78" i="1"/>
  <c r="G78" i="1"/>
  <c r="H79" i="1" l="1"/>
  <c r="D79" i="1"/>
  <c r="G79" i="1"/>
  <c r="F79" i="1"/>
  <c r="E79" i="1"/>
  <c r="C80" i="1"/>
  <c r="F80" i="1" l="1"/>
  <c r="C81" i="1"/>
  <c r="E80" i="1"/>
  <c r="H80" i="1"/>
  <c r="G80" i="1"/>
  <c r="D80" i="1"/>
  <c r="H81" i="1" l="1"/>
  <c r="D81" i="1"/>
  <c r="G81" i="1"/>
  <c r="C82" i="1"/>
  <c r="F81" i="1"/>
  <c r="E81" i="1"/>
  <c r="F82" i="1" l="1"/>
  <c r="C83" i="1"/>
  <c r="E82" i="1"/>
  <c r="D82" i="1"/>
  <c r="H82" i="1"/>
  <c r="G82" i="1"/>
  <c r="H83" i="1" l="1"/>
  <c r="D83" i="1"/>
  <c r="G83" i="1"/>
  <c r="F83" i="1"/>
  <c r="E83" i="1"/>
  <c r="C84" i="1"/>
  <c r="F84" i="1" l="1"/>
  <c r="C85" i="1"/>
  <c r="E84" i="1"/>
  <c r="H84" i="1"/>
  <c r="G84" i="1"/>
  <c r="D84" i="1"/>
  <c r="H85" i="1" l="1"/>
  <c r="D85" i="1"/>
  <c r="G85" i="1"/>
  <c r="C86" i="1"/>
  <c r="F85" i="1"/>
  <c r="E85" i="1"/>
  <c r="F86" i="1" l="1"/>
  <c r="C87" i="1"/>
  <c r="E86" i="1"/>
  <c r="D86" i="1"/>
  <c r="H86" i="1"/>
  <c r="G86" i="1"/>
  <c r="H87" i="1" l="1"/>
  <c r="D87" i="1"/>
  <c r="G87" i="1"/>
  <c r="F87" i="1"/>
  <c r="E87" i="1"/>
  <c r="C88" i="1"/>
  <c r="F88" i="1" l="1"/>
  <c r="C89" i="1"/>
  <c r="E88" i="1"/>
  <c r="H88" i="1"/>
  <c r="G88" i="1"/>
  <c r="D88" i="1"/>
  <c r="H89" i="1" l="1"/>
  <c r="D89" i="1"/>
  <c r="G89" i="1"/>
  <c r="C90" i="1"/>
  <c r="F89" i="1"/>
  <c r="E89" i="1"/>
  <c r="F90" i="1" l="1"/>
  <c r="C91" i="1"/>
  <c r="E90" i="1"/>
  <c r="D90" i="1"/>
  <c r="H90" i="1"/>
  <c r="G90" i="1"/>
  <c r="H91" i="1" l="1"/>
  <c r="D91" i="1"/>
  <c r="G91" i="1"/>
  <c r="F91" i="1"/>
  <c r="E91" i="1"/>
  <c r="C92" i="1"/>
  <c r="F92" i="1" l="1"/>
  <c r="C93" i="1"/>
  <c r="E92" i="1"/>
  <c r="H92" i="1"/>
  <c r="G92" i="1"/>
  <c r="D92" i="1"/>
  <c r="H93" i="1" l="1"/>
  <c r="D93" i="1"/>
  <c r="G93" i="1"/>
  <c r="C94" i="1"/>
  <c r="F93" i="1"/>
  <c r="E93" i="1"/>
  <c r="F94" i="1" l="1"/>
  <c r="C95" i="1"/>
  <c r="E94" i="1"/>
  <c r="D94" i="1"/>
  <c r="H94" i="1"/>
  <c r="G94" i="1"/>
  <c r="H95" i="1" l="1"/>
  <c r="D95" i="1"/>
  <c r="G95" i="1"/>
  <c r="F95" i="1"/>
  <c r="E95" i="1"/>
  <c r="C96" i="1"/>
  <c r="F96" i="1" l="1"/>
  <c r="C97" i="1"/>
  <c r="E96" i="1"/>
  <c r="H96" i="1"/>
  <c r="G96" i="1"/>
  <c r="D96" i="1"/>
  <c r="H97" i="1" l="1"/>
  <c r="D97" i="1"/>
  <c r="G97" i="1"/>
  <c r="C98" i="1"/>
  <c r="F97" i="1"/>
  <c r="E97" i="1"/>
  <c r="F98" i="1" l="1"/>
  <c r="C99" i="1"/>
  <c r="E98" i="1"/>
  <c r="D98" i="1"/>
  <c r="H98" i="1"/>
  <c r="G98" i="1"/>
  <c r="H99" i="1" l="1"/>
  <c r="D99" i="1"/>
  <c r="G99" i="1"/>
  <c r="F99" i="1"/>
  <c r="E99" i="1"/>
  <c r="C100" i="1"/>
  <c r="H100" i="1" l="1"/>
  <c r="F100" i="1"/>
  <c r="C101" i="1"/>
  <c r="E100" i="1"/>
  <c r="G100" i="1"/>
  <c r="D100" i="1"/>
  <c r="F101" i="1" l="1"/>
  <c r="H101" i="1"/>
  <c r="D101" i="1"/>
  <c r="G101" i="1"/>
  <c r="E101" i="1"/>
  <c r="C102" i="1"/>
  <c r="H102" i="1" l="1"/>
  <c r="D102" i="1"/>
  <c r="F102" i="1"/>
  <c r="C103" i="1"/>
  <c r="E102" i="1"/>
  <c r="G102" i="1"/>
  <c r="F103" i="1" l="1"/>
  <c r="H103" i="1"/>
  <c r="D103" i="1"/>
  <c r="G103" i="1"/>
  <c r="C104" i="1"/>
  <c r="E103" i="1"/>
  <c r="H104" i="1" l="1"/>
  <c r="D104" i="1"/>
  <c r="F104" i="1"/>
  <c r="C105" i="1"/>
  <c r="E104" i="1"/>
  <c r="G104" i="1"/>
  <c r="F105" i="1" l="1"/>
  <c r="H105" i="1"/>
  <c r="D105" i="1"/>
  <c r="G105" i="1"/>
  <c r="C106" i="1"/>
  <c r="E105" i="1"/>
  <c r="H106" i="1" l="1"/>
  <c r="D106" i="1"/>
  <c r="F106" i="1"/>
  <c r="C107" i="1"/>
  <c r="E106" i="1"/>
  <c r="G106" i="1"/>
  <c r="F107" i="1" l="1"/>
  <c r="H107" i="1"/>
  <c r="D107" i="1"/>
  <c r="G107" i="1"/>
  <c r="C108" i="1"/>
  <c r="E107" i="1"/>
  <c r="H108" i="1" l="1"/>
  <c r="D108" i="1"/>
  <c r="F108" i="1"/>
  <c r="C109" i="1"/>
  <c r="E108" i="1"/>
  <c r="G108" i="1"/>
  <c r="F109" i="1" l="1"/>
  <c r="C110" i="1"/>
  <c r="H109" i="1"/>
  <c r="D109" i="1"/>
  <c r="G109" i="1"/>
  <c r="E109" i="1"/>
  <c r="H110" i="1" l="1"/>
  <c r="D110" i="1"/>
  <c r="G110" i="1"/>
  <c r="F110" i="1"/>
  <c r="C111" i="1"/>
  <c r="E110" i="1"/>
  <c r="F111" i="1" l="1"/>
  <c r="C112" i="1"/>
  <c r="E111" i="1"/>
  <c r="H111" i="1"/>
  <c r="D111" i="1"/>
  <c r="G111" i="1"/>
  <c r="H112" i="1" l="1"/>
  <c r="D112" i="1"/>
  <c r="G112" i="1"/>
  <c r="F112" i="1"/>
  <c r="C113" i="1"/>
  <c r="E112" i="1"/>
  <c r="F113" i="1" l="1"/>
  <c r="C114" i="1"/>
  <c r="E113" i="1"/>
  <c r="H113" i="1"/>
  <c r="D113" i="1"/>
  <c r="G113" i="1"/>
  <c r="H114" i="1" l="1"/>
  <c r="D114" i="1"/>
  <c r="G114" i="1"/>
  <c r="F114" i="1"/>
  <c r="C115" i="1"/>
  <c r="E114" i="1"/>
  <c r="F115" i="1" l="1"/>
  <c r="C116" i="1"/>
  <c r="E115" i="1"/>
  <c r="H115" i="1"/>
  <c r="D115" i="1"/>
  <c r="G115" i="1"/>
  <c r="H116" i="1" l="1"/>
  <c r="D116" i="1"/>
  <c r="G116" i="1"/>
  <c r="F116" i="1"/>
  <c r="C117" i="1"/>
  <c r="E116" i="1"/>
  <c r="F117" i="1" l="1"/>
  <c r="C118" i="1"/>
  <c r="E117" i="1"/>
  <c r="H117" i="1"/>
  <c r="D117" i="1"/>
  <c r="G117" i="1"/>
  <c r="H118" i="1" l="1"/>
  <c r="D118" i="1"/>
  <c r="G118" i="1"/>
  <c r="F118" i="1"/>
  <c r="C119" i="1"/>
  <c r="E118" i="1"/>
  <c r="F119" i="1" l="1"/>
  <c r="C120" i="1"/>
  <c r="E119" i="1"/>
  <c r="H119" i="1"/>
  <c r="D119" i="1"/>
  <c r="G119" i="1"/>
  <c r="H120" i="1" l="1"/>
  <c r="D120" i="1"/>
  <c r="G120" i="1"/>
  <c r="F120" i="1"/>
  <c r="C121" i="1"/>
  <c r="E120" i="1"/>
  <c r="F121" i="1" l="1"/>
  <c r="C122" i="1"/>
  <c r="E121" i="1"/>
  <c r="H121" i="1"/>
  <c r="D121" i="1"/>
  <c r="G121" i="1"/>
  <c r="H122" i="1" l="1"/>
  <c r="D122" i="1"/>
  <c r="G122" i="1"/>
  <c r="F122" i="1"/>
  <c r="C123" i="1"/>
  <c r="E122" i="1"/>
  <c r="F123" i="1" l="1"/>
  <c r="C124" i="1"/>
  <c r="E123" i="1"/>
  <c r="H123" i="1"/>
  <c r="D123" i="1"/>
  <c r="G123" i="1"/>
  <c r="H124" i="1" l="1"/>
  <c r="D124" i="1"/>
  <c r="G124" i="1"/>
  <c r="F124" i="1"/>
  <c r="C125" i="1"/>
  <c r="E124" i="1"/>
  <c r="F125" i="1" l="1"/>
  <c r="C126" i="1"/>
  <c r="E125" i="1"/>
  <c r="H125" i="1"/>
  <c r="D125" i="1"/>
  <c r="G125" i="1"/>
  <c r="H126" i="1" l="1"/>
  <c r="D126" i="1"/>
  <c r="G126" i="1"/>
  <c r="F126" i="1"/>
  <c r="C127" i="1"/>
  <c r="E126" i="1"/>
  <c r="F127" i="1" l="1"/>
  <c r="C128" i="1"/>
  <c r="E127" i="1"/>
  <c r="H127" i="1"/>
  <c r="D127" i="1"/>
  <c r="G127" i="1"/>
  <c r="H128" i="1" l="1"/>
  <c r="D128" i="1"/>
  <c r="G128" i="1"/>
  <c r="F128" i="1"/>
  <c r="C129" i="1"/>
  <c r="E128" i="1"/>
  <c r="F129" i="1" l="1"/>
  <c r="C130" i="1"/>
  <c r="E129" i="1"/>
  <c r="H129" i="1"/>
  <c r="D129" i="1"/>
  <c r="G129" i="1"/>
  <c r="H130" i="1" l="1"/>
  <c r="D130" i="1"/>
  <c r="G130" i="1"/>
  <c r="F130" i="1"/>
  <c r="C131" i="1"/>
  <c r="E130" i="1"/>
  <c r="F131" i="1" l="1"/>
  <c r="C132" i="1"/>
  <c r="E131" i="1"/>
  <c r="H131" i="1"/>
  <c r="D131" i="1"/>
  <c r="G131" i="1"/>
  <c r="H132" i="1" l="1"/>
  <c r="D132" i="1"/>
  <c r="G132" i="1"/>
  <c r="F132" i="1"/>
  <c r="C133" i="1"/>
  <c r="E132" i="1"/>
  <c r="F133" i="1" l="1"/>
  <c r="C134" i="1"/>
  <c r="E133" i="1"/>
  <c r="H133" i="1"/>
  <c r="D133" i="1"/>
  <c r="G133" i="1"/>
  <c r="H134" i="1" l="1"/>
  <c r="D134" i="1"/>
  <c r="G134" i="1"/>
  <c r="F134" i="1"/>
  <c r="C135" i="1"/>
  <c r="E134" i="1"/>
  <c r="F135" i="1" l="1"/>
  <c r="C136" i="1"/>
  <c r="E135" i="1"/>
  <c r="H135" i="1"/>
  <c r="D135" i="1"/>
  <c r="G135" i="1"/>
  <c r="H136" i="1" l="1"/>
  <c r="D136" i="1"/>
  <c r="G136" i="1"/>
  <c r="F136" i="1"/>
  <c r="C137" i="1"/>
  <c r="E136" i="1"/>
  <c r="F137" i="1" l="1"/>
  <c r="C138" i="1"/>
  <c r="E137" i="1"/>
  <c r="H137" i="1"/>
  <c r="D137" i="1"/>
  <c r="G137" i="1"/>
  <c r="H138" i="1" l="1"/>
  <c r="D138" i="1"/>
  <c r="G138" i="1"/>
  <c r="F138" i="1"/>
  <c r="C139" i="1"/>
  <c r="E138" i="1"/>
  <c r="F139" i="1" l="1"/>
  <c r="C140" i="1"/>
  <c r="E139" i="1"/>
  <c r="H139" i="1"/>
  <c r="D139" i="1"/>
  <c r="G139" i="1"/>
  <c r="H140" i="1" l="1"/>
  <c r="D140" i="1"/>
  <c r="G140" i="1"/>
  <c r="F140" i="1"/>
  <c r="C141" i="1"/>
  <c r="E140" i="1"/>
  <c r="F141" i="1" l="1"/>
  <c r="C142" i="1"/>
  <c r="E141" i="1"/>
  <c r="H141" i="1"/>
  <c r="D141" i="1"/>
  <c r="G141" i="1"/>
  <c r="H142" i="1" l="1"/>
  <c r="D142" i="1"/>
  <c r="G142" i="1"/>
  <c r="F142" i="1"/>
  <c r="C143" i="1"/>
  <c r="E142" i="1"/>
  <c r="F143" i="1" l="1"/>
  <c r="C144" i="1"/>
  <c r="E143" i="1"/>
  <c r="H143" i="1"/>
  <c r="D143" i="1"/>
  <c r="G143" i="1"/>
  <c r="F144" i="1" l="1"/>
  <c r="C145" i="1"/>
  <c r="E144" i="1"/>
  <c r="D144" i="1"/>
  <c r="H144" i="1"/>
  <c r="G144" i="1"/>
  <c r="H145" i="1" l="1"/>
  <c r="D145" i="1"/>
  <c r="G145" i="1"/>
  <c r="F145" i="1"/>
  <c r="E145" i="1"/>
  <c r="C146" i="1"/>
  <c r="F146" i="1" l="1"/>
  <c r="C147" i="1"/>
  <c r="E146" i="1"/>
  <c r="H146" i="1"/>
  <c r="G146" i="1"/>
  <c r="D146" i="1"/>
  <c r="H147" i="1" l="1"/>
  <c r="D147" i="1"/>
  <c r="G147" i="1"/>
  <c r="C148" i="1"/>
  <c r="F147" i="1"/>
  <c r="E147" i="1"/>
  <c r="F148" i="1" l="1"/>
  <c r="C149" i="1"/>
  <c r="E148" i="1"/>
  <c r="D148" i="1"/>
  <c r="H148" i="1"/>
  <c r="G148" i="1"/>
  <c r="H149" i="1" l="1"/>
  <c r="D149" i="1"/>
  <c r="G149" i="1"/>
  <c r="F149" i="1"/>
  <c r="E149" i="1"/>
  <c r="C150" i="1"/>
  <c r="F150" i="1" l="1"/>
  <c r="C151" i="1"/>
  <c r="E150" i="1"/>
  <c r="H150" i="1"/>
  <c r="G150" i="1"/>
  <c r="D150" i="1"/>
  <c r="H151" i="1" l="1"/>
  <c r="D151" i="1"/>
  <c r="G151" i="1"/>
  <c r="C152" i="1"/>
  <c r="F151" i="1"/>
  <c r="E151" i="1"/>
  <c r="F152" i="1" l="1"/>
  <c r="C153" i="1"/>
  <c r="E152" i="1"/>
  <c r="D152" i="1"/>
  <c r="H152" i="1"/>
  <c r="G152" i="1"/>
  <c r="H153" i="1" l="1"/>
  <c r="D153" i="1"/>
  <c r="G153" i="1"/>
  <c r="F153" i="1"/>
  <c r="E153" i="1"/>
  <c r="C154" i="1"/>
  <c r="F154" i="1" l="1"/>
  <c r="C155" i="1"/>
  <c r="E154" i="1"/>
  <c r="H154" i="1"/>
  <c r="G154" i="1"/>
  <c r="D154" i="1"/>
  <c r="H155" i="1" l="1"/>
  <c r="D155" i="1"/>
  <c r="G155" i="1"/>
  <c r="C156" i="1"/>
  <c r="F155" i="1"/>
  <c r="E155" i="1"/>
  <c r="F156" i="1" l="1"/>
  <c r="C157" i="1"/>
  <c r="E156" i="1"/>
  <c r="D156" i="1"/>
  <c r="H156" i="1"/>
  <c r="G156" i="1"/>
  <c r="H157" i="1" l="1"/>
  <c r="D157" i="1"/>
  <c r="G157" i="1"/>
  <c r="F157" i="1"/>
  <c r="E157" i="1"/>
  <c r="C158" i="1"/>
  <c r="F158" i="1" l="1"/>
  <c r="C159" i="1"/>
  <c r="E158" i="1"/>
  <c r="H158" i="1"/>
  <c r="G158" i="1"/>
  <c r="D158" i="1"/>
  <c r="H159" i="1" l="1"/>
  <c r="D159" i="1"/>
  <c r="G159" i="1"/>
  <c r="C160" i="1"/>
  <c r="F159" i="1"/>
  <c r="E159" i="1"/>
  <c r="F160" i="1" l="1"/>
  <c r="C161" i="1"/>
  <c r="E160" i="1"/>
  <c r="D160" i="1"/>
  <c r="H160" i="1"/>
  <c r="G160" i="1"/>
  <c r="H161" i="1" l="1"/>
  <c r="D161" i="1"/>
  <c r="G161" i="1"/>
  <c r="F161" i="1"/>
  <c r="E161" i="1"/>
  <c r="C162" i="1"/>
  <c r="F162" i="1" l="1"/>
  <c r="C163" i="1"/>
  <c r="E162" i="1"/>
  <c r="H162" i="1"/>
  <c r="G162" i="1"/>
  <c r="D162" i="1"/>
  <c r="H163" i="1" l="1"/>
  <c r="D163" i="1"/>
  <c r="G163" i="1"/>
  <c r="C164" i="1"/>
  <c r="F163" i="1"/>
  <c r="E163" i="1"/>
  <c r="F164" i="1" l="1"/>
  <c r="C165" i="1"/>
  <c r="E164" i="1"/>
  <c r="D164" i="1"/>
  <c r="H164" i="1"/>
  <c r="G164" i="1"/>
  <c r="H165" i="1" l="1"/>
  <c r="D165" i="1"/>
  <c r="G165" i="1"/>
  <c r="F165" i="1"/>
  <c r="E165" i="1"/>
  <c r="C166" i="1"/>
  <c r="F166" i="1" l="1"/>
  <c r="C167" i="1"/>
  <c r="E166" i="1"/>
  <c r="H166" i="1"/>
  <c r="G166" i="1"/>
  <c r="D166" i="1"/>
  <c r="H167" i="1" l="1"/>
  <c r="D167" i="1"/>
  <c r="G167" i="1"/>
  <c r="C168" i="1"/>
  <c r="F167" i="1"/>
  <c r="E167" i="1"/>
  <c r="H168" i="1" l="1"/>
  <c r="F168" i="1"/>
  <c r="C169" i="1"/>
  <c r="E168" i="1"/>
  <c r="D168" i="1"/>
  <c r="G168" i="1"/>
  <c r="F169" i="1" l="1"/>
  <c r="H169" i="1"/>
  <c r="D169" i="1"/>
  <c r="G169" i="1"/>
  <c r="C170" i="1"/>
  <c r="E169" i="1"/>
  <c r="H170" i="1" l="1"/>
  <c r="D170" i="1"/>
  <c r="F170" i="1"/>
  <c r="C171" i="1"/>
  <c r="E170" i="1"/>
  <c r="G170" i="1"/>
  <c r="F171" i="1" l="1"/>
  <c r="C172" i="1"/>
  <c r="E171" i="1"/>
  <c r="H171" i="1"/>
  <c r="D171" i="1"/>
  <c r="G171" i="1"/>
  <c r="H172" i="1" l="1"/>
  <c r="D172" i="1"/>
  <c r="G172" i="1"/>
  <c r="F172" i="1"/>
  <c r="C173" i="1"/>
  <c r="E172" i="1"/>
  <c r="F173" i="1" l="1"/>
  <c r="C174" i="1"/>
  <c r="E173" i="1"/>
  <c r="H173" i="1"/>
  <c r="D173" i="1"/>
  <c r="G173" i="1"/>
  <c r="H174" i="1" l="1"/>
  <c r="D174" i="1"/>
  <c r="G174" i="1"/>
  <c r="F174" i="1"/>
  <c r="C175" i="1"/>
  <c r="E174" i="1"/>
  <c r="F175" i="1" l="1"/>
  <c r="C176" i="1"/>
  <c r="E175" i="1"/>
  <c r="H175" i="1"/>
  <c r="D175" i="1"/>
  <c r="G175" i="1"/>
  <c r="H176" i="1" l="1"/>
  <c r="D176" i="1"/>
  <c r="G176" i="1"/>
  <c r="F176" i="1"/>
  <c r="C177" i="1"/>
  <c r="E176" i="1"/>
  <c r="F177" i="1" l="1"/>
  <c r="C178" i="1"/>
  <c r="E177" i="1"/>
  <c r="H177" i="1"/>
  <c r="D177" i="1"/>
  <c r="G177" i="1"/>
  <c r="H178" i="1" l="1"/>
  <c r="D178" i="1"/>
  <c r="G178" i="1"/>
  <c r="F178" i="1"/>
  <c r="C179" i="1"/>
  <c r="E178" i="1"/>
  <c r="F179" i="1" l="1"/>
  <c r="C180" i="1"/>
  <c r="E179" i="1"/>
  <c r="H179" i="1"/>
  <c r="D179" i="1"/>
  <c r="G179" i="1"/>
  <c r="H180" i="1" l="1"/>
  <c r="D180" i="1"/>
  <c r="G180" i="1"/>
  <c r="F180" i="1"/>
  <c r="C181" i="1"/>
  <c r="E180" i="1"/>
  <c r="F181" i="1" l="1"/>
  <c r="C182" i="1"/>
  <c r="E181" i="1"/>
  <c r="H181" i="1"/>
  <c r="D181" i="1"/>
  <c r="G181" i="1"/>
  <c r="H182" i="1" l="1"/>
  <c r="D182" i="1"/>
  <c r="G182" i="1"/>
  <c r="F182" i="1"/>
  <c r="C183" i="1"/>
  <c r="E182" i="1"/>
  <c r="F183" i="1" l="1"/>
  <c r="C184" i="1"/>
  <c r="E183" i="1"/>
  <c r="H183" i="1"/>
  <c r="D183" i="1"/>
  <c r="G183" i="1"/>
  <c r="H184" i="1" l="1"/>
  <c r="D184" i="1"/>
  <c r="G184" i="1"/>
  <c r="F184" i="1"/>
  <c r="C185" i="1"/>
  <c r="E184" i="1"/>
  <c r="F185" i="1" l="1"/>
  <c r="C186" i="1"/>
  <c r="E185" i="1"/>
  <c r="H185" i="1"/>
  <c r="D185" i="1"/>
  <c r="G185" i="1"/>
  <c r="H186" i="1" l="1"/>
  <c r="D186" i="1"/>
  <c r="G186" i="1"/>
  <c r="F186" i="1"/>
  <c r="C187" i="1"/>
  <c r="E186" i="1"/>
  <c r="F187" i="1" l="1"/>
  <c r="C188" i="1"/>
  <c r="E187" i="1"/>
  <c r="H187" i="1"/>
  <c r="D187" i="1"/>
  <c r="G187" i="1"/>
  <c r="H188" i="1" l="1"/>
  <c r="D188" i="1"/>
  <c r="G188" i="1"/>
  <c r="F188" i="1"/>
  <c r="C189" i="1"/>
  <c r="E188" i="1"/>
  <c r="F189" i="1" l="1"/>
  <c r="C190" i="1"/>
  <c r="E189" i="1"/>
  <c r="H189" i="1"/>
  <c r="D189" i="1"/>
  <c r="G189" i="1"/>
  <c r="H190" i="1" l="1"/>
  <c r="D190" i="1"/>
  <c r="G190" i="1"/>
  <c r="F190" i="1"/>
  <c r="C191" i="1"/>
  <c r="E190" i="1"/>
  <c r="F191" i="1" l="1"/>
  <c r="C192" i="1"/>
  <c r="E191" i="1"/>
  <c r="H191" i="1"/>
  <c r="D191" i="1"/>
  <c r="G191" i="1"/>
  <c r="H192" i="1" l="1"/>
  <c r="D192" i="1"/>
  <c r="G192" i="1"/>
  <c r="F192" i="1"/>
  <c r="C193" i="1"/>
  <c r="E192" i="1"/>
  <c r="F193" i="1" l="1"/>
  <c r="C194" i="1"/>
  <c r="E193" i="1"/>
  <c r="H193" i="1"/>
  <c r="D193" i="1"/>
  <c r="G193" i="1"/>
  <c r="H194" i="1" l="1"/>
  <c r="D194" i="1"/>
  <c r="G194" i="1"/>
  <c r="F194" i="1"/>
  <c r="C195" i="1"/>
  <c r="E194" i="1"/>
  <c r="F195" i="1" l="1"/>
  <c r="C196" i="1"/>
  <c r="E195" i="1"/>
  <c r="H195" i="1"/>
  <c r="D195" i="1"/>
  <c r="G195" i="1"/>
  <c r="H196" i="1" l="1"/>
  <c r="D196" i="1"/>
  <c r="G196" i="1"/>
  <c r="F196" i="1"/>
  <c r="C197" i="1"/>
  <c r="E196" i="1"/>
  <c r="F197" i="1" l="1"/>
  <c r="C198" i="1"/>
  <c r="E197" i="1"/>
  <c r="H197" i="1"/>
  <c r="D197" i="1"/>
  <c r="G197" i="1"/>
  <c r="H198" i="1" l="1"/>
  <c r="D198" i="1"/>
  <c r="G198" i="1"/>
  <c r="F198" i="1"/>
  <c r="C199" i="1"/>
  <c r="E198" i="1"/>
  <c r="F199" i="1" l="1"/>
  <c r="C200" i="1"/>
  <c r="E199" i="1"/>
  <c r="H199" i="1"/>
  <c r="D199" i="1"/>
  <c r="G199" i="1"/>
  <c r="H200" i="1" l="1"/>
  <c r="D200" i="1"/>
  <c r="G200" i="1"/>
  <c r="F200" i="1"/>
  <c r="E200" i="1"/>
  <c r="G22" i="1" l="1"/>
  <c r="F23" i="1" l="1"/>
  <c r="G23" i="1"/>
  <c r="G25" i="1"/>
  <c r="F24" i="1"/>
  <c r="G24" i="1"/>
  <c r="F21" i="1"/>
  <c r="H21" i="1" s="1"/>
  <c r="F22" i="1"/>
  <c r="H22" i="1" s="1"/>
  <c r="H23" i="1" l="1"/>
  <c r="H24" i="1"/>
  <c r="G26" i="1"/>
  <c r="F26" i="1"/>
  <c r="F25" i="1"/>
  <c r="H25" i="1" s="1"/>
  <c r="H26" i="1" l="1"/>
  <c r="G27" i="1"/>
  <c r="G28" i="1" l="1"/>
  <c r="F27" i="1"/>
  <c r="H27" i="1" s="1"/>
  <c r="G29" i="1" l="1"/>
  <c r="F29" i="1"/>
  <c r="H29" i="1" s="1"/>
  <c r="F28" i="1"/>
  <c r="H28" i="1" s="1"/>
  <c r="G30" i="1" l="1"/>
  <c r="F30" i="1"/>
  <c r="H30" i="1" l="1"/>
  <c r="G31" i="1"/>
  <c r="G32" i="1" l="1"/>
  <c r="F31" i="1"/>
  <c r="H31" i="1" s="1"/>
  <c r="G33" i="1" l="1"/>
  <c r="F32" i="1"/>
  <c r="H32" i="1" s="1"/>
  <c r="G34" i="1" l="1"/>
  <c r="F33" i="1"/>
  <c r="H33" i="1" s="1"/>
  <c r="G35" i="1" l="1"/>
  <c r="F34" i="1"/>
  <c r="H34" i="1" s="1"/>
  <c r="G36" i="1" l="1"/>
  <c r="F35" i="1"/>
  <c r="H35" i="1" s="1"/>
  <c r="F37" i="1" l="1"/>
  <c r="H37" i="1" s="1"/>
  <c r="G37" i="1"/>
  <c r="E14" i="1" s="1"/>
  <c r="F36" i="1"/>
  <c r="H36" i="1" s="1"/>
  <c r="E13" i="1" l="1"/>
</calcChain>
</file>

<file path=xl/sharedStrings.xml><?xml version="1.0" encoding="utf-8"?>
<sst xmlns="http://schemas.openxmlformats.org/spreadsheetml/2006/main" count="26" uniqueCount="20">
  <si>
    <t>BALLOON LOAN CALCULATOR</t>
  </si>
  <si>
    <t>Loan Amount</t>
  </si>
  <si>
    <t>Payment Date</t>
  </si>
  <si>
    <t>Interest Rate (per Year)</t>
  </si>
  <si>
    <t>Amortization Period (Month)</t>
  </si>
  <si>
    <t>Payment Period (Month)</t>
  </si>
  <si>
    <t>%</t>
  </si>
  <si>
    <t>months</t>
  </si>
  <si>
    <t>AMORTIZATION SCHEDULE</t>
  </si>
  <si>
    <t>Month</t>
  </si>
  <si>
    <t>Balance</t>
  </si>
  <si>
    <t>Principal</t>
  </si>
  <si>
    <t>Interest</t>
  </si>
  <si>
    <t>Payment</t>
  </si>
  <si>
    <t>Total Interest</t>
  </si>
  <si>
    <t>Total Payment</t>
  </si>
  <si>
    <t>Monthly Payment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</si>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</sst>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_);[Red]\(&quot;$&quot;#,##0.00\)"/>
    <numFmt numFmtId="165" formatCode="_(* #,##0.00_);_(* \(#,##0.00\);_(* &quot;-&quot;??_);_(@_)"/>
    <numFmt numFmtId="166" formatCode="[$-409]d\-mmm\-yy;@"/>
    <numFmt numFmtId="167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theme="6" tint="-0.24994659260841701"/>
      </left>
      <right style="thick">
        <color theme="6" tint="-0.24994659260841701"/>
      </right>
      <top style="thick">
        <color theme="6" tint="-0.24994659260841701"/>
      </top>
      <bottom style="thick">
        <color theme="6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9" tint="-0.24994659260841701"/>
      </left>
      <right style="thick">
        <color theme="9" tint="-0.24994659260841701"/>
      </right>
      <top style="thick">
        <color theme="9" tint="-0.24994659260841701"/>
      </top>
      <bottom style="thick">
        <color theme="9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11" fillId="0" borderId="0"/>
    <xf numFmtId="0" fontId="14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vertical="center"/>
    </xf>
    <xf numFmtId="165" fontId="0" fillId="0" borderId="0" xfId="1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64" fontId="0" fillId="0" borderId="8" xfId="0" applyNumberFormat="1" applyBorder="1" applyAlignment="1">
      <alignment vertical="center"/>
    </xf>
    <xf numFmtId="0" fontId="0" fillId="0" borderId="9" xfId="0" applyBorder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Border="1" applyAlignment="1">
      <alignment vertical="center"/>
    </xf>
    <xf numFmtId="165" fontId="2" fillId="4" borderId="1" xfId="1" applyFont="1" applyFill="1" applyBorder="1" applyAlignment="1">
      <alignment vertical="center"/>
    </xf>
    <xf numFmtId="167" fontId="0" fillId="5" borderId="1" xfId="1" applyNumberFormat="1" applyFont="1" applyFill="1" applyBorder="1" applyAlignment="1">
      <alignment vertical="center"/>
    </xf>
    <xf numFmtId="15" fontId="0" fillId="5" borderId="1" xfId="0" applyNumberFormat="1" applyFill="1" applyBorder="1" applyAlignment="1">
      <alignment vertical="center"/>
    </xf>
    <xf numFmtId="0" fontId="0" fillId="0" borderId="10" xfId="0" applyBorder="1" applyAlignment="1">
      <alignment horizontal="center" vertical="center"/>
    </xf>
    <xf numFmtId="165" fontId="0" fillId="0" borderId="10" xfId="1" applyFont="1" applyBorder="1" applyAlignment="1">
      <alignment vertical="center"/>
    </xf>
    <xf numFmtId="166" fontId="0" fillId="0" borderId="10" xfId="0" applyNumberFormat="1" applyBorder="1" applyAlignment="1">
      <alignment vertical="center"/>
    </xf>
    <xf numFmtId="167" fontId="0" fillId="5" borderId="12" xfId="1" applyNumberFormat="1" applyFont="1" applyFill="1" applyBorder="1" applyAlignment="1">
      <alignment vertical="center"/>
    </xf>
    <xf numFmtId="165" fontId="0" fillId="5" borderId="11" xfId="1" applyFont="1" applyFill="1" applyBorder="1" applyAlignment="1">
      <alignment vertical="center"/>
    </xf>
    <xf numFmtId="165" fontId="2" fillId="4" borderId="14" xfId="1" applyFont="1" applyFill="1" applyBorder="1" applyAlignment="1">
      <alignment vertical="center"/>
    </xf>
    <xf numFmtId="165" fontId="2" fillId="4" borderId="13" xfId="1" applyFont="1" applyFill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2" fillId="4" borderId="10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0" fillId="4" borderId="10" xfId="0" applyFill="1" applyBorder="1" applyAlignment="1">
      <alignment horizontal="center" vertical="center"/>
    </xf>
    <xf numFmtId="0" fontId="0" fillId="4" borderId="10" xfId="0" applyFill="1" applyBorder="1" applyAlignment="1">
      <alignment vertical="center"/>
    </xf>
    <xf numFmtId="165" fontId="0" fillId="4" borderId="10" xfId="1" applyFont="1" applyFill="1" applyBorder="1" applyAlignment="1">
      <alignment vertical="center"/>
    </xf>
    <xf numFmtId="0" fontId="12" fillId="0" borderId="0" xfId="2" applyFont="1"/>
    <xf numFmtId="0" fontId="13" fillId="0" borderId="0" xfId="2" applyFont="1"/>
    <xf numFmtId="0" fontId="15" fillId="0" borderId="0" xfId="3" applyFont="1"/>
    <xf numFmtId="0" fontId="12" fillId="0" borderId="0" xfId="2" applyFont="1" applyAlignment="1"/>
    <xf numFmtId="0" fontId="16" fillId="0" borderId="0" xfId="3" applyFont="1" applyAlignment="1"/>
    <xf numFmtId="0" fontId="11" fillId="0" borderId="0" xfId="2"/>
    <xf numFmtId="0" fontId="5" fillId="3" borderId="0" xfId="0" applyFont="1" applyFill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2" fillId="0" borderId="0" xfId="2" applyFont="1" applyAlignment="1">
      <alignment horizontal="left"/>
    </xf>
    <xf numFmtId="0" fontId="16" fillId="0" borderId="0" xfId="3" applyFont="1" applyAlignment="1">
      <alignment horizontal="left"/>
    </xf>
  </cellXfs>
  <cellStyles count="4">
    <cellStyle name="Comma" xfId="1" builtinId="3"/>
    <cellStyle name="Hyperlink" xfId="3" builtinId="8"/>
    <cellStyle name="Normal" xfId="0" builtinId="0"/>
    <cellStyle name="Normal 2" xfId="2"/>
  </cellStyles>
  <dxfs count="2">
    <dxf>
      <font>
        <b/>
        <i val="0"/>
      </font>
      <fill>
        <patternFill>
          <bgColor rgb="FF00B0F0"/>
        </patternFill>
      </fill>
    </dxf>
    <dxf>
      <font>
        <color theme="0"/>
      </font>
      <border>
        <left/>
        <right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chemeClr val="accent3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D985-4F4E-B077-40DBE6A320FC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D985-4F4E-B077-40DBE6A320FC}"/>
              </c:ext>
            </c:extLst>
          </c:dPt>
          <c:val>
            <c:numRef>
              <c:f>(Balloon!$E$5,Balloon!$E$14)</c:f>
              <c:numCache>
                <c:formatCode>_(* #,##0.00_);_(* \(#,##0.00\);_(* "-"??_);_(@_)</c:formatCode>
                <c:ptCount val="2"/>
                <c:pt idx="0">
                  <c:v>50000</c:v>
                </c:pt>
                <c:pt idx="1">
                  <c:v>9579.8199927554851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85-4F4E-B077-40DBE6A32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10</xdr:row>
      <xdr:rowOff>45720</xdr:rowOff>
    </xdr:from>
    <xdr:to>
      <xdr:col>6</xdr:col>
      <xdr:colOff>723900</xdr:colOff>
      <xdr:row>14</xdr:row>
      <xdr:rowOff>312420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327660</xdr:colOff>
      <xdr:row>13</xdr:row>
      <xdr:rowOff>190500</xdr:rowOff>
    </xdr:from>
    <xdr:ext cx="184731" cy="264560"/>
    <xdr:sp macro="" textlink="">
      <xdr:nvSpPr>
        <xdr:cNvPr id="3" name="TextBox 2"/>
        <xdr:cNvSpPr txBox="1"/>
      </xdr:nvSpPr>
      <xdr:spPr>
        <a:xfrm>
          <a:off x="7360920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6</xdr:col>
      <xdr:colOff>723900</xdr:colOff>
      <xdr:row>11</xdr:row>
      <xdr:rowOff>30480</xdr:rowOff>
    </xdr:from>
    <xdr:to>
      <xdr:col>6</xdr:col>
      <xdr:colOff>831900</xdr:colOff>
      <xdr:row>11</xdr:row>
      <xdr:rowOff>138480</xdr:rowOff>
    </xdr:to>
    <xdr:sp macro="" textlink="">
      <xdr:nvSpPr>
        <xdr:cNvPr id="4" name="Oval 3"/>
        <xdr:cNvSpPr/>
      </xdr:nvSpPr>
      <xdr:spPr>
        <a:xfrm>
          <a:off x="5250180" y="2354580"/>
          <a:ext cx="108000" cy="108000"/>
        </a:xfrm>
        <a:prstGeom prst="ellipse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723900</xdr:colOff>
      <xdr:row>12</xdr:row>
      <xdr:rowOff>45720</xdr:rowOff>
    </xdr:from>
    <xdr:to>
      <xdr:col>6</xdr:col>
      <xdr:colOff>831900</xdr:colOff>
      <xdr:row>12</xdr:row>
      <xdr:rowOff>153720</xdr:rowOff>
    </xdr:to>
    <xdr:sp macro="" textlink="">
      <xdr:nvSpPr>
        <xdr:cNvPr id="5" name="Oval 4"/>
        <xdr:cNvSpPr/>
      </xdr:nvSpPr>
      <xdr:spPr>
        <a:xfrm>
          <a:off x="5250180" y="2552700"/>
          <a:ext cx="108000" cy="108000"/>
        </a:xfrm>
        <a:prstGeom prst="ellipse">
          <a:avLst/>
        </a:prstGeom>
        <a:solidFill>
          <a:schemeClr val="accent3">
            <a:lumMod val="75000"/>
          </a:schemeClr>
        </a:solidFill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00"/>
  <sheetViews>
    <sheetView showGridLines="0" tabSelected="1" workbookViewId="0">
      <selection activeCell="B17" sqref="B17:I17"/>
    </sheetView>
  </sheetViews>
  <sheetFormatPr defaultColWidth="0" defaultRowHeight="14.4" x14ac:dyDescent="0.3"/>
  <cols>
    <col min="1" max="2" width="3.77734375" style="1" customWidth="1"/>
    <col min="3" max="3" width="11.21875" style="1" customWidth="1"/>
    <col min="4" max="4" width="15.88671875" style="1" customWidth="1"/>
    <col min="5" max="8" width="12.77734375" style="1" customWidth="1"/>
    <col min="9" max="9" width="3.77734375" style="1" customWidth="1"/>
    <col min="10" max="10" width="5" style="1" customWidth="1"/>
    <col min="11" max="16384" width="8.88671875" style="1" hidden="1"/>
  </cols>
  <sheetData>
    <row r="2" spans="2:9" ht="21" x14ac:dyDescent="0.3">
      <c r="B2" s="40" t="s">
        <v>0</v>
      </c>
      <c r="C2" s="40"/>
      <c r="D2" s="40"/>
      <c r="E2" s="40"/>
      <c r="F2" s="40"/>
      <c r="G2" s="40"/>
      <c r="H2" s="40"/>
      <c r="I2" s="40"/>
    </row>
    <row r="3" spans="2:9" s="13" customFormat="1" ht="14.4" customHeight="1" thickBot="1" x14ac:dyDescent="0.35">
      <c r="B3" s="14"/>
      <c r="C3" s="14"/>
      <c r="D3" s="14"/>
      <c r="E3" s="14"/>
      <c r="F3" s="14"/>
      <c r="G3" s="14"/>
      <c r="H3" s="14"/>
    </row>
    <row r="4" spans="2:9" ht="15" thickBot="1" x14ac:dyDescent="0.35">
      <c r="B4" s="3"/>
      <c r="C4" s="4"/>
      <c r="D4" s="4"/>
      <c r="E4" s="4"/>
      <c r="F4" s="4"/>
      <c r="G4" s="4"/>
      <c r="H4" s="4"/>
      <c r="I4" s="5"/>
    </row>
    <row r="5" spans="2:9" ht="15.6" thickTop="1" thickBot="1" x14ac:dyDescent="0.35">
      <c r="B5" s="6"/>
      <c r="C5" s="26" t="s">
        <v>1</v>
      </c>
      <c r="D5" s="7"/>
      <c r="E5" s="22">
        <v>50000</v>
      </c>
      <c r="F5" s="7"/>
      <c r="G5" s="7"/>
      <c r="H5" s="7"/>
      <c r="I5" s="8"/>
    </row>
    <row r="6" spans="2:9" ht="15" thickTop="1" x14ac:dyDescent="0.3">
      <c r="B6" s="6"/>
      <c r="C6" s="7" t="s">
        <v>3</v>
      </c>
      <c r="D6" s="7"/>
      <c r="E6" s="21">
        <v>12</v>
      </c>
      <c r="F6" s="7" t="s">
        <v>6</v>
      </c>
      <c r="G6" s="7"/>
      <c r="H6" s="7"/>
      <c r="I6" s="8"/>
    </row>
    <row r="7" spans="2:9" x14ac:dyDescent="0.3">
      <c r="B7" s="6"/>
      <c r="C7" s="7" t="s">
        <v>4</v>
      </c>
      <c r="D7" s="7"/>
      <c r="E7" s="16">
        <v>80</v>
      </c>
      <c r="F7" s="7" t="s">
        <v>7</v>
      </c>
      <c r="G7" s="7"/>
      <c r="H7" s="7"/>
      <c r="I7" s="8"/>
    </row>
    <row r="8" spans="2:9" x14ac:dyDescent="0.3">
      <c r="B8" s="6"/>
      <c r="C8" s="7" t="s">
        <v>5</v>
      </c>
      <c r="D8" s="7"/>
      <c r="E8" s="16">
        <v>20</v>
      </c>
      <c r="F8" s="7" t="s">
        <v>7</v>
      </c>
      <c r="G8" s="7"/>
      <c r="H8" s="7"/>
      <c r="I8" s="8"/>
    </row>
    <row r="9" spans="2:9" x14ac:dyDescent="0.3">
      <c r="B9" s="6"/>
      <c r="C9" s="7" t="s">
        <v>2</v>
      </c>
      <c r="D9" s="7"/>
      <c r="E9" s="17">
        <v>42005</v>
      </c>
      <c r="F9" s="7"/>
      <c r="G9" s="7"/>
      <c r="H9" s="7"/>
      <c r="I9" s="8"/>
    </row>
    <row r="10" spans="2:9" ht="15" thickBot="1" x14ac:dyDescent="0.35">
      <c r="B10" s="9"/>
      <c r="C10" s="10"/>
      <c r="D10" s="10"/>
      <c r="E10" s="10"/>
      <c r="F10" s="10"/>
      <c r="G10" s="10"/>
      <c r="H10" s="10"/>
      <c r="I10" s="12"/>
    </row>
    <row r="11" spans="2:9" ht="29.4" customHeight="1" x14ac:dyDescent="0.3">
      <c r="B11" s="3"/>
      <c r="C11" s="4"/>
      <c r="D11" s="4"/>
      <c r="E11" s="4"/>
      <c r="F11" s="4"/>
      <c r="G11" s="4"/>
      <c r="H11" s="4"/>
      <c r="I11" s="5"/>
    </row>
    <row r="12" spans="2:9" x14ac:dyDescent="0.3">
      <c r="B12" s="6"/>
      <c r="C12" s="7" t="s">
        <v>16</v>
      </c>
      <c r="D12" s="7"/>
      <c r="E12" s="15">
        <f>-PMT(E6/1200,E7,E5)</f>
        <v>910.94250563660989</v>
      </c>
      <c r="F12" s="7"/>
      <c r="G12" s="7"/>
      <c r="H12" s="7" t="s">
        <v>14</v>
      </c>
      <c r="I12" s="8"/>
    </row>
    <row r="13" spans="2:9" ht="15" thickBot="1" x14ac:dyDescent="0.35">
      <c r="B13" s="6"/>
      <c r="C13" s="7" t="s">
        <v>15</v>
      </c>
      <c r="D13" s="7"/>
      <c r="E13" s="23">
        <f>SUM(H21:H200)</f>
        <v>59579.819992755482</v>
      </c>
      <c r="F13" s="7"/>
      <c r="G13" s="7"/>
      <c r="H13" s="7" t="s">
        <v>1</v>
      </c>
      <c r="I13" s="8"/>
    </row>
    <row r="14" spans="2:9" ht="15.6" thickTop="1" thickBot="1" x14ac:dyDescent="0.35">
      <c r="B14" s="6"/>
      <c r="C14" s="25" t="s">
        <v>14</v>
      </c>
      <c r="D14" s="7"/>
      <c r="E14" s="24">
        <f>SUM(G21:G200)</f>
        <v>9579.8199927554851</v>
      </c>
      <c r="F14" s="7"/>
      <c r="G14" s="7"/>
      <c r="H14" s="7"/>
      <c r="I14" s="8"/>
    </row>
    <row r="15" spans="2:9" ht="27.6" customHeight="1" thickTop="1" thickBot="1" x14ac:dyDescent="0.35">
      <c r="B15" s="9"/>
      <c r="C15" s="10"/>
      <c r="D15" s="10"/>
      <c r="E15" s="11"/>
      <c r="F15" s="10"/>
      <c r="G15" s="10"/>
      <c r="H15" s="10"/>
      <c r="I15" s="12"/>
    </row>
    <row r="16" spans="2:9" x14ac:dyDescent="0.3">
      <c r="B16" s="29" t="s">
        <v>19</v>
      </c>
    </row>
    <row r="17" spans="2:9" x14ac:dyDescent="0.3">
      <c r="B17" s="39" t="s">
        <v>8</v>
      </c>
      <c r="C17" s="39"/>
      <c r="D17" s="39"/>
      <c r="E17" s="39"/>
      <c r="F17" s="39"/>
      <c r="G17" s="39"/>
      <c r="H17" s="39"/>
      <c r="I17" s="39"/>
    </row>
    <row r="19" spans="2:9" x14ac:dyDescent="0.3">
      <c r="B19" s="28"/>
      <c r="C19" s="27" t="s">
        <v>9</v>
      </c>
      <c r="D19" s="27" t="s">
        <v>2</v>
      </c>
      <c r="E19" s="27" t="s">
        <v>10</v>
      </c>
      <c r="F19" s="27" t="s">
        <v>11</v>
      </c>
      <c r="G19" s="27" t="s">
        <v>12</v>
      </c>
      <c r="H19" s="27" t="s">
        <v>13</v>
      </c>
    </row>
    <row r="20" spans="2:9" x14ac:dyDescent="0.3">
      <c r="B20" s="28"/>
      <c r="C20" s="30"/>
      <c r="D20" s="31"/>
      <c r="E20" s="19">
        <f>E5</f>
        <v>50000</v>
      </c>
      <c r="F20" s="32"/>
      <c r="G20" s="32"/>
      <c r="H20" s="32"/>
      <c r="I20" s="2"/>
    </row>
    <row r="21" spans="2:9" x14ac:dyDescent="0.3">
      <c r="B21" s="28"/>
      <c r="C21" s="18">
        <v>1</v>
      </c>
      <c r="D21" s="20">
        <f>E9</f>
        <v>42005</v>
      </c>
      <c r="E21" s="19">
        <f t="shared" ref="E21:E52" si="0">IF(C21&lt;&gt;"",IF(C21=$E$8+1,0,-FV($E$6/1200,C21,-$E$12,$E$5)),"")</f>
        <v>49589.057494363391</v>
      </c>
      <c r="F21" s="19">
        <f>IF(C21&lt;&gt;"",IF(C21=$E$8+1,E20,E20-E21),"")</f>
        <v>410.94250563660898</v>
      </c>
      <c r="G21" s="19">
        <f t="shared" ref="G21:G37" si="1">IF(C21&lt;&gt;"",E20*$E$6/1200,"")</f>
        <v>500</v>
      </c>
      <c r="H21" s="19">
        <f>IF(C21&lt;&gt;"",F21+G21,"")</f>
        <v>910.94250563660898</v>
      </c>
      <c r="I21" s="2"/>
    </row>
    <row r="22" spans="2:9" x14ac:dyDescent="0.3">
      <c r="B22" s="28"/>
      <c r="C22" s="18">
        <f t="shared" ref="C22:C37" si="2">IF(OR(C21="",C21=$E$8+1),"",C21+1)</f>
        <v>2</v>
      </c>
      <c r="D22" s="20">
        <f>IF(C22&lt;&gt;"",DATE(YEAR(D21),MONTH(D21)+1,1),"")</f>
        <v>42036</v>
      </c>
      <c r="E22" s="19">
        <f t="shared" si="0"/>
        <v>49174.005563670413</v>
      </c>
      <c r="F22" s="19">
        <f t="shared" ref="F22:F37" si="3">IF(C22&lt;&gt;"",IF(C22=$E$8+1,E21,E21-E22),"")</f>
        <v>415.0519306929782</v>
      </c>
      <c r="G22" s="19">
        <f t="shared" si="1"/>
        <v>495.89057494363391</v>
      </c>
      <c r="H22" s="19">
        <f t="shared" ref="H22:H37" si="4">IF(C22&lt;&gt;"",F22+G22,"")</f>
        <v>910.94250563661217</v>
      </c>
      <c r="I22" s="2"/>
    </row>
    <row r="23" spans="2:9" x14ac:dyDescent="0.3">
      <c r="B23" s="28"/>
      <c r="C23" s="18">
        <f t="shared" si="2"/>
        <v>3</v>
      </c>
      <c r="D23" s="20">
        <f t="shared" ref="D23:D33" si="5">IF(C23&lt;&gt;"",DATE(YEAR(D22),MONTH(D22)+1,1),"")</f>
        <v>42064</v>
      </c>
      <c r="E23" s="19">
        <f t="shared" si="0"/>
        <v>48754.80311367051</v>
      </c>
      <c r="F23" s="19">
        <f t="shared" si="3"/>
        <v>419.20244999990246</v>
      </c>
      <c r="G23" s="19">
        <f t="shared" si="1"/>
        <v>491.74005563670408</v>
      </c>
      <c r="H23" s="19">
        <f t="shared" si="4"/>
        <v>910.94250563660648</v>
      </c>
      <c r="I23" s="2"/>
    </row>
    <row r="24" spans="2:9" x14ac:dyDescent="0.3">
      <c r="B24" s="28"/>
      <c r="C24" s="18">
        <f t="shared" si="2"/>
        <v>4</v>
      </c>
      <c r="D24" s="20">
        <f t="shared" si="5"/>
        <v>42095</v>
      </c>
      <c r="E24" s="19">
        <f t="shared" si="0"/>
        <v>48331.408639170601</v>
      </c>
      <c r="F24" s="19">
        <f t="shared" si="3"/>
        <v>423.39447449990985</v>
      </c>
      <c r="G24" s="19">
        <f t="shared" si="1"/>
        <v>487.54803113670516</v>
      </c>
      <c r="H24" s="19">
        <f t="shared" si="4"/>
        <v>910.94250563661501</v>
      </c>
      <c r="I24" s="2"/>
    </row>
    <row r="25" spans="2:9" x14ac:dyDescent="0.3">
      <c r="B25" s="28"/>
      <c r="C25" s="18">
        <f t="shared" si="2"/>
        <v>5</v>
      </c>
      <c r="D25" s="20">
        <f t="shared" si="5"/>
        <v>42125</v>
      </c>
      <c r="E25" s="19">
        <f t="shared" si="0"/>
        <v>47903.780219925706</v>
      </c>
      <c r="F25" s="19">
        <f t="shared" si="3"/>
        <v>427.62841924489476</v>
      </c>
      <c r="G25" s="19">
        <f t="shared" si="1"/>
        <v>483.31408639170598</v>
      </c>
      <c r="H25" s="19">
        <f t="shared" si="4"/>
        <v>910.9425056366008</v>
      </c>
      <c r="I25" s="2"/>
    </row>
    <row r="26" spans="2:9" x14ac:dyDescent="0.3">
      <c r="B26" s="28"/>
      <c r="C26" s="18">
        <f t="shared" si="2"/>
        <v>6</v>
      </c>
      <c r="D26" s="20">
        <f t="shared" si="5"/>
        <v>42156</v>
      </c>
      <c r="E26" s="19">
        <f t="shared" si="0"/>
        <v>47471.875516488348</v>
      </c>
      <c r="F26" s="19">
        <f t="shared" si="3"/>
        <v>431.90470343735797</v>
      </c>
      <c r="G26" s="19">
        <f t="shared" si="1"/>
        <v>479.03780219925704</v>
      </c>
      <c r="H26" s="19">
        <f t="shared" si="4"/>
        <v>910.94250563661501</v>
      </c>
      <c r="I26" s="2"/>
    </row>
    <row r="27" spans="2:9" x14ac:dyDescent="0.3">
      <c r="B27" s="28"/>
      <c r="C27" s="18">
        <f t="shared" si="2"/>
        <v>7</v>
      </c>
      <c r="D27" s="20">
        <f t="shared" si="5"/>
        <v>42186</v>
      </c>
      <c r="E27" s="19">
        <f t="shared" si="0"/>
        <v>47035.651766016628</v>
      </c>
      <c r="F27" s="19">
        <f t="shared" si="3"/>
        <v>436.22375047171954</v>
      </c>
      <c r="G27" s="19">
        <f t="shared" si="1"/>
        <v>474.71875516488353</v>
      </c>
      <c r="H27" s="19">
        <f t="shared" si="4"/>
        <v>910.94250563660307</v>
      </c>
      <c r="I27" s="2"/>
    </row>
    <row r="28" spans="2:9" x14ac:dyDescent="0.3">
      <c r="B28" s="28"/>
      <c r="C28" s="18">
        <f t="shared" si="2"/>
        <v>8</v>
      </c>
      <c r="D28" s="20">
        <f t="shared" si="5"/>
        <v>42217</v>
      </c>
      <c r="E28" s="19">
        <f t="shared" si="0"/>
        <v>46595.065778040174</v>
      </c>
      <c r="F28" s="19">
        <f t="shared" si="3"/>
        <v>440.58598797645391</v>
      </c>
      <c r="G28" s="19">
        <f t="shared" si="1"/>
        <v>470.35651766016633</v>
      </c>
      <c r="H28" s="19">
        <f t="shared" si="4"/>
        <v>910.94250563662024</v>
      </c>
      <c r="I28" s="2"/>
    </row>
    <row r="29" spans="2:9" x14ac:dyDescent="0.3">
      <c r="B29" s="28"/>
      <c r="C29" s="18">
        <f t="shared" si="2"/>
        <v>9</v>
      </c>
      <c r="D29" s="20">
        <f t="shared" si="5"/>
        <v>42248</v>
      </c>
      <c r="E29" s="19">
        <f t="shared" si="0"/>
        <v>46150.073930183964</v>
      </c>
      <c r="F29" s="19">
        <f t="shared" si="3"/>
        <v>444.99184785621037</v>
      </c>
      <c r="G29" s="19">
        <f t="shared" si="1"/>
        <v>465.95065778040174</v>
      </c>
      <c r="H29" s="19">
        <f t="shared" si="4"/>
        <v>910.94250563661217</v>
      </c>
      <c r="I29" s="2"/>
    </row>
    <row r="30" spans="2:9" x14ac:dyDescent="0.3">
      <c r="B30" s="28"/>
      <c r="C30" s="18">
        <f t="shared" si="2"/>
        <v>10</v>
      </c>
      <c r="D30" s="20">
        <f t="shared" si="5"/>
        <v>42278</v>
      </c>
      <c r="E30" s="19">
        <f t="shared" si="0"/>
        <v>45700.632163849194</v>
      </c>
      <c r="F30" s="19">
        <f t="shared" si="3"/>
        <v>449.44176633477036</v>
      </c>
      <c r="G30" s="19">
        <f t="shared" si="1"/>
        <v>461.5007393018397</v>
      </c>
      <c r="H30" s="19">
        <f t="shared" si="4"/>
        <v>910.94250563661012</v>
      </c>
      <c r="I30" s="2"/>
    </row>
    <row r="31" spans="2:9" x14ac:dyDescent="0.3">
      <c r="B31" s="28"/>
      <c r="C31" s="18">
        <f t="shared" si="2"/>
        <v>11</v>
      </c>
      <c r="D31" s="20">
        <f t="shared" si="5"/>
        <v>42309</v>
      </c>
      <c r="E31" s="19">
        <f t="shared" si="0"/>
        <v>45246.69597985108</v>
      </c>
      <c r="F31" s="19">
        <f t="shared" si="3"/>
        <v>453.93618399811385</v>
      </c>
      <c r="G31" s="19">
        <f t="shared" si="1"/>
        <v>457.00632163849195</v>
      </c>
      <c r="H31" s="19">
        <f t="shared" si="4"/>
        <v>910.9425056366058</v>
      </c>
      <c r="I31" s="2"/>
    </row>
    <row r="32" spans="2:9" x14ac:dyDescent="0.3">
      <c r="B32" s="28"/>
      <c r="C32" s="18">
        <f t="shared" si="2"/>
        <v>12</v>
      </c>
      <c r="D32" s="20">
        <f t="shared" si="5"/>
        <v>42339</v>
      </c>
      <c r="E32" s="19">
        <f t="shared" si="0"/>
        <v>44788.220434012983</v>
      </c>
      <c r="F32" s="19">
        <f t="shared" si="3"/>
        <v>458.47554583809688</v>
      </c>
      <c r="G32" s="19">
        <f t="shared" si="1"/>
        <v>452.46695979851086</v>
      </c>
      <c r="H32" s="19">
        <f t="shared" si="4"/>
        <v>910.94250563660773</v>
      </c>
      <c r="I32" s="2"/>
    </row>
    <row r="33" spans="2:9" x14ac:dyDescent="0.3">
      <c r="B33" s="28"/>
      <c r="C33" s="18">
        <f t="shared" si="2"/>
        <v>13</v>
      </c>
      <c r="D33" s="20">
        <f t="shared" si="5"/>
        <v>42370</v>
      </c>
      <c r="E33" s="19">
        <f t="shared" si="0"/>
        <v>44325.160132716497</v>
      </c>
      <c r="F33" s="19">
        <f t="shared" si="3"/>
        <v>463.0603012964857</v>
      </c>
      <c r="G33" s="19">
        <f t="shared" si="1"/>
        <v>447.88220434012976</v>
      </c>
      <c r="H33" s="19">
        <f t="shared" si="4"/>
        <v>910.94250563661546</v>
      </c>
      <c r="I33" s="2"/>
    </row>
    <row r="34" spans="2:9" x14ac:dyDescent="0.3">
      <c r="B34" s="28"/>
      <c r="C34" s="18">
        <f t="shared" si="2"/>
        <v>14</v>
      </c>
      <c r="D34" s="20">
        <f t="shared" ref="D34:D37" si="6">IF(C34&lt;&gt;"",DATE(YEAR(D33),MONTH(D33)+1,1),"")</f>
        <v>42401</v>
      </c>
      <c r="E34" s="19">
        <f t="shared" si="0"/>
        <v>43857.469228407048</v>
      </c>
      <c r="F34" s="19">
        <f t="shared" si="3"/>
        <v>467.69090430944925</v>
      </c>
      <c r="G34" s="19">
        <f t="shared" si="1"/>
        <v>443.25160132716496</v>
      </c>
      <c r="H34" s="19">
        <f t="shared" si="4"/>
        <v>910.94250563661421</v>
      </c>
    </row>
    <row r="35" spans="2:9" x14ac:dyDescent="0.3">
      <c r="B35" s="28"/>
      <c r="C35" s="18">
        <f t="shared" si="2"/>
        <v>15</v>
      </c>
      <c r="D35" s="20">
        <f t="shared" si="6"/>
        <v>42430</v>
      </c>
      <c r="E35" s="19">
        <f t="shared" si="0"/>
        <v>43385.101415054523</v>
      </c>
      <c r="F35" s="19">
        <f t="shared" si="3"/>
        <v>472.36781335252454</v>
      </c>
      <c r="G35" s="19">
        <f t="shared" si="1"/>
        <v>438.57469228407047</v>
      </c>
      <c r="H35" s="19">
        <f t="shared" si="4"/>
        <v>910.942505636595</v>
      </c>
    </row>
    <row r="36" spans="2:9" x14ac:dyDescent="0.3">
      <c r="B36" s="28"/>
      <c r="C36" s="18">
        <f t="shared" si="2"/>
        <v>16</v>
      </c>
      <c r="D36" s="20">
        <f t="shared" si="6"/>
        <v>42461</v>
      </c>
      <c r="E36" s="19">
        <f t="shared" si="0"/>
        <v>42908.009923568439</v>
      </c>
      <c r="F36" s="19">
        <f t="shared" si="3"/>
        <v>477.09149148608412</v>
      </c>
      <c r="G36" s="19">
        <f t="shared" si="1"/>
        <v>433.85101415054521</v>
      </c>
      <c r="H36" s="19">
        <f t="shared" si="4"/>
        <v>910.94250563662933</v>
      </c>
    </row>
    <row r="37" spans="2:9" x14ac:dyDescent="0.3">
      <c r="B37" s="28"/>
      <c r="C37" s="18">
        <f t="shared" si="2"/>
        <v>17</v>
      </c>
      <c r="D37" s="20">
        <f t="shared" si="6"/>
        <v>42491</v>
      </c>
      <c r="E37" s="19">
        <f t="shared" si="0"/>
        <v>42426.147517167512</v>
      </c>
      <c r="F37" s="19">
        <f t="shared" si="3"/>
        <v>481.86240640092728</v>
      </c>
      <c r="G37" s="19">
        <f t="shared" si="1"/>
        <v>429.08009923568443</v>
      </c>
      <c r="H37" s="19">
        <f t="shared" si="4"/>
        <v>910.94250563661171</v>
      </c>
    </row>
    <row r="38" spans="2:9" x14ac:dyDescent="0.3">
      <c r="B38" s="28"/>
      <c r="C38" s="18">
        <f t="shared" ref="C38:C101" si="7">IF(OR(C37="",C37=$E$8+1),"",C37+1)</f>
        <v>18</v>
      </c>
      <c r="D38" s="20">
        <f t="shared" ref="D38:D101" si="8">IF(C38&lt;&gt;"",DATE(YEAR(D37),MONTH(D37)+1,1),"")</f>
        <v>42522</v>
      </c>
      <c r="E38" s="19">
        <f t="shared" si="0"/>
        <v>41939.466486702579</v>
      </c>
      <c r="F38" s="19">
        <f t="shared" ref="F38:F101" si="9">IF(C38&lt;&gt;"",IF(C38=$E$8+1,E37,E37-E38),"")</f>
        <v>486.68103046493343</v>
      </c>
      <c r="G38" s="19">
        <f t="shared" ref="G38:G101" si="10">IF(C38&lt;&gt;"",E37*$E$6/1200,"")</f>
        <v>424.2614751716751</v>
      </c>
      <c r="H38" s="19">
        <f t="shared" ref="H38:H101" si="11">IF(C38&lt;&gt;"",F38+G38,"")</f>
        <v>910.94250563660853</v>
      </c>
    </row>
    <row r="39" spans="2:9" x14ac:dyDescent="0.3">
      <c r="B39" s="28"/>
      <c r="C39" s="18">
        <f t="shared" si="7"/>
        <v>19</v>
      </c>
      <c r="D39" s="20">
        <f t="shared" si="8"/>
        <v>42552</v>
      </c>
      <c r="E39" s="19">
        <f t="shared" si="0"/>
        <v>41447.918645933009</v>
      </c>
      <c r="F39" s="19">
        <f t="shared" si="9"/>
        <v>491.54784076957003</v>
      </c>
      <c r="G39" s="19">
        <f t="shared" si="10"/>
        <v>419.39466486702577</v>
      </c>
      <c r="H39" s="19">
        <f t="shared" si="11"/>
        <v>910.9425056365958</v>
      </c>
    </row>
    <row r="40" spans="2:9" x14ac:dyDescent="0.3">
      <c r="B40" s="28"/>
      <c r="C40" s="18">
        <f t="shared" si="7"/>
        <v>20</v>
      </c>
      <c r="D40" s="20">
        <f t="shared" si="8"/>
        <v>42583</v>
      </c>
      <c r="E40" s="19">
        <f t="shared" si="0"/>
        <v>40951.45532675572</v>
      </c>
      <c r="F40" s="19">
        <f t="shared" si="9"/>
        <v>496.46331917728821</v>
      </c>
      <c r="G40" s="19">
        <f t="shared" si="10"/>
        <v>414.47918645933009</v>
      </c>
      <c r="H40" s="19">
        <f t="shared" si="11"/>
        <v>910.94250563661831</v>
      </c>
    </row>
    <row r="41" spans="2:9" x14ac:dyDescent="0.3">
      <c r="B41" s="28"/>
      <c r="C41" s="18">
        <f t="shared" si="7"/>
        <v>21</v>
      </c>
      <c r="D41" s="20">
        <f t="shared" si="8"/>
        <v>42614</v>
      </c>
      <c r="E41" s="19">
        <f t="shared" si="0"/>
        <v>0</v>
      </c>
      <c r="F41" s="19">
        <f t="shared" si="9"/>
        <v>40951.45532675572</v>
      </c>
      <c r="G41" s="19">
        <f t="shared" si="10"/>
        <v>409.51455326755718</v>
      </c>
      <c r="H41" s="19">
        <f t="shared" si="11"/>
        <v>41360.96988002328</v>
      </c>
    </row>
    <row r="42" spans="2:9" x14ac:dyDescent="0.3">
      <c r="B42" s="28"/>
      <c r="C42" s="18" t="str">
        <f t="shared" si="7"/>
        <v/>
      </c>
      <c r="D42" s="20" t="str">
        <f t="shared" si="8"/>
        <v/>
      </c>
      <c r="E42" s="19" t="str">
        <f t="shared" si="0"/>
        <v/>
      </c>
      <c r="F42" s="19" t="str">
        <f t="shared" si="9"/>
        <v/>
      </c>
      <c r="G42" s="19" t="str">
        <f t="shared" si="10"/>
        <v/>
      </c>
      <c r="H42" s="19" t="str">
        <f t="shared" si="11"/>
        <v/>
      </c>
    </row>
    <row r="43" spans="2:9" x14ac:dyDescent="0.3">
      <c r="B43" s="28"/>
      <c r="C43" s="18" t="str">
        <f t="shared" si="7"/>
        <v/>
      </c>
      <c r="D43" s="20" t="str">
        <f t="shared" si="8"/>
        <v/>
      </c>
      <c r="E43" s="19" t="str">
        <f t="shared" si="0"/>
        <v/>
      </c>
      <c r="F43" s="19" t="str">
        <f t="shared" si="9"/>
        <v/>
      </c>
      <c r="G43" s="19" t="str">
        <f t="shared" si="10"/>
        <v/>
      </c>
      <c r="H43" s="19" t="str">
        <f t="shared" si="11"/>
        <v/>
      </c>
    </row>
    <row r="44" spans="2:9" x14ac:dyDescent="0.3">
      <c r="B44" s="28"/>
      <c r="C44" s="18" t="str">
        <f t="shared" si="7"/>
        <v/>
      </c>
      <c r="D44" s="20" t="str">
        <f t="shared" si="8"/>
        <v/>
      </c>
      <c r="E44" s="19" t="str">
        <f t="shared" si="0"/>
        <v/>
      </c>
      <c r="F44" s="19" t="str">
        <f t="shared" si="9"/>
        <v/>
      </c>
      <c r="G44" s="19" t="str">
        <f t="shared" si="10"/>
        <v/>
      </c>
      <c r="H44" s="19" t="str">
        <f t="shared" si="11"/>
        <v/>
      </c>
    </row>
    <row r="45" spans="2:9" x14ac:dyDescent="0.3">
      <c r="B45" s="28"/>
      <c r="C45" s="18" t="str">
        <f t="shared" si="7"/>
        <v/>
      </c>
      <c r="D45" s="20" t="str">
        <f t="shared" si="8"/>
        <v/>
      </c>
      <c r="E45" s="19" t="str">
        <f t="shared" si="0"/>
        <v/>
      </c>
      <c r="F45" s="19" t="str">
        <f t="shared" si="9"/>
        <v/>
      </c>
      <c r="G45" s="19" t="str">
        <f t="shared" si="10"/>
        <v/>
      </c>
      <c r="H45" s="19" t="str">
        <f t="shared" si="11"/>
        <v/>
      </c>
    </row>
    <row r="46" spans="2:9" x14ac:dyDescent="0.3">
      <c r="B46" s="28"/>
      <c r="C46" s="18" t="str">
        <f t="shared" si="7"/>
        <v/>
      </c>
      <c r="D46" s="20" t="str">
        <f t="shared" si="8"/>
        <v/>
      </c>
      <c r="E46" s="19" t="str">
        <f t="shared" si="0"/>
        <v/>
      </c>
      <c r="F46" s="19" t="str">
        <f t="shared" si="9"/>
        <v/>
      </c>
      <c r="G46" s="19" t="str">
        <f t="shared" si="10"/>
        <v/>
      </c>
      <c r="H46" s="19" t="str">
        <f t="shared" si="11"/>
        <v/>
      </c>
    </row>
    <row r="47" spans="2:9" x14ac:dyDescent="0.3">
      <c r="B47" s="28"/>
      <c r="C47" s="18" t="str">
        <f t="shared" si="7"/>
        <v/>
      </c>
      <c r="D47" s="20" t="str">
        <f t="shared" si="8"/>
        <v/>
      </c>
      <c r="E47" s="19" t="str">
        <f t="shared" si="0"/>
        <v/>
      </c>
      <c r="F47" s="19" t="str">
        <f t="shared" si="9"/>
        <v/>
      </c>
      <c r="G47" s="19" t="str">
        <f t="shared" si="10"/>
        <v/>
      </c>
      <c r="H47" s="19" t="str">
        <f t="shared" si="11"/>
        <v/>
      </c>
    </row>
    <row r="48" spans="2:9" x14ac:dyDescent="0.3">
      <c r="B48" s="28"/>
      <c r="C48" s="18" t="str">
        <f t="shared" si="7"/>
        <v/>
      </c>
      <c r="D48" s="20" t="str">
        <f t="shared" si="8"/>
        <v/>
      </c>
      <c r="E48" s="19" t="str">
        <f t="shared" si="0"/>
        <v/>
      </c>
      <c r="F48" s="19" t="str">
        <f t="shared" si="9"/>
        <v/>
      </c>
      <c r="G48" s="19" t="str">
        <f t="shared" si="10"/>
        <v/>
      </c>
      <c r="H48" s="19" t="str">
        <f t="shared" si="11"/>
        <v/>
      </c>
    </row>
    <row r="49" spans="2:8" x14ac:dyDescent="0.3">
      <c r="B49" s="28"/>
      <c r="C49" s="18" t="str">
        <f t="shared" si="7"/>
        <v/>
      </c>
      <c r="D49" s="20" t="str">
        <f t="shared" si="8"/>
        <v/>
      </c>
      <c r="E49" s="19" t="str">
        <f t="shared" si="0"/>
        <v/>
      </c>
      <c r="F49" s="19" t="str">
        <f t="shared" si="9"/>
        <v/>
      </c>
      <c r="G49" s="19" t="str">
        <f t="shared" si="10"/>
        <v/>
      </c>
      <c r="H49" s="19" t="str">
        <f t="shared" si="11"/>
        <v/>
      </c>
    </row>
    <row r="50" spans="2:8" x14ac:dyDescent="0.3">
      <c r="B50" s="28"/>
      <c r="C50" s="18" t="str">
        <f t="shared" si="7"/>
        <v/>
      </c>
      <c r="D50" s="20" t="str">
        <f t="shared" si="8"/>
        <v/>
      </c>
      <c r="E50" s="19" t="str">
        <f t="shared" si="0"/>
        <v/>
      </c>
      <c r="F50" s="19" t="str">
        <f t="shared" si="9"/>
        <v/>
      </c>
      <c r="G50" s="19" t="str">
        <f t="shared" si="10"/>
        <v/>
      </c>
      <c r="H50" s="19" t="str">
        <f t="shared" si="11"/>
        <v/>
      </c>
    </row>
    <row r="51" spans="2:8" x14ac:dyDescent="0.3">
      <c r="B51" s="28"/>
      <c r="C51" s="18" t="str">
        <f t="shared" si="7"/>
        <v/>
      </c>
      <c r="D51" s="20" t="str">
        <f t="shared" si="8"/>
        <v/>
      </c>
      <c r="E51" s="19" t="str">
        <f t="shared" si="0"/>
        <v/>
      </c>
      <c r="F51" s="19" t="str">
        <f t="shared" si="9"/>
        <v/>
      </c>
      <c r="G51" s="19" t="str">
        <f t="shared" si="10"/>
        <v/>
      </c>
      <c r="H51" s="19" t="str">
        <f t="shared" si="11"/>
        <v/>
      </c>
    </row>
    <row r="52" spans="2:8" x14ac:dyDescent="0.3">
      <c r="B52" s="28"/>
      <c r="C52" s="18" t="str">
        <f t="shared" si="7"/>
        <v/>
      </c>
      <c r="D52" s="20" t="str">
        <f t="shared" si="8"/>
        <v/>
      </c>
      <c r="E52" s="19" t="str">
        <f t="shared" si="0"/>
        <v/>
      </c>
      <c r="F52" s="19" t="str">
        <f t="shared" si="9"/>
        <v/>
      </c>
      <c r="G52" s="19" t="str">
        <f t="shared" si="10"/>
        <v/>
      </c>
      <c r="H52" s="19" t="str">
        <f t="shared" si="11"/>
        <v/>
      </c>
    </row>
    <row r="53" spans="2:8" x14ac:dyDescent="0.3">
      <c r="B53" s="28"/>
      <c r="C53" s="18" t="str">
        <f t="shared" si="7"/>
        <v/>
      </c>
      <c r="D53" s="20" t="str">
        <f t="shared" si="8"/>
        <v/>
      </c>
      <c r="E53" s="19" t="str">
        <f t="shared" ref="E53:E84" si="12">IF(C53&lt;&gt;"",IF(C53=$E$8+1,0,-FV($E$6/1200,C53,-$E$12,$E$5)),"")</f>
        <v/>
      </c>
      <c r="F53" s="19" t="str">
        <f t="shared" si="9"/>
        <v/>
      </c>
      <c r="G53" s="19" t="str">
        <f t="shared" si="10"/>
        <v/>
      </c>
      <c r="H53" s="19" t="str">
        <f t="shared" si="11"/>
        <v/>
      </c>
    </row>
    <row r="54" spans="2:8" x14ac:dyDescent="0.3">
      <c r="B54" s="28"/>
      <c r="C54" s="18" t="str">
        <f t="shared" si="7"/>
        <v/>
      </c>
      <c r="D54" s="20" t="str">
        <f t="shared" si="8"/>
        <v/>
      </c>
      <c r="E54" s="19" t="str">
        <f t="shared" si="12"/>
        <v/>
      </c>
      <c r="F54" s="19" t="str">
        <f t="shared" si="9"/>
        <v/>
      </c>
      <c r="G54" s="19" t="str">
        <f t="shared" si="10"/>
        <v/>
      </c>
      <c r="H54" s="19" t="str">
        <f t="shared" si="11"/>
        <v/>
      </c>
    </row>
    <row r="55" spans="2:8" x14ac:dyDescent="0.3">
      <c r="B55" s="28"/>
      <c r="C55" s="18" t="str">
        <f t="shared" si="7"/>
        <v/>
      </c>
      <c r="D55" s="20" t="str">
        <f t="shared" si="8"/>
        <v/>
      </c>
      <c r="E55" s="19" t="str">
        <f t="shared" si="12"/>
        <v/>
      </c>
      <c r="F55" s="19" t="str">
        <f t="shared" si="9"/>
        <v/>
      </c>
      <c r="G55" s="19" t="str">
        <f t="shared" si="10"/>
        <v/>
      </c>
      <c r="H55" s="19" t="str">
        <f t="shared" si="11"/>
        <v/>
      </c>
    </row>
    <row r="56" spans="2:8" x14ac:dyDescent="0.3">
      <c r="B56" s="28"/>
      <c r="C56" s="18" t="str">
        <f t="shared" si="7"/>
        <v/>
      </c>
      <c r="D56" s="20" t="str">
        <f t="shared" si="8"/>
        <v/>
      </c>
      <c r="E56" s="19" t="str">
        <f t="shared" si="12"/>
        <v/>
      </c>
      <c r="F56" s="19" t="str">
        <f t="shared" si="9"/>
        <v/>
      </c>
      <c r="G56" s="19" t="str">
        <f t="shared" si="10"/>
        <v/>
      </c>
      <c r="H56" s="19" t="str">
        <f t="shared" si="11"/>
        <v/>
      </c>
    </row>
    <row r="57" spans="2:8" x14ac:dyDescent="0.3">
      <c r="B57" s="28"/>
      <c r="C57" s="18" t="str">
        <f t="shared" si="7"/>
        <v/>
      </c>
      <c r="D57" s="20" t="str">
        <f t="shared" si="8"/>
        <v/>
      </c>
      <c r="E57" s="19" t="str">
        <f t="shared" si="12"/>
        <v/>
      </c>
      <c r="F57" s="19" t="str">
        <f t="shared" si="9"/>
        <v/>
      </c>
      <c r="G57" s="19" t="str">
        <f t="shared" si="10"/>
        <v/>
      </c>
      <c r="H57" s="19" t="str">
        <f t="shared" si="11"/>
        <v/>
      </c>
    </row>
    <row r="58" spans="2:8" x14ac:dyDescent="0.3">
      <c r="B58" s="28"/>
      <c r="C58" s="18" t="str">
        <f t="shared" si="7"/>
        <v/>
      </c>
      <c r="D58" s="20" t="str">
        <f t="shared" si="8"/>
        <v/>
      </c>
      <c r="E58" s="19" t="str">
        <f t="shared" si="12"/>
        <v/>
      </c>
      <c r="F58" s="19" t="str">
        <f t="shared" si="9"/>
        <v/>
      </c>
      <c r="G58" s="19" t="str">
        <f t="shared" si="10"/>
        <v/>
      </c>
      <c r="H58" s="19" t="str">
        <f t="shared" si="11"/>
        <v/>
      </c>
    </row>
    <row r="59" spans="2:8" x14ac:dyDescent="0.3">
      <c r="B59" s="28"/>
      <c r="C59" s="18" t="str">
        <f t="shared" si="7"/>
        <v/>
      </c>
      <c r="D59" s="20" t="str">
        <f t="shared" si="8"/>
        <v/>
      </c>
      <c r="E59" s="19" t="str">
        <f t="shared" si="12"/>
        <v/>
      </c>
      <c r="F59" s="19" t="str">
        <f t="shared" si="9"/>
        <v/>
      </c>
      <c r="G59" s="19" t="str">
        <f t="shared" si="10"/>
        <v/>
      </c>
      <c r="H59" s="19" t="str">
        <f t="shared" si="11"/>
        <v/>
      </c>
    </row>
    <row r="60" spans="2:8" x14ac:dyDescent="0.3">
      <c r="B60" s="28"/>
      <c r="C60" s="18" t="str">
        <f t="shared" si="7"/>
        <v/>
      </c>
      <c r="D60" s="20" t="str">
        <f t="shared" si="8"/>
        <v/>
      </c>
      <c r="E60" s="19" t="str">
        <f t="shared" si="12"/>
        <v/>
      </c>
      <c r="F60" s="19" t="str">
        <f t="shared" si="9"/>
        <v/>
      </c>
      <c r="G60" s="19" t="str">
        <f t="shared" si="10"/>
        <v/>
      </c>
      <c r="H60" s="19" t="str">
        <f t="shared" si="11"/>
        <v/>
      </c>
    </row>
    <row r="61" spans="2:8" x14ac:dyDescent="0.3">
      <c r="B61" s="28"/>
      <c r="C61" s="18" t="str">
        <f t="shared" si="7"/>
        <v/>
      </c>
      <c r="D61" s="20" t="str">
        <f t="shared" si="8"/>
        <v/>
      </c>
      <c r="E61" s="19" t="str">
        <f t="shared" si="12"/>
        <v/>
      </c>
      <c r="F61" s="19" t="str">
        <f t="shared" si="9"/>
        <v/>
      </c>
      <c r="G61" s="19" t="str">
        <f t="shared" si="10"/>
        <v/>
      </c>
      <c r="H61" s="19" t="str">
        <f t="shared" si="11"/>
        <v/>
      </c>
    </row>
    <row r="62" spans="2:8" x14ac:dyDescent="0.3">
      <c r="B62" s="28"/>
      <c r="C62" s="18" t="str">
        <f t="shared" si="7"/>
        <v/>
      </c>
      <c r="D62" s="20" t="str">
        <f t="shared" si="8"/>
        <v/>
      </c>
      <c r="E62" s="19" t="str">
        <f t="shared" si="12"/>
        <v/>
      </c>
      <c r="F62" s="19" t="str">
        <f t="shared" si="9"/>
        <v/>
      </c>
      <c r="G62" s="19" t="str">
        <f t="shared" si="10"/>
        <v/>
      </c>
      <c r="H62" s="19" t="str">
        <f t="shared" si="11"/>
        <v/>
      </c>
    </row>
    <row r="63" spans="2:8" x14ac:dyDescent="0.3">
      <c r="B63" s="28"/>
      <c r="C63" s="18" t="str">
        <f t="shared" si="7"/>
        <v/>
      </c>
      <c r="D63" s="20" t="str">
        <f t="shared" si="8"/>
        <v/>
      </c>
      <c r="E63" s="19" t="str">
        <f t="shared" si="12"/>
        <v/>
      </c>
      <c r="F63" s="19" t="str">
        <f t="shared" si="9"/>
        <v/>
      </c>
      <c r="G63" s="19" t="str">
        <f t="shared" si="10"/>
        <v/>
      </c>
      <c r="H63" s="19" t="str">
        <f t="shared" si="11"/>
        <v/>
      </c>
    </row>
    <row r="64" spans="2:8" x14ac:dyDescent="0.3">
      <c r="B64" s="28"/>
      <c r="C64" s="18" t="str">
        <f t="shared" si="7"/>
        <v/>
      </c>
      <c r="D64" s="20" t="str">
        <f t="shared" si="8"/>
        <v/>
      </c>
      <c r="E64" s="19" t="str">
        <f t="shared" si="12"/>
        <v/>
      </c>
      <c r="F64" s="19" t="str">
        <f t="shared" si="9"/>
        <v/>
      </c>
      <c r="G64" s="19" t="str">
        <f t="shared" si="10"/>
        <v/>
      </c>
      <c r="H64" s="19" t="str">
        <f t="shared" si="11"/>
        <v/>
      </c>
    </row>
    <row r="65" spans="2:8" x14ac:dyDescent="0.3">
      <c r="B65" s="28"/>
      <c r="C65" s="18" t="str">
        <f t="shared" si="7"/>
        <v/>
      </c>
      <c r="D65" s="20" t="str">
        <f t="shared" si="8"/>
        <v/>
      </c>
      <c r="E65" s="19" t="str">
        <f t="shared" si="12"/>
        <v/>
      </c>
      <c r="F65" s="19" t="str">
        <f t="shared" si="9"/>
        <v/>
      </c>
      <c r="G65" s="19" t="str">
        <f t="shared" si="10"/>
        <v/>
      </c>
      <c r="H65" s="19" t="str">
        <f t="shared" si="11"/>
        <v/>
      </c>
    </row>
    <row r="66" spans="2:8" x14ac:dyDescent="0.3">
      <c r="B66" s="28"/>
      <c r="C66" s="18" t="str">
        <f t="shared" si="7"/>
        <v/>
      </c>
      <c r="D66" s="20" t="str">
        <f t="shared" si="8"/>
        <v/>
      </c>
      <c r="E66" s="19" t="str">
        <f t="shared" si="12"/>
        <v/>
      </c>
      <c r="F66" s="19" t="str">
        <f t="shared" si="9"/>
        <v/>
      </c>
      <c r="G66" s="19" t="str">
        <f t="shared" si="10"/>
        <v/>
      </c>
      <c r="H66" s="19" t="str">
        <f t="shared" si="11"/>
        <v/>
      </c>
    </row>
    <row r="67" spans="2:8" x14ac:dyDescent="0.3">
      <c r="B67" s="28"/>
      <c r="C67" s="18" t="str">
        <f t="shared" si="7"/>
        <v/>
      </c>
      <c r="D67" s="20" t="str">
        <f t="shared" si="8"/>
        <v/>
      </c>
      <c r="E67" s="19" t="str">
        <f t="shared" si="12"/>
        <v/>
      </c>
      <c r="F67" s="19" t="str">
        <f t="shared" si="9"/>
        <v/>
      </c>
      <c r="G67" s="19" t="str">
        <f t="shared" si="10"/>
        <v/>
      </c>
      <c r="H67" s="19" t="str">
        <f t="shared" si="11"/>
        <v/>
      </c>
    </row>
    <row r="68" spans="2:8" x14ac:dyDescent="0.3">
      <c r="B68" s="28"/>
      <c r="C68" s="18" t="str">
        <f t="shared" si="7"/>
        <v/>
      </c>
      <c r="D68" s="20" t="str">
        <f t="shared" si="8"/>
        <v/>
      </c>
      <c r="E68" s="19" t="str">
        <f t="shared" si="12"/>
        <v/>
      </c>
      <c r="F68" s="19" t="str">
        <f t="shared" si="9"/>
        <v/>
      </c>
      <c r="G68" s="19" t="str">
        <f t="shared" si="10"/>
        <v/>
      </c>
      <c r="H68" s="19" t="str">
        <f t="shared" si="11"/>
        <v/>
      </c>
    </row>
    <row r="69" spans="2:8" x14ac:dyDescent="0.3">
      <c r="B69" s="28"/>
      <c r="C69" s="18" t="str">
        <f t="shared" si="7"/>
        <v/>
      </c>
      <c r="D69" s="20" t="str">
        <f t="shared" si="8"/>
        <v/>
      </c>
      <c r="E69" s="19" t="str">
        <f t="shared" si="12"/>
        <v/>
      </c>
      <c r="F69" s="19" t="str">
        <f t="shared" si="9"/>
        <v/>
      </c>
      <c r="G69" s="19" t="str">
        <f t="shared" si="10"/>
        <v/>
      </c>
      <c r="H69" s="19" t="str">
        <f t="shared" si="11"/>
        <v/>
      </c>
    </row>
    <row r="70" spans="2:8" x14ac:dyDescent="0.3">
      <c r="B70" s="28"/>
      <c r="C70" s="18" t="str">
        <f t="shared" si="7"/>
        <v/>
      </c>
      <c r="D70" s="20" t="str">
        <f t="shared" si="8"/>
        <v/>
      </c>
      <c r="E70" s="19" t="str">
        <f t="shared" si="12"/>
        <v/>
      </c>
      <c r="F70" s="19" t="str">
        <f t="shared" si="9"/>
        <v/>
      </c>
      <c r="G70" s="19" t="str">
        <f t="shared" si="10"/>
        <v/>
      </c>
      <c r="H70" s="19" t="str">
        <f t="shared" si="11"/>
        <v/>
      </c>
    </row>
    <row r="71" spans="2:8" x14ac:dyDescent="0.3">
      <c r="B71" s="28"/>
      <c r="C71" s="18" t="str">
        <f t="shared" si="7"/>
        <v/>
      </c>
      <c r="D71" s="20" t="str">
        <f t="shared" si="8"/>
        <v/>
      </c>
      <c r="E71" s="19" t="str">
        <f t="shared" si="12"/>
        <v/>
      </c>
      <c r="F71" s="19" t="str">
        <f t="shared" si="9"/>
        <v/>
      </c>
      <c r="G71" s="19" t="str">
        <f t="shared" si="10"/>
        <v/>
      </c>
      <c r="H71" s="19" t="str">
        <f t="shared" si="11"/>
        <v/>
      </c>
    </row>
    <row r="72" spans="2:8" x14ac:dyDescent="0.3">
      <c r="B72" s="28"/>
      <c r="C72" s="18" t="str">
        <f t="shared" si="7"/>
        <v/>
      </c>
      <c r="D72" s="20" t="str">
        <f t="shared" si="8"/>
        <v/>
      </c>
      <c r="E72" s="19" t="str">
        <f t="shared" si="12"/>
        <v/>
      </c>
      <c r="F72" s="19" t="str">
        <f t="shared" si="9"/>
        <v/>
      </c>
      <c r="G72" s="19" t="str">
        <f t="shared" si="10"/>
        <v/>
      </c>
      <c r="H72" s="19" t="str">
        <f t="shared" si="11"/>
        <v/>
      </c>
    </row>
    <row r="73" spans="2:8" x14ac:dyDescent="0.3">
      <c r="B73" s="28"/>
      <c r="C73" s="18" t="str">
        <f t="shared" si="7"/>
        <v/>
      </c>
      <c r="D73" s="20" t="str">
        <f t="shared" si="8"/>
        <v/>
      </c>
      <c r="E73" s="19" t="str">
        <f t="shared" si="12"/>
        <v/>
      </c>
      <c r="F73" s="19" t="str">
        <f t="shared" si="9"/>
        <v/>
      </c>
      <c r="G73" s="19" t="str">
        <f t="shared" si="10"/>
        <v/>
      </c>
      <c r="H73" s="19" t="str">
        <f t="shared" si="11"/>
        <v/>
      </c>
    </row>
    <row r="74" spans="2:8" x14ac:dyDescent="0.3">
      <c r="B74" s="28"/>
      <c r="C74" s="18" t="str">
        <f t="shared" si="7"/>
        <v/>
      </c>
      <c r="D74" s="20" t="str">
        <f t="shared" si="8"/>
        <v/>
      </c>
      <c r="E74" s="19" t="str">
        <f t="shared" si="12"/>
        <v/>
      </c>
      <c r="F74" s="19" t="str">
        <f t="shared" si="9"/>
        <v/>
      </c>
      <c r="G74" s="19" t="str">
        <f t="shared" si="10"/>
        <v/>
      </c>
      <c r="H74" s="19" t="str">
        <f t="shared" si="11"/>
        <v/>
      </c>
    </row>
    <row r="75" spans="2:8" x14ac:dyDescent="0.3">
      <c r="B75" s="28"/>
      <c r="C75" s="18" t="str">
        <f t="shared" si="7"/>
        <v/>
      </c>
      <c r="D75" s="20" t="str">
        <f t="shared" si="8"/>
        <v/>
      </c>
      <c r="E75" s="19" t="str">
        <f t="shared" si="12"/>
        <v/>
      </c>
      <c r="F75" s="19" t="str">
        <f t="shared" si="9"/>
        <v/>
      </c>
      <c r="G75" s="19" t="str">
        <f t="shared" si="10"/>
        <v/>
      </c>
      <c r="H75" s="19" t="str">
        <f t="shared" si="11"/>
        <v/>
      </c>
    </row>
    <row r="76" spans="2:8" x14ac:dyDescent="0.3">
      <c r="B76" s="28"/>
      <c r="C76" s="18" t="str">
        <f t="shared" si="7"/>
        <v/>
      </c>
      <c r="D76" s="20" t="str">
        <f t="shared" si="8"/>
        <v/>
      </c>
      <c r="E76" s="19" t="str">
        <f t="shared" si="12"/>
        <v/>
      </c>
      <c r="F76" s="19" t="str">
        <f t="shared" si="9"/>
        <v/>
      </c>
      <c r="G76" s="19" t="str">
        <f t="shared" si="10"/>
        <v/>
      </c>
      <c r="H76" s="19" t="str">
        <f t="shared" si="11"/>
        <v/>
      </c>
    </row>
    <row r="77" spans="2:8" x14ac:dyDescent="0.3">
      <c r="B77" s="28"/>
      <c r="C77" s="18" t="str">
        <f t="shared" si="7"/>
        <v/>
      </c>
      <c r="D77" s="20" t="str">
        <f t="shared" si="8"/>
        <v/>
      </c>
      <c r="E77" s="19" t="str">
        <f t="shared" si="12"/>
        <v/>
      </c>
      <c r="F77" s="19" t="str">
        <f t="shared" si="9"/>
        <v/>
      </c>
      <c r="G77" s="19" t="str">
        <f t="shared" si="10"/>
        <v/>
      </c>
      <c r="H77" s="19" t="str">
        <f t="shared" si="11"/>
        <v/>
      </c>
    </row>
    <row r="78" spans="2:8" x14ac:dyDescent="0.3">
      <c r="B78" s="28"/>
      <c r="C78" s="18" t="str">
        <f t="shared" si="7"/>
        <v/>
      </c>
      <c r="D78" s="20" t="str">
        <f t="shared" si="8"/>
        <v/>
      </c>
      <c r="E78" s="19" t="str">
        <f t="shared" si="12"/>
        <v/>
      </c>
      <c r="F78" s="19" t="str">
        <f t="shared" si="9"/>
        <v/>
      </c>
      <c r="G78" s="19" t="str">
        <f t="shared" si="10"/>
        <v/>
      </c>
      <c r="H78" s="19" t="str">
        <f t="shared" si="11"/>
        <v/>
      </c>
    </row>
    <row r="79" spans="2:8" x14ac:dyDescent="0.3">
      <c r="B79" s="28"/>
      <c r="C79" s="18" t="str">
        <f t="shared" si="7"/>
        <v/>
      </c>
      <c r="D79" s="20" t="str">
        <f t="shared" si="8"/>
        <v/>
      </c>
      <c r="E79" s="19" t="str">
        <f t="shared" si="12"/>
        <v/>
      </c>
      <c r="F79" s="19" t="str">
        <f t="shared" si="9"/>
        <v/>
      </c>
      <c r="G79" s="19" t="str">
        <f t="shared" si="10"/>
        <v/>
      </c>
      <c r="H79" s="19" t="str">
        <f t="shared" si="11"/>
        <v/>
      </c>
    </row>
    <row r="80" spans="2:8" x14ac:dyDescent="0.3">
      <c r="B80" s="28"/>
      <c r="C80" s="18" t="str">
        <f t="shared" si="7"/>
        <v/>
      </c>
      <c r="D80" s="20" t="str">
        <f t="shared" si="8"/>
        <v/>
      </c>
      <c r="E80" s="19" t="str">
        <f t="shared" si="12"/>
        <v/>
      </c>
      <c r="F80" s="19" t="str">
        <f t="shared" si="9"/>
        <v/>
      </c>
      <c r="G80" s="19" t="str">
        <f t="shared" si="10"/>
        <v/>
      </c>
      <c r="H80" s="19" t="str">
        <f t="shared" si="11"/>
        <v/>
      </c>
    </row>
    <row r="81" spans="2:8" x14ac:dyDescent="0.3">
      <c r="B81" s="28"/>
      <c r="C81" s="18" t="str">
        <f t="shared" si="7"/>
        <v/>
      </c>
      <c r="D81" s="20" t="str">
        <f t="shared" si="8"/>
        <v/>
      </c>
      <c r="E81" s="19" t="str">
        <f t="shared" si="12"/>
        <v/>
      </c>
      <c r="F81" s="19" t="str">
        <f t="shared" si="9"/>
        <v/>
      </c>
      <c r="G81" s="19" t="str">
        <f t="shared" si="10"/>
        <v/>
      </c>
      <c r="H81" s="19" t="str">
        <f t="shared" si="11"/>
        <v/>
      </c>
    </row>
    <row r="82" spans="2:8" x14ac:dyDescent="0.3">
      <c r="B82" s="28"/>
      <c r="C82" s="18" t="str">
        <f t="shared" si="7"/>
        <v/>
      </c>
      <c r="D82" s="20" t="str">
        <f t="shared" si="8"/>
        <v/>
      </c>
      <c r="E82" s="19" t="str">
        <f t="shared" si="12"/>
        <v/>
      </c>
      <c r="F82" s="19" t="str">
        <f t="shared" si="9"/>
        <v/>
      </c>
      <c r="G82" s="19" t="str">
        <f t="shared" si="10"/>
        <v/>
      </c>
      <c r="H82" s="19" t="str">
        <f t="shared" si="11"/>
        <v/>
      </c>
    </row>
    <row r="83" spans="2:8" x14ac:dyDescent="0.3">
      <c r="B83" s="28"/>
      <c r="C83" s="18" t="str">
        <f t="shared" si="7"/>
        <v/>
      </c>
      <c r="D83" s="20" t="str">
        <f t="shared" si="8"/>
        <v/>
      </c>
      <c r="E83" s="19" t="str">
        <f t="shared" si="12"/>
        <v/>
      </c>
      <c r="F83" s="19" t="str">
        <f t="shared" si="9"/>
        <v/>
      </c>
      <c r="G83" s="19" t="str">
        <f t="shared" si="10"/>
        <v/>
      </c>
      <c r="H83" s="19" t="str">
        <f t="shared" si="11"/>
        <v/>
      </c>
    </row>
    <row r="84" spans="2:8" x14ac:dyDescent="0.3">
      <c r="B84" s="28"/>
      <c r="C84" s="18" t="str">
        <f t="shared" si="7"/>
        <v/>
      </c>
      <c r="D84" s="20" t="str">
        <f t="shared" si="8"/>
        <v/>
      </c>
      <c r="E84" s="19" t="str">
        <f t="shared" si="12"/>
        <v/>
      </c>
      <c r="F84" s="19" t="str">
        <f t="shared" si="9"/>
        <v/>
      </c>
      <c r="G84" s="19" t="str">
        <f t="shared" si="10"/>
        <v/>
      </c>
      <c r="H84" s="19" t="str">
        <f t="shared" si="11"/>
        <v/>
      </c>
    </row>
    <row r="85" spans="2:8" x14ac:dyDescent="0.3">
      <c r="B85" s="28"/>
      <c r="C85" s="18" t="str">
        <f t="shared" si="7"/>
        <v/>
      </c>
      <c r="D85" s="20" t="str">
        <f t="shared" si="8"/>
        <v/>
      </c>
      <c r="E85" s="19" t="str">
        <f t="shared" ref="E85:E116" si="13">IF(C85&lt;&gt;"",IF(C85=$E$8+1,0,-FV($E$6/1200,C85,-$E$12,$E$5)),"")</f>
        <v/>
      </c>
      <c r="F85" s="19" t="str">
        <f t="shared" si="9"/>
        <v/>
      </c>
      <c r="G85" s="19" t="str">
        <f t="shared" si="10"/>
        <v/>
      </c>
      <c r="H85" s="19" t="str">
        <f t="shared" si="11"/>
        <v/>
      </c>
    </row>
    <row r="86" spans="2:8" x14ac:dyDescent="0.3">
      <c r="B86" s="28"/>
      <c r="C86" s="18" t="str">
        <f t="shared" si="7"/>
        <v/>
      </c>
      <c r="D86" s="20" t="str">
        <f t="shared" si="8"/>
        <v/>
      </c>
      <c r="E86" s="19" t="str">
        <f t="shared" si="13"/>
        <v/>
      </c>
      <c r="F86" s="19" t="str">
        <f t="shared" si="9"/>
        <v/>
      </c>
      <c r="G86" s="19" t="str">
        <f t="shared" si="10"/>
        <v/>
      </c>
      <c r="H86" s="19" t="str">
        <f t="shared" si="11"/>
        <v/>
      </c>
    </row>
    <row r="87" spans="2:8" x14ac:dyDescent="0.3">
      <c r="B87" s="28"/>
      <c r="C87" s="18" t="str">
        <f t="shared" si="7"/>
        <v/>
      </c>
      <c r="D87" s="20" t="str">
        <f t="shared" si="8"/>
        <v/>
      </c>
      <c r="E87" s="19" t="str">
        <f t="shared" si="13"/>
        <v/>
      </c>
      <c r="F87" s="19" t="str">
        <f t="shared" si="9"/>
        <v/>
      </c>
      <c r="G87" s="19" t="str">
        <f t="shared" si="10"/>
        <v/>
      </c>
      <c r="H87" s="19" t="str">
        <f t="shared" si="11"/>
        <v/>
      </c>
    </row>
    <row r="88" spans="2:8" x14ac:dyDescent="0.3">
      <c r="B88" s="28"/>
      <c r="C88" s="18" t="str">
        <f t="shared" si="7"/>
        <v/>
      </c>
      <c r="D88" s="20" t="str">
        <f t="shared" si="8"/>
        <v/>
      </c>
      <c r="E88" s="19" t="str">
        <f t="shared" si="13"/>
        <v/>
      </c>
      <c r="F88" s="19" t="str">
        <f t="shared" si="9"/>
        <v/>
      </c>
      <c r="G88" s="19" t="str">
        <f t="shared" si="10"/>
        <v/>
      </c>
      <c r="H88" s="19" t="str">
        <f t="shared" si="11"/>
        <v/>
      </c>
    </row>
    <row r="89" spans="2:8" x14ac:dyDescent="0.3">
      <c r="B89" s="28"/>
      <c r="C89" s="18" t="str">
        <f t="shared" si="7"/>
        <v/>
      </c>
      <c r="D89" s="20" t="str">
        <f t="shared" si="8"/>
        <v/>
      </c>
      <c r="E89" s="19" t="str">
        <f t="shared" si="13"/>
        <v/>
      </c>
      <c r="F89" s="19" t="str">
        <f t="shared" si="9"/>
        <v/>
      </c>
      <c r="G89" s="19" t="str">
        <f t="shared" si="10"/>
        <v/>
      </c>
      <c r="H89" s="19" t="str">
        <f t="shared" si="11"/>
        <v/>
      </c>
    </row>
    <row r="90" spans="2:8" x14ac:dyDescent="0.3">
      <c r="B90" s="28"/>
      <c r="C90" s="18" t="str">
        <f t="shared" si="7"/>
        <v/>
      </c>
      <c r="D90" s="20" t="str">
        <f t="shared" si="8"/>
        <v/>
      </c>
      <c r="E90" s="19" t="str">
        <f t="shared" si="13"/>
        <v/>
      </c>
      <c r="F90" s="19" t="str">
        <f t="shared" si="9"/>
        <v/>
      </c>
      <c r="G90" s="19" t="str">
        <f t="shared" si="10"/>
        <v/>
      </c>
      <c r="H90" s="19" t="str">
        <f t="shared" si="11"/>
        <v/>
      </c>
    </row>
    <row r="91" spans="2:8" x14ac:dyDescent="0.3">
      <c r="B91" s="28"/>
      <c r="C91" s="18" t="str">
        <f t="shared" si="7"/>
        <v/>
      </c>
      <c r="D91" s="20" t="str">
        <f t="shared" si="8"/>
        <v/>
      </c>
      <c r="E91" s="19" t="str">
        <f t="shared" si="13"/>
        <v/>
      </c>
      <c r="F91" s="19" t="str">
        <f t="shared" si="9"/>
        <v/>
      </c>
      <c r="G91" s="19" t="str">
        <f t="shared" si="10"/>
        <v/>
      </c>
      <c r="H91" s="19" t="str">
        <f t="shared" si="11"/>
        <v/>
      </c>
    </row>
    <row r="92" spans="2:8" x14ac:dyDescent="0.3">
      <c r="B92" s="28"/>
      <c r="C92" s="18" t="str">
        <f t="shared" si="7"/>
        <v/>
      </c>
      <c r="D92" s="20" t="str">
        <f t="shared" si="8"/>
        <v/>
      </c>
      <c r="E92" s="19" t="str">
        <f t="shared" si="13"/>
        <v/>
      </c>
      <c r="F92" s="19" t="str">
        <f t="shared" si="9"/>
        <v/>
      </c>
      <c r="G92" s="19" t="str">
        <f t="shared" si="10"/>
        <v/>
      </c>
      <c r="H92" s="19" t="str">
        <f t="shared" si="11"/>
        <v/>
      </c>
    </row>
    <row r="93" spans="2:8" x14ac:dyDescent="0.3">
      <c r="B93" s="28"/>
      <c r="C93" s="18" t="str">
        <f t="shared" si="7"/>
        <v/>
      </c>
      <c r="D93" s="20" t="str">
        <f t="shared" si="8"/>
        <v/>
      </c>
      <c r="E93" s="19" t="str">
        <f t="shared" si="13"/>
        <v/>
      </c>
      <c r="F93" s="19" t="str">
        <f t="shared" si="9"/>
        <v/>
      </c>
      <c r="G93" s="19" t="str">
        <f t="shared" si="10"/>
        <v/>
      </c>
      <c r="H93" s="19" t="str">
        <f t="shared" si="11"/>
        <v/>
      </c>
    </row>
    <row r="94" spans="2:8" x14ac:dyDescent="0.3">
      <c r="B94" s="28"/>
      <c r="C94" s="18" t="str">
        <f t="shared" si="7"/>
        <v/>
      </c>
      <c r="D94" s="20" t="str">
        <f t="shared" si="8"/>
        <v/>
      </c>
      <c r="E94" s="19" t="str">
        <f t="shared" si="13"/>
        <v/>
      </c>
      <c r="F94" s="19" t="str">
        <f t="shared" si="9"/>
        <v/>
      </c>
      <c r="G94" s="19" t="str">
        <f t="shared" si="10"/>
        <v/>
      </c>
      <c r="H94" s="19" t="str">
        <f t="shared" si="11"/>
        <v/>
      </c>
    </row>
    <row r="95" spans="2:8" x14ac:dyDescent="0.3">
      <c r="B95" s="28"/>
      <c r="C95" s="18" t="str">
        <f t="shared" si="7"/>
        <v/>
      </c>
      <c r="D95" s="20" t="str">
        <f t="shared" si="8"/>
        <v/>
      </c>
      <c r="E95" s="19" t="str">
        <f t="shared" si="13"/>
        <v/>
      </c>
      <c r="F95" s="19" t="str">
        <f t="shared" si="9"/>
        <v/>
      </c>
      <c r="G95" s="19" t="str">
        <f t="shared" si="10"/>
        <v/>
      </c>
      <c r="H95" s="19" t="str">
        <f t="shared" si="11"/>
        <v/>
      </c>
    </row>
    <row r="96" spans="2:8" x14ac:dyDescent="0.3">
      <c r="B96" s="28"/>
      <c r="C96" s="18" t="str">
        <f t="shared" si="7"/>
        <v/>
      </c>
      <c r="D96" s="20" t="str">
        <f t="shared" si="8"/>
        <v/>
      </c>
      <c r="E96" s="19" t="str">
        <f t="shared" si="13"/>
        <v/>
      </c>
      <c r="F96" s="19" t="str">
        <f t="shared" si="9"/>
        <v/>
      </c>
      <c r="G96" s="19" t="str">
        <f t="shared" si="10"/>
        <v/>
      </c>
      <c r="H96" s="19" t="str">
        <f t="shared" si="11"/>
        <v/>
      </c>
    </row>
    <row r="97" spans="2:8" x14ac:dyDescent="0.3">
      <c r="B97" s="28"/>
      <c r="C97" s="18" t="str">
        <f t="shared" si="7"/>
        <v/>
      </c>
      <c r="D97" s="20" t="str">
        <f t="shared" si="8"/>
        <v/>
      </c>
      <c r="E97" s="19" t="str">
        <f t="shared" si="13"/>
        <v/>
      </c>
      <c r="F97" s="19" t="str">
        <f t="shared" si="9"/>
        <v/>
      </c>
      <c r="G97" s="19" t="str">
        <f t="shared" si="10"/>
        <v/>
      </c>
      <c r="H97" s="19" t="str">
        <f t="shared" si="11"/>
        <v/>
      </c>
    </row>
    <row r="98" spans="2:8" x14ac:dyDescent="0.3">
      <c r="B98" s="28"/>
      <c r="C98" s="18" t="str">
        <f t="shared" si="7"/>
        <v/>
      </c>
      <c r="D98" s="20" t="str">
        <f t="shared" si="8"/>
        <v/>
      </c>
      <c r="E98" s="19" t="str">
        <f t="shared" si="13"/>
        <v/>
      </c>
      <c r="F98" s="19" t="str">
        <f t="shared" si="9"/>
        <v/>
      </c>
      <c r="G98" s="19" t="str">
        <f t="shared" si="10"/>
        <v/>
      </c>
      <c r="H98" s="19" t="str">
        <f t="shared" si="11"/>
        <v/>
      </c>
    </row>
    <row r="99" spans="2:8" x14ac:dyDescent="0.3">
      <c r="B99" s="28"/>
      <c r="C99" s="18" t="str">
        <f t="shared" si="7"/>
        <v/>
      </c>
      <c r="D99" s="20" t="str">
        <f t="shared" si="8"/>
        <v/>
      </c>
      <c r="E99" s="19" t="str">
        <f t="shared" si="13"/>
        <v/>
      </c>
      <c r="F99" s="19" t="str">
        <f t="shared" si="9"/>
        <v/>
      </c>
      <c r="G99" s="19" t="str">
        <f t="shared" si="10"/>
        <v/>
      </c>
      <c r="H99" s="19" t="str">
        <f t="shared" si="11"/>
        <v/>
      </c>
    </row>
    <row r="100" spans="2:8" x14ac:dyDescent="0.3">
      <c r="B100" s="28"/>
      <c r="C100" s="18" t="str">
        <f t="shared" si="7"/>
        <v/>
      </c>
      <c r="D100" s="20" t="str">
        <f t="shared" si="8"/>
        <v/>
      </c>
      <c r="E100" s="19" t="str">
        <f t="shared" si="13"/>
        <v/>
      </c>
      <c r="F100" s="19" t="str">
        <f t="shared" si="9"/>
        <v/>
      </c>
      <c r="G100" s="19" t="str">
        <f t="shared" si="10"/>
        <v/>
      </c>
      <c r="H100" s="19" t="str">
        <f t="shared" si="11"/>
        <v/>
      </c>
    </row>
    <row r="101" spans="2:8" x14ac:dyDescent="0.3">
      <c r="B101" s="28"/>
      <c r="C101" s="18" t="str">
        <f t="shared" si="7"/>
        <v/>
      </c>
      <c r="D101" s="20" t="str">
        <f t="shared" si="8"/>
        <v/>
      </c>
      <c r="E101" s="19" t="str">
        <f t="shared" si="13"/>
        <v/>
      </c>
      <c r="F101" s="19" t="str">
        <f t="shared" si="9"/>
        <v/>
      </c>
      <c r="G101" s="19" t="str">
        <f t="shared" si="10"/>
        <v/>
      </c>
      <c r="H101" s="19" t="str">
        <f t="shared" si="11"/>
        <v/>
      </c>
    </row>
    <row r="102" spans="2:8" x14ac:dyDescent="0.3">
      <c r="B102" s="28"/>
      <c r="C102" s="18" t="str">
        <f t="shared" ref="C102:C165" si="14">IF(OR(C101="",C101=$E$8+1),"",C101+1)</f>
        <v/>
      </c>
      <c r="D102" s="20" t="str">
        <f t="shared" ref="D102:D165" si="15">IF(C102&lt;&gt;"",DATE(YEAR(D101),MONTH(D101)+1,1),"")</f>
        <v/>
      </c>
      <c r="E102" s="19" t="str">
        <f t="shared" si="13"/>
        <v/>
      </c>
      <c r="F102" s="19" t="str">
        <f t="shared" ref="F102:F165" si="16">IF(C102&lt;&gt;"",IF(C102=$E$8+1,E101,E101-E102),"")</f>
        <v/>
      </c>
      <c r="G102" s="19" t="str">
        <f t="shared" ref="G102:G165" si="17">IF(C102&lt;&gt;"",E101*$E$6/1200,"")</f>
        <v/>
      </c>
      <c r="H102" s="19" t="str">
        <f t="shared" ref="H102:H165" si="18">IF(C102&lt;&gt;"",F102+G102,"")</f>
        <v/>
      </c>
    </row>
    <row r="103" spans="2:8" x14ac:dyDescent="0.3">
      <c r="B103" s="28"/>
      <c r="C103" s="18" t="str">
        <f t="shared" si="14"/>
        <v/>
      </c>
      <c r="D103" s="20" t="str">
        <f t="shared" si="15"/>
        <v/>
      </c>
      <c r="E103" s="19" t="str">
        <f t="shared" si="13"/>
        <v/>
      </c>
      <c r="F103" s="19" t="str">
        <f t="shared" si="16"/>
        <v/>
      </c>
      <c r="G103" s="19" t="str">
        <f t="shared" si="17"/>
        <v/>
      </c>
      <c r="H103" s="19" t="str">
        <f t="shared" si="18"/>
        <v/>
      </c>
    </row>
    <row r="104" spans="2:8" x14ac:dyDescent="0.3">
      <c r="B104" s="28"/>
      <c r="C104" s="18" t="str">
        <f t="shared" si="14"/>
        <v/>
      </c>
      <c r="D104" s="20" t="str">
        <f t="shared" si="15"/>
        <v/>
      </c>
      <c r="E104" s="19" t="str">
        <f t="shared" si="13"/>
        <v/>
      </c>
      <c r="F104" s="19" t="str">
        <f t="shared" si="16"/>
        <v/>
      </c>
      <c r="G104" s="19" t="str">
        <f t="shared" si="17"/>
        <v/>
      </c>
      <c r="H104" s="19" t="str">
        <f t="shared" si="18"/>
        <v/>
      </c>
    </row>
    <row r="105" spans="2:8" x14ac:dyDescent="0.3">
      <c r="B105" s="28"/>
      <c r="C105" s="18" t="str">
        <f t="shared" si="14"/>
        <v/>
      </c>
      <c r="D105" s="20" t="str">
        <f t="shared" si="15"/>
        <v/>
      </c>
      <c r="E105" s="19" t="str">
        <f t="shared" si="13"/>
        <v/>
      </c>
      <c r="F105" s="19" t="str">
        <f t="shared" si="16"/>
        <v/>
      </c>
      <c r="G105" s="19" t="str">
        <f t="shared" si="17"/>
        <v/>
      </c>
      <c r="H105" s="19" t="str">
        <f t="shared" si="18"/>
        <v/>
      </c>
    </row>
    <row r="106" spans="2:8" x14ac:dyDescent="0.3">
      <c r="B106" s="28"/>
      <c r="C106" s="18" t="str">
        <f t="shared" si="14"/>
        <v/>
      </c>
      <c r="D106" s="20" t="str">
        <f t="shared" si="15"/>
        <v/>
      </c>
      <c r="E106" s="19" t="str">
        <f t="shared" si="13"/>
        <v/>
      </c>
      <c r="F106" s="19" t="str">
        <f t="shared" si="16"/>
        <v/>
      </c>
      <c r="G106" s="19" t="str">
        <f t="shared" si="17"/>
        <v/>
      </c>
      <c r="H106" s="19" t="str">
        <f t="shared" si="18"/>
        <v/>
      </c>
    </row>
    <row r="107" spans="2:8" x14ac:dyDescent="0.3">
      <c r="B107" s="28"/>
      <c r="C107" s="18" t="str">
        <f t="shared" si="14"/>
        <v/>
      </c>
      <c r="D107" s="20" t="str">
        <f t="shared" si="15"/>
        <v/>
      </c>
      <c r="E107" s="19" t="str">
        <f t="shared" si="13"/>
        <v/>
      </c>
      <c r="F107" s="19" t="str">
        <f t="shared" si="16"/>
        <v/>
      </c>
      <c r="G107" s="19" t="str">
        <f t="shared" si="17"/>
        <v/>
      </c>
      <c r="H107" s="19" t="str">
        <f t="shared" si="18"/>
        <v/>
      </c>
    </row>
    <row r="108" spans="2:8" x14ac:dyDescent="0.3">
      <c r="B108" s="28"/>
      <c r="C108" s="18" t="str">
        <f t="shared" si="14"/>
        <v/>
      </c>
      <c r="D108" s="20" t="str">
        <f t="shared" si="15"/>
        <v/>
      </c>
      <c r="E108" s="19" t="str">
        <f t="shared" si="13"/>
        <v/>
      </c>
      <c r="F108" s="19" t="str">
        <f t="shared" si="16"/>
        <v/>
      </c>
      <c r="G108" s="19" t="str">
        <f t="shared" si="17"/>
        <v/>
      </c>
      <c r="H108" s="19" t="str">
        <f t="shared" si="18"/>
        <v/>
      </c>
    </row>
    <row r="109" spans="2:8" x14ac:dyDescent="0.3">
      <c r="B109" s="28"/>
      <c r="C109" s="18" t="str">
        <f t="shared" si="14"/>
        <v/>
      </c>
      <c r="D109" s="20" t="str">
        <f t="shared" si="15"/>
        <v/>
      </c>
      <c r="E109" s="19" t="str">
        <f t="shared" si="13"/>
        <v/>
      </c>
      <c r="F109" s="19" t="str">
        <f t="shared" si="16"/>
        <v/>
      </c>
      <c r="G109" s="19" t="str">
        <f t="shared" si="17"/>
        <v/>
      </c>
      <c r="H109" s="19" t="str">
        <f t="shared" si="18"/>
        <v/>
      </c>
    </row>
    <row r="110" spans="2:8" x14ac:dyDescent="0.3">
      <c r="B110" s="28"/>
      <c r="C110" s="18" t="str">
        <f t="shared" si="14"/>
        <v/>
      </c>
      <c r="D110" s="20" t="str">
        <f t="shared" si="15"/>
        <v/>
      </c>
      <c r="E110" s="19" t="str">
        <f t="shared" si="13"/>
        <v/>
      </c>
      <c r="F110" s="19" t="str">
        <f t="shared" si="16"/>
        <v/>
      </c>
      <c r="G110" s="19" t="str">
        <f t="shared" si="17"/>
        <v/>
      </c>
      <c r="H110" s="19" t="str">
        <f t="shared" si="18"/>
        <v/>
      </c>
    </row>
    <row r="111" spans="2:8" x14ac:dyDescent="0.3">
      <c r="B111" s="28"/>
      <c r="C111" s="18" t="str">
        <f t="shared" si="14"/>
        <v/>
      </c>
      <c r="D111" s="20" t="str">
        <f t="shared" si="15"/>
        <v/>
      </c>
      <c r="E111" s="19" t="str">
        <f t="shared" si="13"/>
        <v/>
      </c>
      <c r="F111" s="19" t="str">
        <f t="shared" si="16"/>
        <v/>
      </c>
      <c r="G111" s="19" t="str">
        <f t="shared" si="17"/>
        <v/>
      </c>
      <c r="H111" s="19" t="str">
        <f t="shared" si="18"/>
        <v/>
      </c>
    </row>
    <row r="112" spans="2:8" x14ac:dyDescent="0.3">
      <c r="B112" s="28"/>
      <c r="C112" s="18" t="str">
        <f t="shared" si="14"/>
        <v/>
      </c>
      <c r="D112" s="20" t="str">
        <f t="shared" si="15"/>
        <v/>
      </c>
      <c r="E112" s="19" t="str">
        <f t="shared" si="13"/>
        <v/>
      </c>
      <c r="F112" s="19" t="str">
        <f t="shared" si="16"/>
        <v/>
      </c>
      <c r="G112" s="19" t="str">
        <f t="shared" si="17"/>
        <v/>
      </c>
      <c r="H112" s="19" t="str">
        <f t="shared" si="18"/>
        <v/>
      </c>
    </row>
    <row r="113" spans="2:8" x14ac:dyDescent="0.3">
      <c r="B113" s="28"/>
      <c r="C113" s="18" t="str">
        <f t="shared" si="14"/>
        <v/>
      </c>
      <c r="D113" s="20" t="str">
        <f t="shared" si="15"/>
        <v/>
      </c>
      <c r="E113" s="19" t="str">
        <f t="shared" si="13"/>
        <v/>
      </c>
      <c r="F113" s="19" t="str">
        <f t="shared" si="16"/>
        <v/>
      </c>
      <c r="G113" s="19" t="str">
        <f t="shared" si="17"/>
        <v/>
      </c>
      <c r="H113" s="19" t="str">
        <f t="shared" si="18"/>
        <v/>
      </c>
    </row>
    <row r="114" spans="2:8" x14ac:dyDescent="0.3">
      <c r="B114" s="28"/>
      <c r="C114" s="18" t="str">
        <f t="shared" si="14"/>
        <v/>
      </c>
      <c r="D114" s="20" t="str">
        <f t="shared" si="15"/>
        <v/>
      </c>
      <c r="E114" s="19" t="str">
        <f t="shared" si="13"/>
        <v/>
      </c>
      <c r="F114" s="19" t="str">
        <f t="shared" si="16"/>
        <v/>
      </c>
      <c r="G114" s="19" t="str">
        <f t="shared" si="17"/>
        <v/>
      </c>
      <c r="H114" s="19" t="str">
        <f t="shared" si="18"/>
        <v/>
      </c>
    </row>
    <row r="115" spans="2:8" x14ac:dyDescent="0.3">
      <c r="B115" s="28"/>
      <c r="C115" s="18" t="str">
        <f t="shared" si="14"/>
        <v/>
      </c>
      <c r="D115" s="20" t="str">
        <f t="shared" si="15"/>
        <v/>
      </c>
      <c r="E115" s="19" t="str">
        <f t="shared" si="13"/>
        <v/>
      </c>
      <c r="F115" s="19" t="str">
        <f t="shared" si="16"/>
        <v/>
      </c>
      <c r="G115" s="19" t="str">
        <f t="shared" si="17"/>
        <v/>
      </c>
      <c r="H115" s="19" t="str">
        <f t="shared" si="18"/>
        <v/>
      </c>
    </row>
    <row r="116" spans="2:8" x14ac:dyDescent="0.3">
      <c r="B116" s="28"/>
      <c r="C116" s="18" t="str">
        <f t="shared" si="14"/>
        <v/>
      </c>
      <c r="D116" s="20" t="str">
        <f t="shared" si="15"/>
        <v/>
      </c>
      <c r="E116" s="19" t="str">
        <f t="shared" si="13"/>
        <v/>
      </c>
      <c r="F116" s="19" t="str">
        <f t="shared" si="16"/>
        <v/>
      </c>
      <c r="G116" s="19" t="str">
        <f t="shared" si="17"/>
        <v/>
      </c>
      <c r="H116" s="19" t="str">
        <f t="shared" si="18"/>
        <v/>
      </c>
    </row>
    <row r="117" spans="2:8" x14ac:dyDescent="0.3">
      <c r="B117" s="28"/>
      <c r="C117" s="18" t="str">
        <f t="shared" si="14"/>
        <v/>
      </c>
      <c r="D117" s="20" t="str">
        <f t="shared" si="15"/>
        <v/>
      </c>
      <c r="E117" s="19" t="str">
        <f t="shared" ref="E117:E148" si="19">IF(C117&lt;&gt;"",IF(C117=$E$8+1,0,-FV($E$6/1200,C117,-$E$12,$E$5)),"")</f>
        <v/>
      </c>
      <c r="F117" s="19" t="str">
        <f t="shared" si="16"/>
        <v/>
      </c>
      <c r="G117" s="19" t="str">
        <f t="shared" si="17"/>
        <v/>
      </c>
      <c r="H117" s="19" t="str">
        <f t="shared" si="18"/>
        <v/>
      </c>
    </row>
    <row r="118" spans="2:8" x14ac:dyDescent="0.3">
      <c r="B118" s="28"/>
      <c r="C118" s="18" t="str">
        <f t="shared" si="14"/>
        <v/>
      </c>
      <c r="D118" s="20" t="str">
        <f t="shared" si="15"/>
        <v/>
      </c>
      <c r="E118" s="19" t="str">
        <f t="shared" si="19"/>
        <v/>
      </c>
      <c r="F118" s="19" t="str">
        <f t="shared" si="16"/>
        <v/>
      </c>
      <c r="G118" s="19" t="str">
        <f t="shared" si="17"/>
        <v/>
      </c>
      <c r="H118" s="19" t="str">
        <f t="shared" si="18"/>
        <v/>
      </c>
    </row>
    <row r="119" spans="2:8" x14ac:dyDescent="0.3">
      <c r="B119" s="28"/>
      <c r="C119" s="18" t="str">
        <f t="shared" si="14"/>
        <v/>
      </c>
      <c r="D119" s="20" t="str">
        <f t="shared" si="15"/>
        <v/>
      </c>
      <c r="E119" s="19" t="str">
        <f t="shared" si="19"/>
        <v/>
      </c>
      <c r="F119" s="19" t="str">
        <f t="shared" si="16"/>
        <v/>
      </c>
      <c r="G119" s="19" t="str">
        <f t="shared" si="17"/>
        <v/>
      </c>
      <c r="H119" s="19" t="str">
        <f t="shared" si="18"/>
        <v/>
      </c>
    </row>
    <row r="120" spans="2:8" x14ac:dyDescent="0.3">
      <c r="B120" s="28"/>
      <c r="C120" s="18" t="str">
        <f t="shared" si="14"/>
        <v/>
      </c>
      <c r="D120" s="20" t="str">
        <f t="shared" si="15"/>
        <v/>
      </c>
      <c r="E120" s="19" t="str">
        <f t="shared" si="19"/>
        <v/>
      </c>
      <c r="F120" s="19" t="str">
        <f t="shared" si="16"/>
        <v/>
      </c>
      <c r="G120" s="19" t="str">
        <f t="shared" si="17"/>
        <v/>
      </c>
      <c r="H120" s="19" t="str">
        <f t="shared" si="18"/>
        <v/>
      </c>
    </row>
    <row r="121" spans="2:8" x14ac:dyDescent="0.3">
      <c r="B121" s="28"/>
      <c r="C121" s="18" t="str">
        <f t="shared" si="14"/>
        <v/>
      </c>
      <c r="D121" s="20" t="str">
        <f t="shared" si="15"/>
        <v/>
      </c>
      <c r="E121" s="19" t="str">
        <f t="shared" si="19"/>
        <v/>
      </c>
      <c r="F121" s="19" t="str">
        <f t="shared" si="16"/>
        <v/>
      </c>
      <c r="G121" s="19" t="str">
        <f t="shared" si="17"/>
        <v/>
      </c>
      <c r="H121" s="19" t="str">
        <f t="shared" si="18"/>
        <v/>
      </c>
    </row>
    <row r="122" spans="2:8" x14ac:dyDescent="0.3">
      <c r="B122" s="28"/>
      <c r="C122" s="18" t="str">
        <f t="shared" si="14"/>
        <v/>
      </c>
      <c r="D122" s="20" t="str">
        <f t="shared" si="15"/>
        <v/>
      </c>
      <c r="E122" s="19" t="str">
        <f t="shared" si="19"/>
        <v/>
      </c>
      <c r="F122" s="19" t="str">
        <f t="shared" si="16"/>
        <v/>
      </c>
      <c r="G122" s="19" t="str">
        <f t="shared" si="17"/>
        <v/>
      </c>
      <c r="H122" s="19" t="str">
        <f t="shared" si="18"/>
        <v/>
      </c>
    </row>
    <row r="123" spans="2:8" x14ac:dyDescent="0.3">
      <c r="B123" s="28"/>
      <c r="C123" s="18" t="str">
        <f t="shared" si="14"/>
        <v/>
      </c>
      <c r="D123" s="20" t="str">
        <f t="shared" si="15"/>
        <v/>
      </c>
      <c r="E123" s="19" t="str">
        <f t="shared" si="19"/>
        <v/>
      </c>
      <c r="F123" s="19" t="str">
        <f t="shared" si="16"/>
        <v/>
      </c>
      <c r="G123" s="19" t="str">
        <f t="shared" si="17"/>
        <v/>
      </c>
      <c r="H123" s="19" t="str">
        <f t="shared" si="18"/>
        <v/>
      </c>
    </row>
    <row r="124" spans="2:8" x14ac:dyDescent="0.3">
      <c r="B124" s="28"/>
      <c r="C124" s="18" t="str">
        <f t="shared" si="14"/>
        <v/>
      </c>
      <c r="D124" s="20" t="str">
        <f t="shared" si="15"/>
        <v/>
      </c>
      <c r="E124" s="19" t="str">
        <f t="shared" si="19"/>
        <v/>
      </c>
      <c r="F124" s="19" t="str">
        <f t="shared" si="16"/>
        <v/>
      </c>
      <c r="G124" s="19" t="str">
        <f t="shared" si="17"/>
        <v/>
      </c>
      <c r="H124" s="19" t="str">
        <f t="shared" si="18"/>
        <v/>
      </c>
    </row>
    <row r="125" spans="2:8" x14ac:dyDescent="0.3">
      <c r="B125" s="28"/>
      <c r="C125" s="18" t="str">
        <f t="shared" si="14"/>
        <v/>
      </c>
      <c r="D125" s="20" t="str">
        <f t="shared" si="15"/>
        <v/>
      </c>
      <c r="E125" s="19" t="str">
        <f t="shared" si="19"/>
        <v/>
      </c>
      <c r="F125" s="19" t="str">
        <f t="shared" si="16"/>
        <v/>
      </c>
      <c r="G125" s="19" t="str">
        <f t="shared" si="17"/>
        <v/>
      </c>
      <c r="H125" s="19" t="str">
        <f t="shared" si="18"/>
        <v/>
      </c>
    </row>
    <row r="126" spans="2:8" x14ac:dyDescent="0.3">
      <c r="B126" s="28"/>
      <c r="C126" s="18" t="str">
        <f t="shared" si="14"/>
        <v/>
      </c>
      <c r="D126" s="20" t="str">
        <f t="shared" si="15"/>
        <v/>
      </c>
      <c r="E126" s="19" t="str">
        <f t="shared" si="19"/>
        <v/>
      </c>
      <c r="F126" s="19" t="str">
        <f t="shared" si="16"/>
        <v/>
      </c>
      <c r="G126" s="19" t="str">
        <f t="shared" si="17"/>
        <v/>
      </c>
      <c r="H126" s="19" t="str">
        <f t="shared" si="18"/>
        <v/>
      </c>
    </row>
    <row r="127" spans="2:8" x14ac:dyDescent="0.3">
      <c r="B127" s="28"/>
      <c r="C127" s="18" t="str">
        <f t="shared" si="14"/>
        <v/>
      </c>
      <c r="D127" s="20" t="str">
        <f t="shared" si="15"/>
        <v/>
      </c>
      <c r="E127" s="19" t="str">
        <f t="shared" si="19"/>
        <v/>
      </c>
      <c r="F127" s="19" t="str">
        <f t="shared" si="16"/>
        <v/>
      </c>
      <c r="G127" s="19" t="str">
        <f t="shared" si="17"/>
        <v/>
      </c>
      <c r="H127" s="19" t="str">
        <f t="shared" si="18"/>
        <v/>
      </c>
    </row>
    <row r="128" spans="2:8" x14ac:dyDescent="0.3">
      <c r="B128" s="28"/>
      <c r="C128" s="18" t="str">
        <f t="shared" si="14"/>
        <v/>
      </c>
      <c r="D128" s="20" t="str">
        <f t="shared" si="15"/>
        <v/>
      </c>
      <c r="E128" s="19" t="str">
        <f t="shared" si="19"/>
        <v/>
      </c>
      <c r="F128" s="19" t="str">
        <f t="shared" si="16"/>
        <v/>
      </c>
      <c r="G128" s="19" t="str">
        <f t="shared" si="17"/>
        <v/>
      </c>
      <c r="H128" s="19" t="str">
        <f t="shared" si="18"/>
        <v/>
      </c>
    </row>
    <row r="129" spans="2:8" x14ac:dyDescent="0.3">
      <c r="B129" s="28"/>
      <c r="C129" s="18" t="str">
        <f t="shared" si="14"/>
        <v/>
      </c>
      <c r="D129" s="20" t="str">
        <f t="shared" si="15"/>
        <v/>
      </c>
      <c r="E129" s="19" t="str">
        <f t="shared" si="19"/>
        <v/>
      </c>
      <c r="F129" s="19" t="str">
        <f t="shared" si="16"/>
        <v/>
      </c>
      <c r="G129" s="19" t="str">
        <f t="shared" si="17"/>
        <v/>
      </c>
      <c r="H129" s="19" t="str">
        <f t="shared" si="18"/>
        <v/>
      </c>
    </row>
    <row r="130" spans="2:8" x14ac:dyDescent="0.3">
      <c r="B130" s="28"/>
      <c r="C130" s="18" t="str">
        <f t="shared" si="14"/>
        <v/>
      </c>
      <c r="D130" s="20" t="str">
        <f t="shared" si="15"/>
        <v/>
      </c>
      <c r="E130" s="19" t="str">
        <f t="shared" si="19"/>
        <v/>
      </c>
      <c r="F130" s="19" t="str">
        <f t="shared" si="16"/>
        <v/>
      </c>
      <c r="G130" s="19" t="str">
        <f t="shared" si="17"/>
        <v/>
      </c>
      <c r="H130" s="19" t="str">
        <f t="shared" si="18"/>
        <v/>
      </c>
    </row>
    <row r="131" spans="2:8" x14ac:dyDescent="0.3">
      <c r="B131" s="28"/>
      <c r="C131" s="18" t="str">
        <f t="shared" si="14"/>
        <v/>
      </c>
      <c r="D131" s="20" t="str">
        <f t="shared" si="15"/>
        <v/>
      </c>
      <c r="E131" s="19" t="str">
        <f t="shared" si="19"/>
        <v/>
      </c>
      <c r="F131" s="19" t="str">
        <f t="shared" si="16"/>
        <v/>
      </c>
      <c r="G131" s="19" t="str">
        <f t="shared" si="17"/>
        <v/>
      </c>
      <c r="H131" s="19" t="str">
        <f t="shared" si="18"/>
        <v/>
      </c>
    </row>
    <row r="132" spans="2:8" x14ac:dyDescent="0.3">
      <c r="B132" s="28"/>
      <c r="C132" s="18" t="str">
        <f t="shared" si="14"/>
        <v/>
      </c>
      <c r="D132" s="20" t="str">
        <f t="shared" si="15"/>
        <v/>
      </c>
      <c r="E132" s="19" t="str">
        <f t="shared" si="19"/>
        <v/>
      </c>
      <c r="F132" s="19" t="str">
        <f t="shared" si="16"/>
        <v/>
      </c>
      <c r="G132" s="19" t="str">
        <f t="shared" si="17"/>
        <v/>
      </c>
      <c r="H132" s="19" t="str">
        <f t="shared" si="18"/>
        <v/>
      </c>
    </row>
    <row r="133" spans="2:8" x14ac:dyDescent="0.3">
      <c r="B133" s="28"/>
      <c r="C133" s="18" t="str">
        <f t="shared" si="14"/>
        <v/>
      </c>
      <c r="D133" s="20" t="str">
        <f t="shared" si="15"/>
        <v/>
      </c>
      <c r="E133" s="19" t="str">
        <f t="shared" si="19"/>
        <v/>
      </c>
      <c r="F133" s="19" t="str">
        <f t="shared" si="16"/>
        <v/>
      </c>
      <c r="G133" s="19" t="str">
        <f t="shared" si="17"/>
        <v/>
      </c>
      <c r="H133" s="19" t="str">
        <f t="shared" si="18"/>
        <v/>
      </c>
    </row>
    <row r="134" spans="2:8" x14ac:dyDescent="0.3">
      <c r="B134" s="28"/>
      <c r="C134" s="18" t="str">
        <f t="shared" si="14"/>
        <v/>
      </c>
      <c r="D134" s="20" t="str">
        <f t="shared" si="15"/>
        <v/>
      </c>
      <c r="E134" s="19" t="str">
        <f t="shared" si="19"/>
        <v/>
      </c>
      <c r="F134" s="19" t="str">
        <f t="shared" si="16"/>
        <v/>
      </c>
      <c r="G134" s="19" t="str">
        <f t="shared" si="17"/>
        <v/>
      </c>
      <c r="H134" s="19" t="str">
        <f t="shared" si="18"/>
        <v/>
      </c>
    </row>
    <row r="135" spans="2:8" x14ac:dyDescent="0.3">
      <c r="B135" s="28"/>
      <c r="C135" s="18" t="str">
        <f t="shared" si="14"/>
        <v/>
      </c>
      <c r="D135" s="20" t="str">
        <f t="shared" si="15"/>
        <v/>
      </c>
      <c r="E135" s="19" t="str">
        <f t="shared" si="19"/>
        <v/>
      </c>
      <c r="F135" s="19" t="str">
        <f t="shared" si="16"/>
        <v/>
      </c>
      <c r="G135" s="19" t="str">
        <f t="shared" si="17"/>
        <v/>
      </c>
      <c r="H135" s="19" t="str">
        <f t="shared" si="18"/>
        <v/>
      </c>
    </row>
    <row r="136" spans="2:8" x14ac:dyDescent="0.3">
      <c r="B136" s="28"/>
      <c r="C136" s="18" t="str">
        <f t="shared" si="14"/>
        <v/>
      </c>
      <c r="D136" s="20" t="str">
        <f t="shared" si="15"/>
        <v/>
      </c>
      <c r="E136" s="19" t="str">
        <f t="shared" si="19"/>
        <v/>
      </c>
      <c r="F136" s="19" t="str">
        <f t="shared" si="16"/>
        <v/>
      </c>
      <c r="G136" s="19" t="str">
        <f t="shared" si="17"/>
        <v/>
      </c>
      <c r="H136" s="19" t="str">
        <f t="shared" si="18"/>
        <v/>
      </c>
    </row>
    <row r="137" spans="2:8" x14ac:dyDescent="0.3">
      <c r="B137" s="28"/>
      <c r="C137" s="18" t="str">
        <f t="shared" si="14"/>
        <v/>
      </c>
      <c r="D137" s="20" t="str">
        <f t="shared" si="15"/>
        <v/>
      </c>
      <c r="E137" s="19" t="str">
        <f t="shared" si="19"/>
        <v/>
      </c>
      <c r="F137" s="19" t="str">
        <f t="shared" si="16"/>
        <v/>
      </c>
      <c r="G137" s="19" t="str">
        <f t="shared" si="17"/>
        <v/>
      </c>
      <c r="H137" s="19" t="str">
        <f t="shared" si="18"/>
        <v/>
      </c>
    </row>
    <row r="138" spans="2:8" x14ac:dyDescent="0.3">
      <c r="B138" s="28"/>
      <c r="C138" s="18" t="str">
        <f t="shared" si="14"/>
        <v/>
      </c>
      <c r="D138" s="20" t="str">
        <f t="shared" si="15"/>
        <v/>
      </c>
      <c r="E138" s="19" t="str">
        <f t="shared" si="19"/>
        <v/>
      </c>
      <c r="F138" s="19" t="str">
        <f t="shared" si="16"/>
        <v/>
      </c>
      <c r="G138" s="19" t="str">
        <f t="shared" si="17"/>
        <v/>
      </c>
      <c r="H138" s="19" t="str">
        <f t="shared" si="18"/>
        <v/>
      </c>
    </row>
    <row r="139" spans="2:8" x14ac:dyDescent="0.3">
      <c r="B139" s="28"/>
      <c r="C139" s="18" t="str">
        <f t="shared" si="14"/>
        <v/>
      </c>
      <c r="D139" s="20" t="str">
        <f t="shared" si="15"/>
        <v/>
      </c>
      <c r="E139" s="19" t="str">
        <f t="shared" si="19"/>
        <v/>
      </c>
      <c r="F139" s="19" t="str">
        <f t="shared" si="16"/>
        <v/>
      </c>
      <c r="G139" s="19" t="str">
        <f t="shared" si="17"/>
        <v/>
      </c>
      <c r="H139" s="19" t="str">
        <f t="shared" si="18"/>
        <v/>
      </c>
    </row>
    <row r="140" spans="2:8" x14ac:dyDescent="0.3">
      <c r="B140" s="28"/>
      <c r="C140" s="18" t="str">
        <f t="shared" si="14"/>
        <v/>
      </c>
      <c r="D140" s="20" t="str">
        <f t="shared" si="15"/>
        <v/>
      </c>
      <c r="E140" s="19" t="str">
        <f t="shared" si="19"/>
        <v/>
      </c>
      <c r="F140" s="19" t="str">
        <f t="shared" si="16"/>
        <v/>
      </c>
      <c r="G140" s="19" t="str">
        <f t="shared" si="17"/>
        <v/>
      </c>
      <c r="H140" s="19" t="str">
        <f t="shared" si="18"/>
        <v/>
      </c>
    </row>
    <row r="141" spans="2:8" x14ac:dyDescent="0.3">
      <c r="B141" s="28"/>
      <c r="C141" s="18" t="str">
        <f t="shared" si="14"/>
        <v/>
      </c>
      <c r="D141" s="20" t="str">
        <f t="shared" si="15"/>
        <v/>
      </c>
      <c r="E141" s="19" t="str">
        <f t="shared" si="19"/>
        <v/>
      </c>
      <c r="F141" s="19" t="str">
        <f t="shared" si="16"/>
        <v/>
      </c>
      <c r="G141" s="19" t="str">
        <f t="shared" si="17"/>
        <v/>
      </c>
      <c r="H141" s="19" t="str">
        <f t="shared" si="18"/>
        <v/>
      </c>
    </row>
    <row r="142" spans="2:8" x14ac:dyDescent="0.3">
      <c r="B142" s="28"/>
      <c r="C142" s="18" t="str">
        <f t="shared" si="14"/>
        <v/>
      </c>
      <c r="D142" s="20" t="str">
        <f t="shared" si="15"/>
        <v/>
      </c>
      <c r="E142" s="19" t="str">
        <f t="shared" si="19"/>
        <v/>
      </c>
      <c r="F142" s="19" t="str">
        <f t="shared" si="16"/>
        <v/>
      </c>
      <c r="G142" s="19" t="str">
        <f t="shared" si="17"/>
        <v/>
      </c>
      <c r="H142" s="19" t="str">
        <f t="shared" si="18"/>
        <v/>
      </c>
    </row>
    <row r="143" spans="2:8" x14ac:dyDescent="0.3">
      <c r="B143" s="28"/>
      <c r="C143" s="18" t="str">
        <f t="shared" si="14"/>
        <v/>
      </c>
      <c r="D143" s="20" t="str">
        <f t="shared" si="15"/>
        <v/>
      </c>
      <c r="E143" s="19" t="str">
        <f t="shared" si="19"/>
        <v/>
      </c>
      <c r="F143" s="19" t="str">
        <f t="shared" si="16"/>
        <v/>
      </c>
      <c r="G143" s="19" t="str">
        <f t="shared" si="17"/>
        <v/>
      </c>
      <c r="H143" s="19" t="str">
        <f t="shared" si="18"/>
        <v/>
      </c>
    </row>
    <row r="144" spans="2:8" x14ac:dyDescent="0.3">
      <c r="B144" s="28"/>
      <c r="C144" s="18" t="str">
        <f t="shared" si="14"/>
        <v/>
      </c>
      <c r="D144" s="20" t="str">
        <f t="shared" si="15"/>
        <v/>
      </c>
      <c r="E144" s="19" t="str">
        <f t="shared" si="19"/>
        <v/>
      </c>
      <c r="F144" s="19" t="str">
        <f t="shared" si="16"/>
        <v/>
      </c>
      <c r="G144" s="19" t="str">
        <f t="shared" si="17"/>
        <v/>
      </c>
      <c r="H144" s="19" t="str">
        <f t="shared" si="18"/>
        <v/>
      </c>
    </row>
    <row r="145" spans="2:8" x14ac:dyDescent="0.3">
      <c r="B145" s="28"/>
      <c r="C145" s="18" t="str">
        <f t="shared" si="14"/>
        <v/>
      </c>
      <c r="D145" s="20" t="str">
        <f t="shared" si="15"/>
        <v/>
      </c>
      <c r="E145" s="19" t="str">
        <f t="shared" si="19"/>
        <v/>
      </c>
      <c r="F145" s="19" t="str">
        <f t="shared" si="16"/>
        <v/>
      </c>
      <c r="G145" s="19" t="str">
        <f t="shared" si="17"/>
        <v/>
      </c>
      <c r="H145" s="19" t="str">
        <f t="shared" si="18"/>
        <v/>
      </c>
    </row>
    <row r="146" spans="2:8" x14ac:dyDescent="0.3">
      <c r="B146" s="28"/>
      <c r="C146" s="18" t="str">
        <f t="shared" si="14"/>
        <v/>
      </c>
      <c r="D146" s="20" t="str">
        <f t="shared" si="15"/>
        <v/>
      </c>
      <c r="E146" s="19" t="str">
        <f t="shared" si="19"/>
        <v/>
      </c>
      <c r="F146" s="19" t="str">
        <f t="shared" si="16"/>
        <v/>
      </c>
      <c r="G146" s="19" t="str">
        <f t="shared" si="17"/>
        <v/>
      </c>
      <c r="H146" s="19" t="str">
        <f t="shared" si="18"/>
        <v/>
      </c>
    </row>
    <row r="147" spans="2:8" x14ac:dyDescent="0.3">
      <c r="B147" s="28"/>
      <c r="C147" s="18" t="str">
        <f t="shared" si="14"/>
        <v/>
      </c>
      <c r="D147" s="20" t="str">
        <f t="shared" si="15"/>
        <v/>
      </c>
      <c r="E147" s="19" t="str">
        <f t="shared" si="19"/>
        <v/>
      </c>
      <c r="F147" s="19" t="str">
        <f t="shared" si="16"/>
        <v/>
      </c>
      <c r="G147" s="19" t="str">
        <f t="shared" si="17"/>
        <v/>
      </c>
      <c r="H147" s="19" t="str">
        <f t="shared" si="18"/>
        <v/>
      </c>
    </row>
    <row r="148" spans="2:8" x14ac:dyDescent="0.3">
      <c r="B148" s="28"/>
      <c r="C148" s="18" t="str">
        <f t="shared" si="14"/>
        <v/>
      </c>
      <c r="D148" s="20" t="str">
        <f t="shared" si="15"/>
        <v/>
      </c>
      <c r="E148" s="19" t="str">
        <f t="shared" si="19"/>
        <v/>
      </c>
      <c r="F148" s="19" t="str">
        <f t="shared" si="16"/>
        <v/>
      </c>
      <c r="G148" s="19" t="str">
        <f t="shared" si="17"/>
        <v/>
      </c>
      <c r="H148" s="19" t="str">
        <f t="shared" si="18"/>
        <v/>
      </c>
    </row>
    <row r="149" spans="2:8" x14ac:dyDescent="0.3">
      <c r="B149" s="28"/>
      <c r="C149" s="18" t="str">
        <f t="shared" si="14"/>
        <v/>
      </c>
      <c r="D149" s="20" t="str">
        <f t="shared" si="15"/>
        <v/>
      </c>
      <c r="E149" s="19" t="str">
        <f t="shared" ref="E149:E180" si="20">IF(C149&lt;&gt;"",IF(C149=$E$8+1,0,-FV($E$6/1200,C149,-$E$12,$E$5)),"")</f>
        <v/>
      </c>
      <c r="F149" s="19" t="str">
        <f t="shared" si="16"/>
        <v/>
      </c>
      <c r="G149" s="19" t="str">
        <f t="shared" si="17"/>
        <v/>
      </c>
      <c r="H149" s="19" t="str">
        <f t="shared" si="18"/>
        <v/>
      </c>
    </row>
    <row r="150" spans="2:8" x14ac:dyDescent="0.3">
      <c r="B150" s="28"/>
      <c r="C150" s="18" t="str">
        <f t="shared" si="14"/>
        <v/>
      </c>
      <c r="D150" s="20" t="str">
        <f t="shared" si="15"/>
        <v/>
      </c>
      <c r="E150" s="19" t="str">
        <f t="shared" si="20"/>
        <v/>
      </c>
      <c r="F150" s="19" t="str">
        <f t="shared" si="16"/>
        <v/>
      </c>
      <c r="G150" s="19" t="str">
        <f t="shared" si="17"/>
        <v/>
      </c>
      <c r="H150" s="19" t="str">
        <f t="shared" si="18"/>
        <v/>
      </c>
    </row>
    <row r="151" spans="2:8" x14ac:dyDescent="0.3">
      <c r="B151" s="28"/>
      <c r="C151" s="18" t="str">
        <f t="shared" si="14"/>
        <v/>
      </c>
      <c r="D151" s="20" t="str">
        <f t="shared" si="15"/>
        <v/>
      </c>
      <c r="E151" s="19" t="str">
        <f t="shared" si="20"/>
        <v/>
      </c>
      <c r="F151" s="19" t="str">
        <f t="shared" si="16"/>
        <v/>
      </c>
      <c r="G151" s="19" t="str">
        <f t="shared" si="17"/>
        <v/>
      </c>
      <c r="H151" s="19" t="str">
        <f t="shared" si="18"/>
        <v/>
      </c>
    </row>
    <row r="152" spans="2:8" x14ac:dyDescent="0.3">
      <c r="B152" s="28"/>
      <c r="C152" s="18" t="str">
        <f t="shared" si="14"/>
        <v/>
      </c>
      <c r="D152" s="20" t="str">
        <f t="shared" si="15"/>
        <v/>
      </c>
      <c r="E152" s="19" t="str">
        <f t="shared" si="20"/>
        <v/>
      </c>
      <c r="F152" s="19" t="str">
        <f t="shared" si="16"/>
        <v/>
      </c>
      <c r="G152" s="19" t="str">
        <f t="shared" si="17"/>
        <v/>
      </c>
      <c r="H152" s="19" t="str">
        <f t="shared" si="18"/>
        <v/>
      </c>
    </row>
    <row r="153" spans="2:8" x14ac:dyDescent="0.3">
      <c r="B153" s="28"/>
      <c r="C153" s="18" t="str">
        <f t="shared" si="14"/>
        <v/>
      </c>
      <c r="D153" s="20" t="str">
        <f t="shared" si="15"/>
        <v/>
      </c>
      <c r="E153" s="19" t="str">
        <f t="shared" si="20"/>
        <v/>
      </c>
      <c r="F153" s="19" t="str">
        <f t="shared" si="16"/>
        <v/>
      </c>
      <c r="G153" s="19" t="str">
        <f t="shared" si="17"/>
        <v/>
      </c>
      <c r="H153" s="19" t="str">
        <f t="shared" si="18"/>
        <v/>
      </c>
    </row>
    <row r="154" spans="2:8" x14ac:dyDescent="0.3">
      <c r="B154" s="28"/>
      <c r="C154" s="18" t="str">
        <f t="shared" si="14"/>
        <v/>
      </c>
      <c r="D154" s="20" t="str">
        <f t="shared" si="15"/>
        <v/>
      </c>
      <c r="E154" s="19" t="str">
        <f t="shared" si="20"/>
        <v/>
      </c>
      <c r="F154" s="19" t="str">
        <f t="shared" si="16"/>
        <v/>
      </c>
      <c r="G154" s="19" t="str">
        <f t="shared" si="17"/>
        <v/>
      </c>
      <c r="H154" s="19" t="str">
        <f t="shared" si="18"/>
        <v/>
      </c>
    </row>
    <row r="155" spans="2:8" x14ac:dyDescent="0.3">
      <c r="B155" s="28"/>
      <c r="C155" s="18" t="str">
        <f t="shared" si="14"/>
        <v/>
      </c>
      <c r="D155" s="20" t="str">
        <f t="shared" si="15"/>
        <v/>
      </c>
      <c r="E155" s="19" t="str">
        <f t="shared" si="20"/>
        <v/>
      </c>
      <c r="F155" s="19" t="str">
        <f t="shared" si="16"/>
        <v/>
      </c>
      <c r="G155" s="19" t="str">
        <f t="shared" si="17"/>
        <v/>
      </c>
      <c r="H155" s="19" t="str">
        <f t="shared" si="18"/>
        <v/>
      </c>
    </row>
    <row r="156" spans="2:8" x14ac:dyDescent="0.3">
      <c r="B156" s="28"/>
      <c r="C156" s="18" t="str">
        <f t="shared" si="14"/>
        <v/>
      </c>
      <c r="D156" s="20" t="str">
        <f t="shared" si="15"/>
        <v/>
      </c>
      <c r="E156" s="19" t="str">
        <f t="shared" si="20"/>
        <v/>
      </c>
      <c r="F156" s="19" t="str">
        <f t="shared" si="16"/>
        <v/>
      </c>
      <c r="G156" s="19" t="str">
        <f t="shared" si="17"/>
        <v/>
      </c>
      <c r="H156" s="19" t="str">
        <f t="shared" si="18"/>
        <v/>
      </c>
    </row>
    <row r="157" spans="2:8" x14ac:dyDescent="0.3">
      <c r="B157" s="28"/>
      <c r="C157" s="18" t="str">
        <f t="shared" si="14"/>
        <v/>
      </c>
      <c r="D157" s="20" t="str">
        <f t="shared" si="15"/>
        <v/>
      </c>
      <c r="E157" s="19" t="str">
        <f t="shared" si="20"/>
        <v/>
      </c>
      <c r="F157" s="19" t="str">
        <f t="shared" si="16"/>
        <v/>
      </c>
      <c r="G157" s="19" t="str">
        <f t="shared" si="17"/>
        <v/>
      </c>
      <c r="H157" s="19" t="str">
        <f t="shared" si="18"/>
        <v/>
      </c>
    </row>
    <row r="158" spans="2:8" x14ac:dyDescent="0.3">
      <c r="B158" s="28"/>
      <c r="C158" s="18" t="str">
        <f t="shared" si="14"/>
        <v/>
      </c>
      <c r="D158" s="20" t="str">
        <f t="shared" si="15"/>
        <v/>
      </c>
      <c r="E158" s="19" t="str">
        <f t="shared" si="20"/>
        <v/>
      </c>
      <c r="F158" s="19" t="str">
        <f t="shared" si="16"/>
        <v/>
      </c>
      <c r="G158" s="19" t="str">
        <f t="shared" si="17"/>
        <v/>
      </c>
      <c r="H158" s="19" t="str">
        <f t="shared" si="18"/>
        <v/>
      </c>
    </row>
    <row r="159" spans="2:8" x14ac:dyDescent="0.3">
      <c r="B159" s="28"/>
      <c r="C159" s="18" t="str">
        <f t="shared" si="14"/>
        <v/>
      </c>
      <c r="D159" s="20" t="str">
        <f t="shared" si="15"/>
        <v/>
      </c>
      <c r="E159" s="19" t="str">
        <f t="shared" si="20"/>
        <v/>
      </c>
      <c r="F159" s="19" t="str">
        <f t="shared" si="16"/>
        <v/>
      </c>
      <c r="G159" s="19" t="str">
        <f t="shared" si="17"/>
        <v/>
      </c>
      <c r="H159" s="19" t="str">
        <f t="shared" si="18"/>
        <v/>
      </c>
    </row>
    <row r="160" spans="2:8" x14ac:dyDescent="0.3">
      <c r="B160" s="28"/>
      <c r="C160" s="18" t="str">
        <f t="shared" si="14"/>
        <v/>
      </c>
      <c r="D160" s="20" t="str">
        <f t="shared" si="15"/>
        <v/>
      </c>
      <c r="E160" s="19" t="str">
        <f t="shared" si="20"/>
        <v/>
      </c>
      <c r="F160" s="19" t="str">
        <f t="shared" si="16"/>
        <v/>
      </c>
      <c r="G160" s="19" t="str">
        <f t="shared" si="17"/>
        <v/>
      </c>
      <c r="H160" s="19" t="str">
        <f t="shared" si="18"/>
        <v/>
      </c>
    </row>
    <row r="161" spans="2:8" x14ac:dyDescent="0.3">
      <c r="B161" s="28"/>
      <c r="C161" s="18" t="str">
        <f t="shared" si="14"/>
        <v/>
      </c>
      <c r="D161" s="20" t="str">
        <f t="shared" si="15"/>
        <v/>
      </c>
      <c r="E161" s="19" t="str">
        <f t="shared" si="20"/>
        <v/>
      </c>
      <c r="F161" s="19" t="str">
        <f t="shared" si="16"/>
        <v/>
      </c>
      <c r="G161" s="19" t="str">
        <f t="shared" si="17"/>
        <v/>
      </c>
      <c r="H161" s="19" t="str">
        <f t="shared" si="18"/>
        <v/>
      </c>
    </row>
    <row r="162" spans="2:8" x14ac:dyDescent="0.3">
      <c r="B162" s="28"/>
      <c r="C162" s="18" t="str">
        <f t="shared" si="14"/>
        <v/>
      </c>
      <c r="D162" s="20" t="str">
        <f t="shared" si="15"/>
        <v/>
      </c>
      <c r="E162" s="19" t="str">
        <f t="shared" si="20"/>
        <v/>
      </c>
      <c r="F162" s="19" t="str">
        <f t="shared" si="16"/>
        <v/>
      </c>
      <c r="G162" s="19" t="str">
        <f t="shared" si="17"/>
        <v/>
      </c>
      <c r="H162" s="19" t="str">
        <f t="shared" si="18"/>
        <v/>
      </c>
    </row>
    <row r="163" spans="2:8" x14ac:dyDescent="0.3">
      <c r="B163" s="28"/>
      <c r="C163" s="18" t="str">
        <f t="shared" si="14"/>
        <v/>
      </c>
      <c r="D163" s="20" t="str">
        <f t="shared" si="15"/>
        <v/>
      </c>
      <c r="E163" s="19" t="str">
        <f t="shared" si="20"/>
        <v/>
      </c>
      <c r="F163" s="19" t="str">
        <f t="shared" si="16"/>
        <v/>
      </c>
      <c r="G163" s="19" t="str">
        <f t="shared" si="17"/>
        <v/>
      </c>
      <c r="H163" s="19" t="str">
        <f t="shared" si="18"/>
        <v/>
      </c>
    </row>
    <row r="164" spans="2:8" x14ac:dyDescent="0.3">
      <c r="B164" s="28"/>
      <c r="C164" s="18" t="str">
        <f t="shared" si="14"/>
        <v/>
      </c>
      <c r="D164" s="20" t="str">
        <f t="shared" si="15"/>
        <v/>
      </c>
      <c r="E164" s="19" t="str">
        <f t="shared" si="20"/>
        <v/>
      </c>
      <c r="F164" s="19" t="str">
        <f t="shared" si="16"/>
        <v/>
      </c>
      <c r="G164" s="19" t="str">
        <f t="shared" si="17"/>
        <v/>
      </c>
      <c r="H164" s="19" t="str">
        <f t="shared" si="18"/>
        <v/>
      </c>
    </row>
    <row r="165" spans="2:8" x14ac:dyDescent="0.3">
      <c r="B165" s="28"/>
      <c r="C165" s="18" t="str">
        <f t="shared" si="14"/>
        <v/>
      </c>
      <c r="D165" s="20" t="str">
        <f t="shared" si="15"/>
        <v/>
      </c>
      <c r="E165" s="19" t="str">
        <f t="shared" si="20"/>
        <v/>
      </c>
      <c r="F165" s="19" t="str">
        <f t="shared" si="16"/>
        <v/>
      </c>
      <c r="G165" s="19" t="str">
        <f t="shared" si="17"/>
        <v/>
      </c>
      <c r="H165" s="19" t="str">
        <f t="shared" si="18"/>
        <v/>
      </c>
    </row>
    <row r="166" spans="2:8" x14ac:dyDescent="0.3">
      <c r="B166" s="28"/>
      <c r="C166" s="18" t="str">
        <f t="shared" ref="C166:C200" si="21">IF(OR(C165="",C165=$E$8+1),"",C165+1)</f>
        <v/>
      </c>
      <c r="D166" s="20" t="str">
        <f t="shared" ref="D166:D200" si="22">IF(C166&lt;&gt;"",DATE(YEAR(D165),MONTH(D165)+1,1),"")</f>
        <v/>
      </c>
      <c r="E166" s="19" t="str">
        <f t="shared" si="20"/>
        <v/>
      </c>
      <c r="F166" s="19" t="str">
        <f t="shared" ref="F166:F200" si="23">IF(C166&lt;&gt;"",IF(C166=$E$8+1,E165,E165-E166),"")</f>
        <v/>
      </c>
      <c r="G166" s="19" t="str">
        <f t="shared" ref="G166:G200" si="24">IF(C166&lt;&gt;"",E165*$E$6/1200,"")</f>
        <v/>
      </c>
      <c r="H166" s="19" t="str">
        <f t="shared" ref="H166:H200" si="25">IF(C166&lt;&gt;"",F166+G166,"")</f>
        <v/>
      </c>
    </row>
    <row r="167" spans="2:8" x14ac:dyDescent="0.3">
      <c r="B167" s="28"/>
      <c r="C167" s="18" t="str">
        <f t="shared" si="21"/>
        <v/>
      </c>
      <c r="D167" s="20" t="str">
        <f t="shared" si="22"/>
        <v/>
      </c>
      <c r="E167" s="19" t="str">
        <f t="shared" si="20"/>
        <v/>
      </c>
      <c r="F167" s="19" t="str">
        <f t="shared" si="23"/>
        <v/>
      </c>
      <c r="G167" s="19" t="str">
        <f t="shared" si="24"/>
        <v/>
      </c>
      <c r="H167" s="19" t="str">
        <f t="shared" si="25"/>
        <v/>
      </c>
    </row>
    <row r="168" spans="2:8" x14ac:dyDescent="0.3">
      <c r="B168" s="28"/>
      <c r="C168" s="18" t="str">
        <f t="shared" si="21"/>
        <v/>
      </c>
      <c r="D168" s="20" t="str">
        <f t="shared" si="22"/>
        <v/>
      </c>
      <c r="E168" s="19" t="str">
        <f t="shared" si="20"/>
        <v/>
      </c>
      <c r="F168" s="19" t="str">
        <f t="shared" si="23"/>
        <v/>
      </c>
      <c r="G168" s="19" t="str">
        <f t="shared" si="24"/>
        <v/>
      </c>
      <c r="H168" s="19" t="str">
        <f t="shared" si="25"/>
        <v/>
      </c>
    </row>
    <row r="169" spans="2:8" x14ac:dyDescent="0.3">
      <c r="B169" s="28"/>
      <c r="C169" s="18" t="str">
        <f t="shared" si="21"/>
        <v/>
      </c>
      <c r="D169" s="20" t="str">
        <f t="shared" si="22"/>
        <v/>
      </c>
      <c r="E169" s="19" t="str">
        <f t="shared" si="20"/>
        <v/>
      </c>
      <c r="F169" s="19" t="str">
        <f t="shared" si="23"/>
        <v/>
      </c>
      <c r="G169" s="19" t="str">
        <f t="shared" si="24"/>
        <v/>
      </c>
      <c r="H169" s="19" t="str">
        <f t="shared" si="25"/>
        <v/>
      </c>
    </row>
    <row r="170" spans="2:8" x14ac:dyDescent="0.3">
      <c r="B170" s="28"/>
      <c r="C170" s="18" t="str">
        <f t="shared" si="21"/>
        <v/>
      </c>
      <c r="D170" s="20" t="str">
        <f t="shared" si="22"/>
        <v/>
      </c>
      <c r="E170" s="19" t="str">
        <f t="shared" si="20"/>
        <v/>
      </c>
      <c r="F170" s="19" t="str">
        <f t="shared" si="23"/>
        <v/>
      </c>
      <c r="G170" s="19" t="str">
        <f t="shared" si="24"/>
        <v/>
      </c>
      <c r="H170" s="19" t="str">
        <f t="shared" si="25"/>
        <v/>
      </c>
    </row>
    <row r="171" spans="2:8" x14ac:dyDescent="0.3">
      <c r="B171" s="28"/>
      <c r="C171" s="18" t="str">
        <f t="shared" si="21"/>
        <v/>
      </c>
      <c r="D171" s="20" t="str">
        <f t="shared" si="22"/>
        <v/>
      </c>
      <c r="E171" s="19" t="str">
        <f t="shared" si="20"/>
        <v/>
      </c>
      <c r="F171" s="19" t="str">
        <f t="shared" si="23"/>
        <v/>
      </c>
      <c r="G171" s="19" t="str">
        <f t="shared" si="24"/>
        <v/>
      </c>
      <c r="H171" s="19" t="str">
        <f t="shared" si="25"/>
        <v/>
      </c>
    </row>
    <row r="172" spans="2:8" x14ac:dyDescent="0.3">
      <c r="B172" s="28"/>
      <c r="C172" s="18" t="str">
        <f t="shared" si="21"/>
        <v/>
      </c>
      <c r="D172" s="20" t="str">
        <f t="shared" si="22"/>
        <v/>
      </c>
      <c r="E172" s="19" t="str">
        <f t="shared" si="20"/>
        <v/>
      </c>
      <c r="F172" s="19" t="str">
        <f t="shared" si="23"/>
        <v/>
      </c>
      <c r="G172" s="19" t="str">
        <f t="shared" si="24"/>
        <v/>
      </c>
      <c r="H172" s="19" t="str">
        <f t="shared" si="25"/>
        <v/>
      </c>
    </row>
    <row r="173" spans="2:8" x14ac:dyDescent="0.3">
      <c r="B173" s="28"/>
      <c r="C173" s="18" t="str">
        <f t="shared" si="21"/>
        <v/>
      </c>
      <c r="D173" s="20" t="str">
        <f t="shared" si="22"/>
        <v/>
      </c>
      <c r="E173" s="19" t="str">
        <f t="shared" si="20"/>
        <v/>
      </c>
      <c r="F173" s="19" t="str">
        <f t="shared" si="23"/>
        <v/>
      </c>
      <c r="G173" s="19" t="str">
        <f t="shared" si="24"/>
        <v/>
      </c>
      <c r="H173" s="19" t="str">
        <f t="shared" si="25"/>
        <v/>
      </c>
    </row>
    <row r="174" spans="2:8" x14ac:dyDescent="0.3">
      <c r="B174" s="28"/>
      <c r="C174" s="18" t="str">
        <f t="shared" si="21"/>
        <v/>
      </c>
      <c r="D174" s="20" t="str">
        <f t="shared" si="22"/>
        <v/>
      </c>
      <c r="E174" s="19" t="str">
        <f t="shared" si="20"/>
        <v/>
      </c>
      <c r="F174" s="19" t="str">
        <f t="shared" si="23"/>
        <v/>
      </c>
      <c r="G174" s="19" t="str">
        <f t="shared" si="24"/>
        <v/>
      </c>
      <c r="H174" s="19" t="str">
        <f t="shared" si="25"/>
        <v/>
      </c>
    </row>
    <row r="175" spans="2:8" x14ac:dyDescent="0.3">
      <c r="B175" s="28"/>
      <c r="C175" s="18" t="str">
        <f t="shared" si="21"/>
        <v/>
      </c>
      <c r="D175" s="20" t="str">
        <f t="shared" si="22"/>
        <v/>
      </c>
      <c r="E175" s="19" t="str">
        <f t="shared" si="20"/>
        <v/>
      </c>
      <c r="F175" s="19" t="str">
        <f t="shared" si="23"/>
        <v/>
      </c>
      <c r="G175" s="19" t="str">
        <f t="shared" si="24"/>
        <v/>
      </c>
      <c r="H175" s="19" t="str">
        <f t="shared" si="25"/>
        <v/>
      </c>
    </row>
    <row r="176" spans="2:8" x14ac:dyDescent="0.3">
      <c r="B176" s="28"/>
      <c r="C176" s="18" t="str">
        <f t="shared" si="21"/>
        <v/>
      </c>
      <c r="D176" s="20" t="str">
        <f t="shared" si="22"/>
        <v/>
      </c>
      <c r="E176" s="19" t="str">
        <f t="shared" si="20"/>
        <v/>
      </c>
      <c r="F176" s="19" t="str">
        <f t="shared" si="23"/>
        <v/>
      </c>
      <c r="G176" s="19" t="str">
        <f t="shared" si="24"/>
        <v/>
      </c>
      <c r="H176" s="19" t="str">
        <f t="shared" si="25"/>
        <v/>
      </c>
    </row>
    <row r="177" spans="2:8" x14ac:dyDescent="0.3">
      <c r="B177" s="28"/>
      <c r="C177" s="18" t="str">
        <f t="shared" si="21"/>
        <v/>
      </c>
      <c r="D177" s="20" t="str">
        <f t="shared" si="22"/>
        <v/>
      </c>
      <c r="E177" s="19" t="str">
        <f t="shared" si="20"/>
        <v/>
      </c>
      <c r="F177" s="19" t="str">
        <f t="shared" si="23"/>
        <v/>
      </c>
      <c r="G177" s="19" t="str">
        <f t="shared" si="24"/>
        <v/>
      </c>
      <c r="H177" s="19" t="str">
        <f t="shared" si="25"/>
        <v/>
      </c>
    </row>
    <row r="178" spans="2:8" x14ac:dyDescent="0.3">
      <c r="B178" s="28"/>
      <c r="C178" s="18" t="str">
        <f t="shared" si="21"/>
        <v/>
      </c>
      <c r="D178" s="20" t="str">
        <f t="shared" si="22"/>
        <v/>
      </c>
      <c r="E178" s="19" t="str">
        <f t="shared" si="20"/>
        <v/>
      </c>
      <c r="F178" s="19" t="str">
        <f t="shared" si="23"/>
        <v/>
      </c>
      <c r="G178" s="19" t="str">
        <f t="shared" si="24"/>
        <v/>
      </c>
      <c r="H178" s="19" t="str">
        <f t="shared" si="25"/>
        <v/>
      </c>
    </row>
    <row r="179" spans="2:8" x14ac:dyDescent="0.3">
      <c r="B179" s="28"/>
      <c r="C179" s="18" t="str">
        <f t="shared" si="21"/>
        <v/>
      </c>
      <c r="D179" s="20" t="str">
        <f t="shared" si="22"/>
        <v/>
      </c>
      <c r="E179" s="19" t="str">
        <f t="shared" si="20"/>
        <v/>
      </c>
      <c r="F179" s="19" t="str">
        <f t="shared" si="23"/>
        <v/>
      </c>
      <c r="G179" s="19" t="str">
        <f t="shared" si="24"/>
        <v/>
      </c>
      <c r="H179" s="19" t="str">
        <f t="shared" si="25"/>
        <v/>
      </c>
    </row>
    <row r="180" spans="2:8" x14ac:dyDescent="0.3">
      <c r="B180" s="28"/>
      <c r="C180" s="18" t="str">
        <f t="shared" si="21"/>
        <v/>
      </c>
      <c r="D180" s="20" t="str">
        <f t="shared" si="22"/>
        <v/>
      </c>
      <c r="E180" s="19" t="str">
        <f t="shared" si="20"/>
        <v/>
      </c>
      <c r="F180" s="19" t="str">
        <f t="shared" si="23"/>
        <v/>
      </c>
      <c r="G180" s="19" t="str">
        <f t="shared" si="24"/>
        <v/>
      </c>
      <c r="H180" s="19" t="str">
        <f t="shared" si="25"/>
        <v/>
      </c>
    </row>
    <row r="181" spans="2:8" x14ac:dyDescent="0.3">
      <c r="B181" s="28"/>
      <c r="C181" s="18" t="str">
        <f t="shared" si="21"/>
        <v/>
      </c>
      <c r="D181" s="20" t="str">
        <f t="shared" si="22"/>
        <v/>
      </c>
      <c r="E181" s="19" t="str">
        <f t="shared" ref="E181:E200" si="26">IF(C181&lt;&gt;"",IF(C181=$E$8+1,0,-FV($E$6/1200,C181,-$E$12,$E$5)),"")</f>
        <v/>
      </c>
      <c r="F181" s="19" t="str">
        <f t="shared" si="23"/>
        <v/>
      </c>
      <c r="G181" s="19" t="str">
        <f t="shared" si="24"/>
        <v/>
      </c>
      <c r="H181" s="19" t="str">
        <f t="shared" si="25"/>
        <v/>
      </c>
    </row>
    <row r="182" spans="2:8" x14ac:dyDescent="0.3">
      <c r="B182" s="28"/>
      <c r="C182" s="18" t="str">
        <f t="shared" si="21"/>
        <v/>
      </c>
      <c r="D182" s="20" t="str">
        <f t="shared" si="22"/>
        <v/>
      </c>
      <c r="E182" s="19" t="str">
        <f t="shared" si="26"/>
        <v/>
      </c>
      <c r="F182" s="19" t="str">
        <f t="shared" si="23"/>
        <v/>
      </c>
      <c r="G182" s="19" t="str">
        <f t="shared" si="24"/>
        <v/>
      </c>
      <c r="H182" s="19" t="str">
        <f t="shared" si="25"/>
        <v/>
      </c>
    </row>
    <row r="183" spans="2:8" x14ac:dyDescent="0.3">
      <c r="B183" s="28"/>
      <c r="C183" s="18" t="str">
        <f t="shared" si="21"/>
        <v/>
      </c>
      <c r="D183" s="20" t="str">
        <f t="shared" si="22"/>
        <v/>
      </c>
      <c r="E183" s="19" t="str">
        <f t="shared" si="26"/>
        <v/>
      </c>
      <c r="F183" s="19" t="str">
        <f t="shared" si="23"/>
        <v/>
      </c>
      <c r="G183" s="19" t="str">
        <f t="shared" si="24"/>
        <v/>
      </c>
      <c r="H183" s="19" t="str">
        <f t="shared" si="25"/>
        <v/>
      </c>
    </row>
    <row r="184" spans="2:8" x14ac:dyDescent="0.3">
      <c r="B184" s="28"/>
      <c r="C184" s="18" t="str">
        <f t="shared" si="21"/>
        <v/>
      </c>
      <c r="D184" s="20" t="str">
        <f t="shared" si="22"/>
        <v/>
      </c>
      <c r="E184" s="19" t="str">
        <f t="shared" si="26"/>
        <v/>
      </c>
      <c r="F184" s="19" t="str">
        <f t="shared" si="23"/>
        <v/>
      </c>
      <c r="G184" s="19" t="str">
        <f t="shared" si="24"/>
        <v/>
      </c>
      <c r="H184" s="19" t="str">
        <f t="shared" si="25"/>
        <v/>
      </c>
    </row>
    <row r="185" spans="2:8" x14ac:dyDescent="0.3">
      <c r="B185" s="28"/>
      <c r="C185" s="18" t="str">
        <f t="shared" si="21"/>
        <v/>
      </c>
      <c r="D185" s="20" t="str">
        <f t="shared" si="22"/>
        <v/>
      </c>
      <c r="E185" s="19" t="str">
        <f t="shared" si="26"/>
        <v/>
      </c>
      <c r="F185" s="19" t="str">
        <f t="shared" si="23"/>
        <v/>
      </c>
      <c r="G185" s="19" t="str">
        <f t="shared" si="24"/>
        <v/>
      </c>
      <c r="H185" s="19" t="str">
        <f t="shared" si="25"/>
        <v/>
      </c>
    </row>
    <row r="186" spans="2:8" x14ac:dyDescent="0.3">
      <c r="B186" s="28"/>
      <c r="C186" s="18" t="str">
        <f t="shared" si="21"/>
        <v/>
      </c>
      <c r="D186" s="20" t="str">
        <f t="shared" si="22"/>
        <v/>
      </c>
      <c r="E186" s="19" t="str">
        <f t="shared" si="26"/>
        <v/>
      </c>
      <c r="F186" s="19" t="str">
        <f t="shared" si="23"/>
        <v/>
      </c>
      <c r="G186" s="19" t="str">
        <f t="shared" si="24"/>
        <v/>
      </c>
      <c r="H186" s="19" t="str">
        <f t="shared" si="25"/>
        <v/>
      </c>
    </row>
    <row r="187" spans="2:8" x14ac:dyDescent="0.3">
      <c r="B187" s="28"/>
      <c r="C187" s="18" t="str">
        <f t="shared" si="21"/>
        <v/>
      </c>
      <c r="D187" s="20" t="str">
        <f t="shared" si="22"/>
        <v/>
      </c>
      <c r="E187" s="19" t="str">
        <f t="shared" si="26"/>
        <v/>
      </c>
      <c r="F187" s="19" t="str">
        <f t="shared" si="23"/>
        <v/>
      </c>
      <c r="G187" s="19" t="str">
        <f t="shared" si="24"/>
        <v/>
      </c>
      <c r="H187" s="19" t="str">
        <f t="shared" si="25"/>
        <v/>
      </c>
    </row>
    <row r="188" spans="2:8" x14ac:dyDescent="0.3">
      <c r="B188" s="28"/>
      <c r="C188" s="18" t="str">
        <f t="shared" si="21"/>
        <v/>
      </c>
      <c r="D188" s="20" t="str">
        <f t="shared" si="22"/>
        <v/>
      </c>
      <c r="E188" s="19" t="str">
        <f t="shared" si="26"/>
        <v/>
      </c>
      <c r="F188" s="19" t="str">
        <f t="shared" si="23"/>
        <v/>
      </c>
      <c r="G188" s="19" t="str">
        <f t="shared" si="24"/>
        <v/>
      </c>
      <c r="H188" s="19" t="str">
        <f t="shared" si="25"/>
        <v/>
      </c>
    </row>
    <row r="189" spans="2:8" x14ac:dyDescent="0.3">
      <c r="B189" s="28"/>
      <c r="C189" s="18" t="str">
        <f t="shared" si="21"/>
        <v/>
      </c>
      <c r="D189" s="20" t="str">
        <f t="shared" si="22"/>
        <v/>
      </c>
      <c r="E189" s="19" t="str">
        <f t="shared" si="26"/>
        <v/>
      </c>
      <c r="F189" s="19" t="str">
        <f t="shared" si="23"/>
        <v/>
      </c>
      <c r="G189" s="19" t="str">
        <f t="shared" si="24"/>
        <v/>
      </c>
      <c r="H189" s="19" t="str">
        <f t="shared" si="25"/>
        <v/>
      </c>
    </row>
    <row r="190" spans="2:8" x14ac:dyDescent="0.3">
      <c r="B190" s="28"/>
      <c r="C190" s="18" t="str">
        <f t="shared" si="21"/>
        <v/>
      </c>
      <c r="D190" s="20" t="str">
        <f t="shared" si="22"/>
        <v/>
      </c>
      <c r="E190" s="19" t="str">
        <f t="shared" si="26"/>
        <v/>
      </c>
      <c r="F190" s="19" t="str">
        <f t="shared" si="23"/>
        <v/>
      </c>
      <c r="G190" s="19" t="str">
        <f t="shared" si="24"/>
        <v/>
      </c>
      <c r="H190" s="19" t="str">
        <f t="shared" si="25"/>
        <v/>
      </c>
    </row>
    <row r="191" spans="2:8" x14ac:dyDescent="0.3">
      <c r="B191" s="28"/>
      <c r="C191" s="18" t="str">
        <f t="shared" si="21"/>
        <v/>
      </c>
      <c r="D191" s="20" t="str">
        <f t="shared" si="22"/>
        <v/>
      </c>
      <c r="E191" s="19" t="str">
        <f t="shared" si="26"/>
        <v/>
      </c>
      <c r="F191" s="19" t="str">
        <f t="shared" si="23"/>
        <v/>
      </c>
      <c r="G191" s="19" t="str">
        <f t="shared" si="24"/>
        <v/>
      </c>
      <c r="H191" s="19" t="str">
        <f t="shared" si="25"/>
        <v/>
      </c>
    </row>
    <row r="192" spans="2:8" x14ac:dyDescent="0.3">
      <c r="B192" s="28"/>
      <c r="C192" s="18" t="str">
        <f t="shared" si="21"/>
        <v/>
      </c>
      <c r="D192" s="20" t="str">
        <f t="shared" si="22"/>
        <v/>
      </c>
      <c r="E192" s="19" t="str">
        <f t="shared" si="26"/>
        <v/>
      </c>
      <c r="F192" s="19" t="str">
        <f t="shared" si="23"/>
        <v/>
      </c>
      <c r="G192" s="19" t="str">
        <f t="shared" si="24"/>
        <v/>
      </c>
      <c r="H192" s="19" t="str">
        <f t="shared" si="25"/>
        <v/>
      </c>
    </row>
    <row r="193" spans="2:8" x14ac:dyDescent="0.3">
      <c r="B193" s="28"/>
      <c r="C193" s="18" t="str">
        <f t="shared" si="21"/>
        <v/>
      </c>
      <c r="D193" s="20" t="str">
        <f t="shared" si="22"/>
        <v/>
      </c>
      <c r="E193" s="19" t="str">
        <f t="shared" si="26"/>
        <v/>
      </c>
      <c r="F193" s="19" t="str">
        <f t="shared" si="23"/>
        <v/>
      </c>
      <c r="G193" s="19" t="str">
        <f t="shared" si="24"/>
        <v/>
      </c>
      <c r="H193" s="19" t="str">
        <f t="shared" si="25"/>
        <v/>
      </c>
    </row>
    <row r="194" spans="2:8" x14ac:dyDescent="0.3">
      <c r="B194" s="28"/>
      <c r="C194" s="18" t="str">
        <f t="shared" si="21"/>
        <v/>
      </c>
      <c r="D194" s="20" t="str">
        <f t="shared" si="22"/>
        <v/>
      </c>
      <c r="E194" s="19" t="str">
        <f t="shared" si="26"/>
        <v/>
      </c>
      <c r="F194" s="19" t="str">
        <f t="shared" si="23"/>
        <v/>
      </c>
      <c r="G194" s="19" t="str">
        <f t="shared" si="24"/>
        <v/>
      </c>
      <c r="H194" s="19" t="str">
        <f t="shared" si="25"/>
        <v/>
      </c>
    </row>
    <row r="195" spans="2:8" x14ac:dyDescent="0.3">
      <c r="B195" s="28"/>
      <c r="C195" s="18" t="str">
        <f t="shared" si="21"/>
        <v/>
      </c>
      <c r="D195" s="20" t="str">
        <f t="shared" si="22"/>
        <v/>
      </c>
      <c r="E195" s="19" t="str">
        <f t="shared" si="26"/>
        <v/>
      </c>
      <c r="F195" s="19" t="str">
        <f t="shared" si="23"/>
        <v/>
      </c>
      <c r="G195" s="19" t="str">
        <f t="shared" si="24"/>
        <v/>
      </c>
      <c r="H195" s="19" t="str">
        <f t="shared" si="25"/>
        <v/>
      </c>
    </row>
    <row r="196" spans="2:8" x14ac:dyDescent="0.3">
      <c r="B196" s="28"/>
      <c r="C196" s="18" t="str">
        <f t="shared" si="21"/>
        <v/>
      </c>
      <c r="D196" s="20" t="str">
        <f t="shared" si="22"/>
        <v/>
      </c>
      <c r="E196" s="19" t="str">
        <f t="shared" si="26"/>
        <v/>
      </c>
      <c r="F196" s="19" t="str">
        <f t="shared" si="23"/>
        <v/>
      </c>
      <c r="G196" s="19" t="str">
        <f t="shared" si="24"/>
        <v/>
      </c>
      <c r="H196" s="19" t="str">
        <f t="shared" si="25"/>
        <v/>
      </c>
    </row>
    <row r="197" spans="2:8" x14ac:dyDescent="0.3">
      <c r="B197" s="28"/>
      <c r="C197" s="18" t="str">
        <f t="shared" si="21"/>
        <v/>
      </c>
      <c r="D197" s="20" t="str">
        <f t="shared" si="22"/>
        <v/>
      </c>
      <c r="E197" s="19" t="str">
        <f t="shared" si="26"/>
        <v/>
      </c>
      <c r="F197" s="19" t="str">
        <f t="shared" si="23"/>
        <v/>
      </c>
      <c r="G197" s="19" t="str">
        <f t="shared" si="24"/>
        <v/>
      </c>
      <c r="H197" s="19" t="str">
        <f t="shared" si="25"/>
        <v/>
      </c>
    </row>
    <row r="198" spans="2:8" x14ac:dyDescent="0.3">
      <c r="B198" s="28"/>
      <c r="C198" s="18" t="str">
        <f t="shared" si="21"/>
        <v/>
      </c>
      <c r="D198" s="20" t="str">
        <f t="shared" si="22"/>
        <v/>
      </c>
      <c r="E198" s="19" t="str">
        <f t="shared" si="26"/>
        <v/>
      </c>
      <c r="F198" s="19" t="str">
        <f t="shared" si="23"/>
        <v/>
      </c>
      <c r="G198" s="19" t="str">
        <f t="shared" si="24"/>
        <v/>
      </c>
      <c r="H198" s="19" t="str">
        <f t="shared" si="25"/>
        <v/>
      </c>
    </row>
    <row r="199" spans="2:8" x14ac:dyDescent="0.3">
      <c r="B199" s="28"/>
      <c r="C199" s="18" t="str">
        <f t="shared" si="21"/>
        <v/>
      </c>
      <c r="D199" s="20" t="str">
        <f t="shared" si="22"/>
        <v/>
      </c>
      <c r="E199" s="19" t="str">
        <f t="shared" si="26"/>
        <v/>
      </c>
      <c r="F199" s="19" t="str">
        <f t="shared" si="23"/>
        <v/>
      </c>
      <c r="G199" s="19" t="str">
        <f t="shared" si="24"/>
        <v/>
      </c>
      <c r="H199" s="19" t="str">
        <f t="shared" si="25"/>
        <v/>
      </c>
    </row>
    <row r="200" spans="2:8" x14ac:dyDescent="0.3">
      <c r="B200" s="28"/>
      <c r="C200" s="18" t="str">
        <f t="shared" si="21"/>
        <v/>
      </c>
      <c r="D200" s="20" t="str">
        <f t="shared" si="22"/>
        <v/>
      </c>
      <c r="E200" s="19" t="str">
        <f t="shared" si="26"/>
        <v/>
      </c>
      <c r="F200" s="19" t="str">
        <f t="shared" si="23"/>
        <v/>
      </c>
      <c r="G200" s="19" t="str">
        <f t="shared" si="24"/>
        <v/>
      </c>
      <c r="H200" s="19" t="str">
        <f t="shared" si="25"/>
        <v/>
      </c>
    </row>
  </sheetData>
  <mergeCells count="2">
    <mergeCell ref="B17:I17"/>
    <mergeCell ref="B2:I2"/>
  </mergeCells>
  <conditionalFormatting sqref="C21:H200">
    <cfRule type="expression" dxfId="1" priority="2">
      <formula>$C21=""</formula>
    </cfRule>
    <cfRule type="expression" dxfId="0" priority="1">
      <formula>$C21=$E$8+1</formula>
    </cfRule>
  </conditionalFormatting>
  <dataValidations count="2">
    <dataValidation type="whole" allowBlank="1" showInputMessage="1" showErrorMessage="1" sqref="E7">
      <formula1>2</formula1>
      <formula2>180</formula2>
    </dataValidation>
    <dataValidation type="whole" allowBlank="1" showInputMessage="1" showErrorMessage="1" sqref="E8">
      <formula1>2</formula1>
      <formula2>179</formula2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38" customWidth="1"/>
    <col min="2" max="16384" width="12.44140625" style="38"/>
  </cols>
  <sheetData>
    <row r="4" spans="1:1" s="34" customFormat="1" ht="15.6" customHeight="1" x14ac:dyDescent="0.5">
      <c r="A4" s="33"/>
    </row>
    <row r="5" spans="1:1" s="34" customFormat="1" ht="15.6" customHeight="1" x14ac:dyDescent="0.5">
      <c r="A5" s="35"/>
    </row>
    <row r="40" spans="1:15" s="34" customFormat="1" ht="30" customHeight="1" x14ac:dyDescent="0.5">
      <c r="A40" s="41" t="s">
        <v>17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36"/>
      <c r="N40" s="36"/>
      <c r="O40" s="36"/>
    </row>
    <row r="41" spans="1:15" s="34" customFormat="1" ht="30" customHeight="1" x14ac:dyDescent="0.5">
      <c r="A41" s="42" t="s">
        <v>18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37"/>
      <c r="N41" s="37"/>
      <c r="O41" s="37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38" customWidth="1"/>
    <col min="2" max="16384" width="12.44140625" style="38"/>
  </cols>
  <sheetData>
    <row r="4" spans="1:1" s="34" customFormat="1" ht="15.6" customHeight="1" x14ac:dyDescent="0.5">
      <c r="A4" s="33"/>
    </row>
    <row r="5" spans="1:1" s="34" customFormat="1" ht="15.6" customHeight="1" x14ac:dyDescent="0.5">
      <c r="A5" s="35"/>
    </row>
    <row r="40" spans="1:15" s="34" customFormat="1" ht="30" customHeight="1" x14ac:dyDescent="0.5">
      <c r="A40" s="41" t="s">
        <v>17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36"/>
      <c r="N40" s="36"/>
      <c r="O40" s="36"/>
    </row>
    <row r="41" spans="1:15" s="34" customFormat="1" ht="30" customHeight="1" x14ac:dyDescent="0.5">
      <c r="A41" s="42" t="s">
        <v>18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37"/>
      <c r="N41" s="37"/>
      <c r="O41" s="37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Balloon</vt:lpstr>
      <vt:lpstr>Sheet2</vt:lpstr>
      <vt:lpstr>Sheet3</vt:lpstr>
      <vt:lpstr>Copyright</vt:lpstr>
      <vt:lpstr>Copyright-2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Balloon Loan Calculator</dc:title>
  <dc:creator>R. Musadya</dc:creator>
  <cp:lastModifiedBy>Moorche</cp:lastModifiedBy>
  <dcterms:created xsi:type="dcterms:W3CDTF">2016-10-12T09:23:43Z</dcterms:created>
  <dcterms:modified xsi:type="dcterms:W3CDTF">2020-12-22T16:51:58Z</dcterms:modified>
</cp:coreProperties>
</file>