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336"/>
  </bookViews>
  <sheets>
    <sheet name="template" sheetId="3" r:id="rId1"/>
    <sheet name="Copyright" sheetId="4" r:id="rId2"/>
    <sheet name="Copyright-2" sheetId="5" state="hidden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" i="3" l="1"/>
  <c r="I9" i="3" l="1"/>
  <c r="I8" i="3"/>
  <c r="G17" i="3"/>
  <c r="H17" i="3"/>
  <c r="I17" i="3"/>
  <c r="J17" i="3"/>
  <c r="K17" i="3"/>
  <c r="L17" i="3"/>
  <c r="M17" i="3"/>
  <c r="N17" i="3"/>
  <c r="O17" i="3"/>
  <c r="F17" i="3"/>
  <c r="F15" i="3"/>
  <c r="G15" i="3" s="1"/>
  <c r="F18" i="3" l="1"/>
  <c r="F21" i="3" s="1"/>
  <c r="G18" i="3"/>
  <c r="G21" i="3" s="1"/>
  <c r="H15" i="3"/>
  <c r="H18" i="3" l="1"/>
  <c r="H21" i="3" s="1"/>
  <c r="I15" i="3" l="1"/>
  <c r="I18" i="3" l="1"/>
  <c r="I21" i="3" s="1"/>
  <c r="J15" i="3"/>
  <c r="K15" i="3" s="1"/>
  <c r="J18" i="3" l="1"/>
  <c r="J21" i="3" s="1"/>
  <c r="K18" i="3"/>
  <c r="K21" i="3" s="1"/>
  <c r="L15" i="3"/>
  <c r="L18" i="3" l="1"/>
  <c r="L21" i="3" s="1"/>
  <c r="M15" i="3"/>
  <c r="M18" i="3" s="1"/>
  <c r="M21" i="3" s="1"/>
  <c r="N15" i="3" l="1"/>
  <c r="N18" i="3" s="1"/>
  <c r="N21" i="3" s="1"/>
  <c r="O15" i="3" l="1"/>
  <c r="O18" i="3" l="1"/>
  <c r="F19" i="3"/>
  <c r="F22" i="3" s="1"/>
  <c r="O21" i="3" l="1"/>
  <c r="F24" i="3" s="1"/>
  <c r="K8" i="3" s="1"/>
  <c r="G19" i="3"/>
  <c r="G22" i="3" s="1"/>
  <c r="H19" i="3" l="1"/>
  <c r="H22" i="3" s="1"/>
  <c r="I19" i="3" l="1"/>
  <c r="I22" i="3" s="1"/>
  <c r="J19" i="3" l="1"/>
  <c r="J22" i="3" s="1"/>
  <c r="K19" i="3" l="1"/>
  <c r="K22" i="3" s="1"/>
  <c r="L19" i="3"/>
  <c r="L22" i="3" s="1"/>
  <c r="M19" i="3" l="1"/>
  <c r="M22" i="3" s="1"/>
  <c r="N19" i="3" l="1"/>
  <c r="N22" i="3" s="1"/>
  <c r="O19" i="3" l="1"/>
  <c r="O22" i="3" s="1"/>
  <c r="F25" i="3" s="1"/>
  <c r="K9" i="3" s="1"/>
</calcChain>
</file>

<file path=xl/sharedStrings.xml><?xml version="1.0" encoding="utf-8"?>
<sst xmlns="http://schemas.openxmlformats.org/spreadsheetml/2006/main" count="24" uniqueCount="22">
  <si>
    <t>[COMPANY LOGO AND NAME]</t>
  </si>
  <si>
    <t>Inputs</t>
  </si>
  <si>
    <t>Legend</t>
  </si>
  <si>
    <t>Blue = Inputs</t>
  </si>
  <si>
    <t>Discount Rate</t>
  </si>
  <si>
    <t>Green = Linked</t>
  </si>
  <si>
    <t>Start period date</t>
  </si>
  <si>
    <t>Uneven cash flow</t>
  </si>
  <si>
    <t>Discount rate</t>
  </si>
  <si>
    <t>PV</t>
  </si>
  <si>
    <t>Cash flow</t>
  </si>
  <si>
    <t>FV</t>
  </si>
  <si>
    <t>Black= Calculation</t>
  </si>
  <si>
    <t>Uneven cash flow calculatior</t>
  </si>
  <si>
    <t>n periods for PV</t>
  </si>
  <si>
    <t>n periods for FV</t>
  </si>
  <si>
    <t>Total PV</t>
  </si>
  <si>
    <t>Total FV</t>
  </si>
  <si>
    <t>in $ milion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</si>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</sst>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_);\(#,##0.0\)"/>
    <numFmt numFmtId="165" formatCode="0.0%_);\(0.0%\)"/>
    <numFmt numFmtId="166" formatCode="[$-409]d\-mmm\-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12"/>
      <color rgb="FF000000"/>
      <name val="Calibri"/>
      <family val="2"/>
    </font>
    <font>
      <i/>
      <sz val="12"/>
      <name val="Calibri"/>
      <family val="2"/>
    </font>
    <font>
      <b/>
      <u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D4"/>
      <name val="Calibri"/>
      <family val="2"/>
    </font>
    <font>
      <sz val="12"/>
      <color rgb="FF006411"/>
      <name val="Calibri"/>
      <family val="2"/>
    </font>
    <font>
      <sz val="12"/>
      <name val="Calibri"/>
      <family val="2"/>
    </font>
    <font>
      <i/>
      <u/>
      <sz val="12"/>
      <color rgb="FF000000"/>
      <name val="Calibri"/>
      <family val="2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20"/>
      <color theme="1"/>
      <name val="Arial"/>
      <family val="2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1F497D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6" fillId="0" borderId="0" xfId="0" applyFont="1"/>
    <xf numFmtId="14" fontId="0" fillId="0" borderId="0" xfId="0" applyNumberFormat="1" applyFont="1"/>
    <xf numFmtId="0" fontId="8" fillId="0" borderId="0" xfId="0" applyFont="1"/>
    <xf numFmtId="0" fontId="9" fillId="0" borderId="0" xfId="0" applyFont="1"/>
    <xf numFmtId="10" fontId="8" fillId="0" borderId="0" xfId="0" applyNumberFormat="1" applyFont="1"/>
    <xf numFmtId="165" fontId="4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0" fillId="0" borderId="0" xfId="0" applyFont="1" applyBorder="1"/>
    <xf numFmtId="0" fontId="0" fillId="0" borderId="0" xfId="0" applyFont="1" applyFill="1" applyBorder="1"/>
    <xf numFmtId="0" fontId="0" fillId="0" borderId="1" xfId="0" applyFont="1" applyBorder="1"/>
    <xf numFmtId="164" fontId="0" fillId="0" borderId="0" xfId="0" applyNumberFormat="1" applyFont="1" applyBorder="1" applyAlignment="1">
      <alignment horizontal="right"/>
    </xf>
    <xf numFmtId="0" fontId="7" fillId="2" borderId="0" xfId="0" applyFont="1" applyFill="1" applyBorder="1"/>
    <xf numFmtId="0" fontId="12" fillId="2" borderId="0" xfId="0" applyFont="1" applyFill="1" applyBorder="1"/>
    <xf numFmtId="9" fontId="9" fillId="0" borderId="0" xfId="1" applyFont="1" applyBorder="1"/>
    <xf numFmtId="37" fontId="0" fillId="0" borderId="0" xfId="0" applyNumberFormat="1" applyFont="1" applyBorder="1" applyAlignment="1">
      <alignment horizontal="right"/>
    </xf>
    <xf numFmtId="37" fontId="0" fillId="0" borderId="0" xfId="0" applyNumberFormat="1" applyFont="1"/>
    <xf numFmtId="3" fontId="0" fillId="0" borderId="0" xfId="0" applyNumberFormat="1" applyFont="1"/>
    <xf numFmtId="166" fontId="8" fillId="0" borderId="0" xfId="0" applyNumberFormat="1" applyFont="1"/>
    <xf numFmtId="166" fontId="9" fillId="0" borderId="1" xfId="0" applyNumberFormat="1" applyFont="1" applyBorder="1"/>
    <xf numFmtId="166" fontId="10" fillId="0" borderId="1" xfId="0" applyNumberFormat="1" applyFont="1" applyBorder="1" applyAlignment="1">
      <alignment horizontal="right"/>
    </xf>
    <xf numFmtId="4" fontId="8" fillId="0" borderId="0" xfId="1" applyNumberFormat="1" applyFont="1"/>
    <xf numFmtId="39" fontId="0" fillId="0" borderId="0" xfId="0" applyNumberFormat="1" applyFont="1" applyBorder="1" applyAlignment="1">
      <alignment horizontal="right"/>
    </xf>
    <xf numFmtId="39" fontId="0" fillId="0" borderId="2" xfId="0" applyNumberFormat="1" applyFont="1" applyBorder="1" applyAlignment="1">
      <alignment horizontal="right"/>
    </xf>
    <xf numFmtId="39" fontId="0" fillId="0" borderId="3" xfId="0" applyNumberFormat="1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4" fillId="0" borderId="0" xfId="0" applyFont="1"/>
    <xf numFmtId="0" fontId="3" fillId="0" borderId="0" xfId="0" applyFont="1"/>
    <xf numFmtId="0" fontId="15" fillId="0" borderId="0" xfId="2" applyFont="1"/>
    <xf numFmtId="0" fontId="16" fillId="0" borderId="0" xfId="2" applyFont="1"/>
    <xf numFmtId="0" fontId="14" fillId="0" borderId="0" xfId="0" applyFont="1" applyAlignment="1">
      <alignment horizontal="left"/>
    </xf>
    <xf numFmtId="0" fontId="16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7EEE08-6735-9849-B194-481EBDCD3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42F576-D455-9D49-B57E-8DD95E4C1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5"/>
  <sheetViews>
    <sheetView showGridLines="0" tabSelected="1" zoomScale="115" zoomScaleNormal="115" workbookViewId="0">
      <pane xSplit="5" ySplit="15" topLeftCell="F16" activePane="bottomRight" state="frozen"/>
      <selection pane="topRight" activeCell="F1" sqref="F1"/>
      <selection pane="bottomLeft" activeCell="A16" sqref="A16"/>
      <selection pane="bottomRight" activeCell="C1" sqref="C1"/>
    </sheetView>
  </sheetViews>
  <sheetFormatPr defaultColWidth="15.44140625" defaultRowHeight="14.4" x14ac:dyDescent="0.3"/>
  <cols>
    <col min="1" max="2" width="3" style="7" customWidth="1"/>
    <col min="3" max="3" width="36" style="7" customWidth="1"/>
    <col min="4" max="4" width="11.77734375" style="7" bestFit="1" customWidth="1"/>
    <col min="5" max="5" width="1.6640625" style="7" customWidth="1"/>
    <col min="6" max="16" width="14.77734375" style="7" customWidth="1"/>
    <col min="17" max="17" width="15.77734375" style="7" bestFit="1" customWidth="1"/>
    <col min="18" max="26" width="12.44140625" style="7" customWidth="1"/>
    <col min="27" max="16384" width="15.44140625" style="7"/>
  </cols>
  <sheetData>
    <row r="1" spans="1:26" s="1" customFormat="1" ht="25.8" x14ac:dyDescent="0.3">
      <c r="B1" s="3"/>
      <c r="C1" s="2" t="s">
        <v>0</v>
      </c>
      <c r="D1" s="3"/>
      <c r="E1" s="3"/>
      <c r="F1" s="3"/>
      <c r="H1" s="4" t="s">
        <v>7</v>
      </c>
    </row>
    <row r="2" spans="1:26" ht="15.75" customHeight="1" x14ac:dyDescent="0.3">
      <c r="A2" s="8"/>
      <c r="B2" s="8"/>
      <c r="C2" s="9"/>
      <c r="D2" s="8"/>
      <c r="E2" s="8"/>
      <c r="F2" s="8"/>
      <c r="G2" s="8"/>
      <c r="H2" s="34" t="s">
        <v>18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3">
      <c r="A4" s="6"/>
      <c r="B4" s="6"/>
      <c r="C4" s="10"/>
      <c r="D4" s="6"/>
      <c r="E4" s="6"/>
      <c r="F4" s="6"/>
      <c r="G4" s="26"/>
      <c r="H4" s="6"/>
      <c r="I4" s="6"/>
      <c r="J4" s="6"/>
      <c r="K4" s="6"/>
      <c r="L4" s="6"/>
      <c r="M4" s="6"/>
      <c r="N4" s="6"/>
      <c r="O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3">
      <c r="A5" s="6"/>
      <c r="B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3">
      <c r="A7" s="6"/>
      <c r="B7" s="6"/>
      <c r="C7" s="21" t="s">
        <v>1</v>
      </c>
      <c r="D7" s="21"/>
      <c r="E7" s="6"/>
      <c r="F7" s="21" t="s">
        <v>2</v>
      </c>
      <c r="G7" s="21"/>
      <c r="H7" s="6"/>
      <c r="I7" s="22" t="str">
        <f>"Result in"&amp;" "&amp;H2</f>
        <v>Result in in $ milion</v>
      </c>
      <c r="J7" s="21"/>
      <c r="K7" s="21"/>
      <c r="L7" s="6"/>
      <c r="M7" s="6"/>
      <c r="N7" s="6"/>
      <c r="O7" s="8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3">
      <c r="A8" s="6"/>
      <c r="B8" s="6"/>
      <c r="C8" s="7" t="s">
        <v>6</v>
      </c>
      <c r="D8" s="27">
        <v>44196</v>
      </c>
      <c r="E8" s="11"/>
      <c r="F8" s="12" t="s">
        <v>3</v>
      </c>
      <c r="G8" s="6"/>
      <c r="H8" s="6"/>
      <c r="I8" s="6" t="str">
        <f>C24</f>
        <v>Total PV</v>
      </c>
      <c r="J8" s="6"/>
      <c r="K8" s="31">
        <f>F24</f>
        <v>10.201241101299107</v>
      </c>
      <c r="L8" s="6"/>
      <c r="M8" s="6"/>
      <c r="N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3">
      <c r="A9" s="6"/>
      <c r="B9" s="6"/>
      <c r="C9" s="6" t="s">
        <v>4</v>
      </c>
      <c r="D9" s="14">
        <v>0.03</v>
      </c>
      <c r="E9" s="11"/>
      <c r="F9" s="13" t="s">
        <v>5</v>
      </c>
      <c r="G9" s="6"/>
      <c r="H9" s="6"/>
      <c r="I9" s="6" t="str">
        <f>C25</f>
        <v>Total FV</v>
      </c>
      <c r="J9" s="6"/>
      <c r="K9" s="31">
        <f>F25</f>
        <v>13.709615005674339</v>
      </c>
      <c r="L9" s="6"/>
      <c r="M9" s="6"/>
      <c r="N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3">
      <c r="A10" s="6"/>
      <c r="B10" s="6"/>
      <c r="C10" s="6"/>
      <c r="D10" s="6"/>
      <c r="E10" s="11"/>
      <c r="F10" s="6" t="s">
        <v>12</v>
      </c>
      <c r="G10" s="6"/>
      <c r="H10" s="6"/>
      <c r="I10" s="6"/>
      <c r="J10" s="6"/>
      <c r="K10" s="6"/>
      <c r="L10" s="6"/>
      <c r="M10" s="6"/>
      <c r="N10" s="6"/>
      <c r="O10" s="12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3">
      <c r="A12" s="6"/>
      <c r="B12" s="6"/>
      <c r="C12" s="22" t="s">
        <v>13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7.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" customHeight="1" x14ac:dyDescent="0.3">
      <c r="A14" s="6"/>
      <c r="B14" s="6"/>
      <c r="C14" s="6"/>
      <c r="D14" s="6"/>
      <c r="E14" s="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">
      <c r="A15" s="6"/>
      <c r="B15" s="6"/>
      <c r="C15" s="19"/>
      <c r="D15" s="19"/>
      <c r="E15" s="19"/>
      <c r="F15" s="28">
        <f>D8</f>
        <v>44196</v>
      </c>
      <c r="G15" s="29">
        <f>DATE(YEAR(F15)+1,MONTH(F15),DAY(F15))</f>
        <v>44561</v>
      </c>
      <c r="H15" s="29">
        <f t="shared" ref="H15:O15" si="0">DATE(YEAR(G15)+1,MONTH(G15),DAY(G15))</f>
        <v>44926</v>
      </c>
      <c r="I15" s="29">
        <f t="shared" si="0"/>
        <v>45291</v>
      </c>
      <c r="J15" s="29">
        <f t="shared" si="0"/>
        <v>45657</v>
      </c>
      <c r="K15" s="29">
        <f t="shared" si="0"/>
        <v>46022</v>
      </c>
      <c r="L15" s="29">
        <f t="shared" si="0"/>
        <v>46387</v>
      </c>
      <c r="M15" s="29">
        <f t="shared" si="0"/>
        <v>46752</v>
      </c>
      <c r="N15" s="29">
        <f t="shared" si="0"/>
        <v>47118</v>
      </c>
      <c r="O15" s="29">
        <f t="shared" si="0"/>
        <v>47483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3">
      <c r="A16" s="6"/>
      <c r="B16" s="6"/>
      <c r="C16" s="17" t="s">
        <v>10</v>
      </c>
      <c r="D16" s="17"/>
      <c r="E16" s="17"/>
      <c r="F16" s="30">
        <v>1</v>
      </c>
      <c r="G16" s="30">
        <v>1</v>
      </c>
      <c r="H16" s="30">
        <v>4</v>
      </c>
      <c r="I16" s="30">
        <v>2</v>
      </c>
      <c r="J16" s="30">
        <v>-1</v>
      </c>
      <c r="K16" s="30">
        <v>-4</v>
      </c>
      <c r="L16" s="30">
        <v>3</v>
      </c>
      <c r="M16" s="30">
        <v>4</v>
      </c>
      <c r="N16" s="30">
        <v>-1</v>
      </c>
      <c r="O16" s="30">
        <v>3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3">
      <c r="A17" s="8"/>
      <c r="B17" s="8"/>
      <c r="C17" s="17" t="s">
        <v>8</v>
      </c>
      <c r="D17" s="17"/>
      <c r="E17" s="17"/>
      <c r="F17" s="23">
        <f>$D$9</f>
        <v>0.03</v>
      </c>
      <c r="G17" s="23">
        <f t="shared" ref="G17:O17" si="1">$D$9</f>
        <v>0.03</v>
      </c>
      <c r="H17" s="23">
        <f t="shared" si="1"/>
        <v>0.03</v>
      </c>
      <c r="I17" s="23">
        <f t="shared" si="1"/>
        <v>0.03</v>
      </c>
      <c r="J17" s="23">
        <f t="shared" si="1"/>
        <v>0.03</v>
      </c>
      <c r="K17" s="23">
        <f t="shared" si="1"/>
        <v>0.03</v>
      </c>
      <c r="L17" s="23">
        <f t="shared" si="1"/>
        <v>0.03</v>
      </c>
      <c r="M17" s="23">
        <f t="shared" si="1"/>
        <v>0.03</v>
      </c>
      <c r="N17" s="23">
        <f t="shared" si="1"/>
        <v>0.03</v>
      </c>
      <c r="O17" s="23">
        <f t="shared" si="1"/>
        <v>0.03</v>
      </c>
      <c r="P17" s="6"/>
      <c r="Q17" s="6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">
      <c r="A18" s="6"/>
      <c r="B18" s="6"/>
      <c r="C18" s="17" t="s">
        <v>14</v>
      </c>
      <c r="D18" s="17"/>
      <c r="E18" s="17"/>
      <c r="F18" s="20">
        <f>COUNT($F$15:F15)</f>
        <v>1</v>
      </c>
      <c r="G18" s="20">
        <f>COUNT($F$15:G15)</f>
        <v>2</v>
      </c>
      <c r="H18" s="20">
        <f>COUNT($F$15:H15)</f>
        <v>3</v>
      </c>
      <c r="I18" s="20">
        <f>COUNT($F$15:I15)</f>
        <v>4</v>
      </c>
      <c r="J18" s="20">
        <f>COUNT($F$15:J15)</f>
        <v>5</v>
      </c>
      <c r="K18" s="20">
        <f>COUNT($F$15:K15)</f>
        <v>6</v>
      </c>
      <c r="L18" s="20">
        <f>COUNT($F$15:L15)</f>
        <v>7</v>
      </c>
      <c r="M18" s="20">
        <f>COUNT($F$15:M15)</f>
        <v>8</v>
      </c>
      <c r="N18" s="20">
        <f>COUNT($F$15:N15)</f>
        <v>9</v>
      </c>
      <c r="O18" s="20">
        <f>COUNT($F$15:O15)</f>
        <v>10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">
      <c r="A19" s="6"/>
      <c r="B19" s="6"/>
      <c r="C19" s="17" t="s">
        <v>15</v>
      </c>
      <c r="D19" s="17"/>
      <c r="E19" s="17"/>
      <c r="F19" s="20">
        <f>COUNT(F15:P15)-1</f>
        <v>9</v>
      </c>
      <c r="G19" s="20">
        <f>F19-1</f>
        <v>8</v>
      </c>
      <c r="H19" s="20">
        <f t="shared" ref="H19:O19" si="2">G19-1</f>
        <v>7</v>
      </c>
      <c r="I19" s="20">
        <f t="shared" si="2"/>
        <v>6</v>
      </c>
      <c r="J19" s="20">
        <f t="shared" si="2"/>
        <v>5</v>
      </c>
      <c r="K19" s="20">
        <f t="shared" si="2"/>
        <v>4</v>
      </c>
      <c r="L19" s="20">
        <f t="shared" si="2"/>
        <v>3</v>
      </c>
      <c r="M19" s="20">
        <f t="shared" si="2"/>
        <v>2</v>
      </c>
      <c r="N19" s="20">
        <f t="shared" si="2"/>
        <v>1</v>
      </c>
      <c r="O19" s="20">
        <f t="shared" si="2"/>
        <v>0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7.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6"/>
      <c r="B21" s="6"/>
      <c r="C21" s="17" t="s">
        <v>9</v>
      </c>
      <c r="D21" s="17"/>
      <c r="E21" s="17"/>
      <c r="F21" s="31">
        <f t="shared" ref="F21:O21" si="3">PV(F17,F18,,-F16)</f>
        <v>0.970873786407767</v>
      </c>
      <c r="G21" s="31">
        <f t="shared" si="3"/>
        <v>0.94259590913375435</v>
      </c>
      <c r="H21" s="31">
        <f t="shared" si="3"/>
        <v>3.6605666374126384</v>
      </c>
      <c r="I21" s="31">
        <f t="shared" si="3"/>
        <v>1.776974095831378</v>
      </c>
      <c r="J21" s="31">
        <f t="shared" si="3"/>
        <v>-0.86260878438416411</v>
      </c>
      <c r="K21" s="31">
        <f t="shared" si="3"/>
        <v>-3.3499370267346178</v>
      </c>
      <c r="L21" s="31">
        <f t="shared" si="3"/>
        <v>2.4392745340300612</v>
      </c>
      <c r="M21" s="31">
        <f t="shared" si="3"/>
        <v>3.1576369372557429</v>
      </c>
      <c r="N21" s="31">
        <f t="shared" si="3"/>
        <v>-0.76641673234362695</v>
      </c>
      <c r="O21" s="31">
        <f t="shared" si="3"/>
        <v>2.2322817446901757</v>
      </c>
      <c r="P21" s="25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6"/>
      <c r="B22" s="6"/>
      <c r="C22" s="18" t="s">
        <v>11</v>
      </c>
      <c r="D22" s="17"/>
      <c r="E22" s="17"/>
      <c r="F22" s="31">
        <f t="shared" ref="F22:O22" si="4">FV(F17,F19,,-F16)</f>
        <v>1.3047731838292445</v>
      </c>
      <c r="G22" s="31">
        <f t="shared" si="4"/>
        <v>1.2667700813876159</v>
      </c>
      <c r="H22" s="31">
        <f t="shared" si="4"/>
        <v>4.9194954616994799</v>
      </c>
      <c r="I22" s="31">
        <f t="shared" si="4"/>
        <v>2.3881045930579998</v>
      </c>
      <c r="J22" s="31">
        <f t="shared" si="4"/>
        <v>-1.1592740742999998</v>
      </c>
      <c r="K22" s="31">
        <f t="shared" si="4"/>
        <v>-4.5020352399999997</v>
      </c>
      <c r="L22" s="31">
        <f t="shared" si="4"/>
        <v>3.278181</v>
      </c>
      <c r="M22" s="31">
        <f t="shared" si="4"/>
        <v>4.2435999999999998</v>
      </c>
      <c r="N22" s="31">
        <f t="shared" si="4"/>
        <v>-1.03</v>
      </c>
      <c r="O22" s="31">
        <f t="shared" si="4"/>
        <v>3</v>
      </c>
      <c r="P22" s="25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7.5" customHeight="1" thickBo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6"/>
      <c r="B24" s="6"/>
      <c r="C24" s="18" t="s">
        <v>16</v>
      </c>
      <c r="D24" s="17"/>
      <c r="E24" s="17"/>
      <c r="F24" s="32">
        <f>SUM(F21:O21)</f>
        <v>10.201241101299107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thickBot="1" x14ac:dyDescent="0.35">
      <c r="A25" s="6"/>
      <c r="B25" s="6"/>
      <c r="C25" s="18" t="s">
        <v>17</v>
      </c>
      <c r="D25" s="17"/>
      <c r="E25" s="17"/>
      <c r="F25" s="33">
        <f>SUM(F22:O22)</f>
        <v>13.709615005674339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6"/>
      <c r="B26" s="6"/>
      <c r="C26" s="17"/>
      <c r="D26" s="17"/>
      <c r="E26" s="17"/>
      <c r="F26" s="24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8"/>
      <c r="B27" s="8"/>
      <c r="C27" s="5" t="s">
        <v>21</v>
      </c>
      <c r="D27" s="8"/>
      <c r="E27" s="8"/>
      <c r="F27" s="24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3">
      <c r="A28" s="8"/>
      <c r="B28" s="8"/>
      <c r="C28" s="8"/>
      <c r="D28" s="8"/>
      <c r="E28" s="8"/>
      <c r="F28" s="24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3">
      <c r="A29" s="6"/>
      <c r="B29" s="6"/>
      <c r="C29" s="6"/>
      <c r="D29" s="6"/>
      <c r="E29" s="6"/>
      <c r="F29" s="2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6"/>
      <c r="B30" s="6"/>
      <c r="C30" s="6"/>
      <c r="D30" s="6"/>
      <c r="E30" s="6"/>
      <c r="F30" s="2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6"/>
      <c r="B31" s="6"/>
      <c r="C31" s="6"/>
      <c r="D31" s="6"/>
      <c r="E31" s="6"/>
      <c r="F31" s="2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6"/>
      <c r="B32" s="6"/>
      <c r="C32" s="6"/>
      <c r="D32" s="6"/>
      <c r="E32" s="6"/>
      <c r="F32" s="2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6"/>
      <c r="B33" s="6"/>
      <c r="C33" s="6"/>
      <c r="D33" s="6"/>
      <c r="E33" s="6"/>
      <c r="F33" s="2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6"/>
      <c r="B34" s="6"/>
      <c r="C34" s="6"/>
      <c r="D34" s="6"/>
      <c r="E34" s="6"/>
      <c r="F34" s="2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6"/>
      <c r="B35" s="6"/>
      <c r="C35" s="6"/>
      <c r="D35" s="6"/>
      <c r="E35" s="6"/>
      <c r="F35" s="2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6"/>
      <c r="C36" s="6"/>
      <c r="D36" s="6"/>
      <c r="E36" s="6"/>
      <c r="F36" s="2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6"/>
      <c r="C37" s="6"/>
      <c r="D37" s="6"/>
      <c r="E37" s="6"/>
      <c r="F37" s="2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6"/>
      <c r="C38" s="6"/>
      <c r="D38" s="6"/>
      <c r="E38" s="6"/>
      <c r="F38" s="2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6"/>
      <c r="C39" s="6"/>
      <c r="D39" s="6"/>
      <c r="E39" s="6"/>
      <c r="F39" s="2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6"/>
      <c r="C40" s="6"/>
      <c r="D40" s="6"/>
      <c r="E40" s="6"/>
      <c r="F40" s="2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6"/>
      <c r="C41" s="6"/>
      <c r="D41" s="6"/>
      <c r="E41" s="6"/>
      <c r="F41" s="2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cols>
    <col min="1" max="16384" width="11.109375" style="1"/>
  </cols>
  <sheetData>
    <row r="4" spans="1:1" s="36" customFormat="1" ht="15.45" customHeight="1" x14ac:dyDescent="0.5">
      <c r="A4" s="35"/>
    </row>
    <row r="5" spans="1:1" s="36" customFormat="1" ht="15.45" customHeight="1" x14ac:dyDescent="0.5">
      <c r="A5" s="37"/>
    </row>
    <row r="40" spans="1:15" s="36" customFormat="1" ht="30" customHeight="1" x14ac:dyDescent="0.5">
      <c r="A40" s="39" t="s">
        <v>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35"/>
      <c r="O40" s="35"/>
    </row>
    <row r="41" spans="1:15" s="36" customFormat="1" ht="30" customHeight="1" x14ac:dyDescent="0.5">
      <c r="A41" s="40" t="s">
        <v>20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38"/>
      <c r="N41" s="38"/>
      <c r="O41" s="3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cols>
    <col min="1" max="16384" width="11.109375" style="1"/>
  </cols>
  <sheetData>
    <row r="4" spans="1:1" s="36" customFormat="1" ht="15.45" customHeight="1" x14ac:dyDescent="0.5">
      <c r="A4" s="35"/>
    </row>
    <row r="5" spans="1:1" s="36" customFormat="1" ht="15.45" customHeight="1" x14ac:dyDescent="0.5">
      <c r="A5" s="37"/>
    </row>
    <row r="40" spans="1:15" s="36" customFormat="1" ht="30" customHeight="1" x14ac:dyDescent="0.5">
      <c r="A40" s="39" t="s">
        <v>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35"/>
      <c r="O40" s="35"/>
    </row>
    <row r="41" spans="1:15" s="36" customFormat="1" ht="30" customHeight="1" x14ac:dyDescent="0.5">
      <c r="A41" s="40" t="s">
        <v>20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38"/>
      <c r="N41" s="38"/>
      <c r="O41" s="38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Copyright</vt:lpstr>
      <vt:lpstr>Copyright-2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2020-10-15T15:03:22Z</dcterms:modified>
</cp:coreProperties>
</file>