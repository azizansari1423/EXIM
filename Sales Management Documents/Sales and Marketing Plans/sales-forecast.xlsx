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Sales and Marketing Plans\90 Sales and Marketing Plans\"/>
    </mc:Choice>
  </mc:AlternateContent>
  <bookViews>
    <workbookView xWindow="0" yWindow="0" windowWidth="20490" windowHeight="7620"/>
  </bookViews>
  <sheets>
    <sheet name="3-Year Sales Forecast" sheetId="1" r:id="rId1"/>
    <sheet name="Charts" sheetId="2" r:id="rId2"/>
  </sheets>
  <definedNames>
    <definedName name="valuevx">42.314159</definedName>
    <definedName name="vertex42_copyright">"© 2016 Vertex42 LLC"</definedName>
    <definedName name="vertex42_id">"sales-forecast.xlsx"</definedName>
    <definedName name="vertex42_title">"Sales Forecast Template"</definedName>
  </definedNames>
  <calcPr calcId="162913"/>
  <extLst>
    <ext uri="GoogleSheetsCustomDataVersion1">
      <go:sheetsCustomData xmlns:go="http://customooxmlschemas.google.com/" r:id="rId6" roundtripDataSignature="AMtx7mgQiKijCWkGWFzl+Ssv9AsVWb9Q9A=="/>
    </ext>
  </extLst>
</workbook>
</file>

<file path=xl/calcChain.xml><?xml version="1.0" encoding="utf-8"?>
<calcChain xmlns="http://schemas.openxmlformats.org/spreadsheetml/2006/main">
  <c r="AO40" i="1" l="1"/>
  <c r="AK40" i="1"/>
  <c r="AG40" i="1"/>
  <c r="AB40" i="1"/>
  <c r="X40" i="1"/>
  <c r="T40" i="1"/>
  <c r="K40" i="1"/>
  <c r="G40" i="1"/>
  <c r="C40" i="1"/>
  <c r="AP39" i="1"/>
  <c r="AL39" i="1"/>
  <c r="AH39" i="1"/>
  <c r="Y39" i="1"/>
  <c r="U39" i="1"/>
  <c r="Q39" i="1"/>
  <c r="L39" i="1"/>
  <c r="H39" i="1"/>
  <c r="D39" i="1"/>
  <c r="AQ38" i="1"/>
  <c r="AQ41" i="1" s="1"/>
  <c r="AM38" i="1"/>
  <c r="AM41" i="1" s="1"/>
  <c r="AI38" i="1"/>
  <c r="AI41" i="1" s="1"/>
  <c r="Z38" i="1"/>
  <c r="V38" i="1"/>
  <c r="R38" i="1"/>
  <c r="M38" i="1"/>
  <c r="I38" i="1"/>
  <c r="E38" i="1"/>
  <c r="A38" i="1"/>
  <c r="AQ35" i="1"/>
  <c r="AQ40" i="1" s="1"/>
  <c r="AP35" i="1"/>
  <c r="AP40" i="1" s="1"/>
  <c r="AO35" i="1"/>
  <c r="AN35" i="1"/>
  <c r="AN40" i="1" s="1"/>
  <c r="AM35" i="1"/>
  <c r="AM40" i="1" s="1"/>
  <c r="AL35" i="1"/>
  <c r="AL40" i="1" s="1"/>
  <c r="AK35" i="1"/>
  <c r="AJ35" i="1"/>
  <c r="AJ40" i="1" s="1"/>
  <c r="AI35" i="1"/>
  <c r="AI40" i="1" s="1"/>
  <c r="AH35" i="1"/>
  <c r="AH40" i="1" s="1"/>
  <c r="AG35" i="1"/>
  <c r="AF35" i="1"/>
  <c r="AF40" i="1" s="1"/>
  <c r="AR40" i="1" s="1"/>
  <c r="AB35" i="1"/>
  <c r="AA35" i="1"/>
  <c r="AA40" i="1" s="1"/>
  <c r="Z35" i="1"/>
  <c r="Z40" i="1" s="1"/>
  <c r="Y35" i="1"/>
  <c r="Y40" i="1" s="1"/>
  <c r="X35" i="1"/>
  <c r="W35" i="1"/>
  <c r="W40" i="1" s="1"/>
  <c r="V35" i="1"/>
  <c r="V40" i="1" s="1"/>
  <c r="U35" i="1"/>
  <c r="U40" i="1" s="1"/>
  <c r="T35" i="1"/>
  <c r="S35" i="1"/>
  <c r="S40" i="1" s="1"/>
  <c r="R35" i="1"/>
  <c r="R40" i="1" s="1"/>
  <c r="Q35" i="1"/>
  <c r="AC35" i="1" s="1"/>
  <c r="M35" i="1"/>
  <c r="M40" i="1" s="1"/>
  <c r="L35" i="1"/>
  <c r="L40" i="1" s="1"/>
  <c r="K35" i="1"/>
  <c r="J35" i="1"/>
  <c r="J40" i="1" s="1"/>
  <c r="I35" i="1"/>
  <c r="I40" i="1" s="1"/>
  <c r="H35" i="1"/>
  <c r="H40" i="1" s="1"/>
  <c r="G35" i="1"/>
  <c r="F35" i="1"/>
  <c r="F40" i="1" s="1"/>
  <c r="E35" i="1"/>
  <c r="E40" i="1" s="1"/>
  <c r="D35" i="1"/>
  <c r="D40" i="1" s="1"/>
  <c r="C35" i="1"/>
  <c r="B35" i="1"/>
  <c r="B40" i="1" s="1"/>
  <c r="N40" i="1" s="1"/>
  <c r="AQ34" i="1"/>
  <c r="AQ39" i="1" s="1"/>
  <c r="AP34" i="1"/>
  <c r="AO34" i="1"/>
  <c r="AO39" i="1" s="1"/>
  <c r="AN34" i="1"/>
  <c r="AN39" i="1" s="1"/>
  <c r="AM34" i="1"/>
  <c r="AM39" i="1" s="1"/>
  <c r="AL34" i="1"/>
  <c r="AK34" i="1"/>
  <c r="AK39" i="1" s="1"/>
  <c r="AJ34" i="1"/>
  <c r="AJ39" i="1" s="1"/>
  <c r="AI34" i="1"/>
  <c r="AI39" i="1" s="1"/>
  <c r="AH34" i="1"/>
  <c r="AG34" i="1"/>
  <c r="AG39" i="1" s="1"/>
  <c r="AF34" i="1"/>
  <c r="AB34" i="1"/>
  <c r="AB39" i="1" s="1"/>
  <c r="AA34" i="1"/>
  <c r="AA39" i="1" s="1"/>
  <c r="Z34" i="1"/>
  <c r="Z39" i="1" s="1"/>
  <c r="Y34" i="1"/>
  <c r="X34" i="1"/>
  <c r="X39" i="1" s="1"/>
  <c r="W34" i="1"/>
  <c r="W39" i="1" s="1"/>
  <c r="V34" i="1"/>
  <c r="V39" i="1" s="1"/>
  <c r="U34" i="1"/>
  <c r="T34" i="1"/>
  <c r="T39" i="1" s="1"/>
  <c r="S34" i="1"/>
  <c r="S39" i="1" s="1"/>
  <c r="R34" i="1"/>
  <c r="R39" i="1" s="1"/>
  <c r="AC39" i="1" s="1"/>
  <c r="Q34" i="1"/>
  <c r="AC34" i="1" s="1"/>
  <c r="M34" i="1"/>
  <c r="M39" i="1" s="1"/>
  <c r="L34" i="1"/>
  <c r="K34" i="1"/>
  <c r="K39" i="1" s="1"/>
  <c r="J34" i="1"/>
  <c r="J39" i="1" s="1"/>
  <c r="I34" i="1"/>
  <c r="I39" i="1" s="1"/>
  <c r="H34" i="1"/>
  <c r="G34" i="1"/>
  <c r="G39" i="1" s="1"/>
  <c r="F34" i="1"/>
  <c r="F39" i="1" s="1"/>
  <c r="E34" i="1"/>
  <c r="E39" i="1" s="1"/>
  <c r="D34" i="1"/>
  <c r="C34" i="1"/>
  <c r="C39" i="1" s="1"/>
  <c r="B34" i="1"/>
  <c r="AQ33" i="1"/>
  <c r="AP33" i="1"/>
  <c r="AP38" i="1" s="1"/>
  <c r="AP41" i="1" s="1"/>
  <c r="AO33" i="1"/>
  <c r="AO38" i="1" s="1"/>
  <c r="AO41" i="1" s="1"/>
  <c r="AN33" i="1"/>
  <c r="AN38" i="1" s="1"/>
  <c r="AN41" i="1" s="1"/>
  <c r="AM33" i="1"/>
  <c r="AL33" i="1"/>
  <c r="AL38" i="1" s="1"/>
  <c r="AL41" i="1" s="1"/>
  <c r="AK33" i="1"/>
  <c r="AK38" i="1" s="1"/>
  <c r="AK41" i="1" s="1"/>
  <c r="AJ33" i="1"/>
  <c r="AJ38" i="1" s="1"/>
  <c r="AJ41" i="1" s="1"/>
  <c r="AI33" i="1"/>
  <c r="AH33" i="1"/>
  <c r="AH38" i="1" s="1"/>
  <c r="AH41" i="1" s="1"/>
  <c r="AG33" i="1"/>
  <c r="AG38" i="1" s="1"/>
  <c r="AG41" i="1" s="1"/>
  <c r="AF33" i="1"/>
  <c r="AB33" i="1"/>
  <c r="AB38" i="1" s="1"/>
  <c r="AB41" i="1" s="1"/>
  <c r="AA33" i="1"/>
  <c r="AA38" i="1" s="1"/>
  <c r="AA41" i="1" s="1"/>
  <c r="Z33" i="1"/>
  <c r="Y33" i="1"/>
  <c r="Y38" i="1" s="1"/>
  <c r="Y41" i="1" s="1"/>
  <c r="X33" i="1"/>
  <c r="X38" i="1" s="1"/>
  <c r="X41" i="1" s="1"/>
  <c r="W33" i="1"/>
  <c r="W38" i="1" s="1"/>
  <c r="W41" i="1" s="1"/>
  <c r="V33" i="1"/>
  <c r="U33" i="1"/>
  <c r="U38" i="1" s="1"/>
  <c r="U41" i="1" s="1"/>
  <c r="T33" i="1"/>
  <c r="T38" i="1" s="1"/>
  <c r="T41" i="1" s="1"/>
  <c r="S33" i="1"/>
  <c r="S38" i="1" s="1"/>
  <c r="S41" i="1" s="1"/>
  <c r="R33" i="1"/>
  <c r="Q33" i="1"/>
  <c r="Q38" i="1" s="1"/>
  <c r="M33" i="1"/>
  <c r="L33" i="1"/>
  <c r="L38" i="1" s="1"/>
  <c r="L41" i="1" s="1"/>
  <c r="K33" i="1"/>
  <c r="K38" i="1" s="1"/>
  <c r="K41" i="1" s="1"/>
  <c r="J33" i="1"/>
  <c r="J38" i="1" s="1"/>
  <c r="J41" i="1" s="1"/>
  <c r="I33" i="1"/>
  <c r="H33" i="1"/>
  <c r="H38" i="1" s="1"/>
  <c r="H41" i="1" s="1"/>
  <c r="G33" i="1"/>
  <c r="G38" i="1" s="1"/>
  <c r="G41" i="1" s="1"/>
  <c r="F33" i="1"/>
  <c r="F38" i="1" s="1"/>
  <c r="F41" i="1" s="1"/>
  <c r="E33" i="1"/>
  <c r="D33" i="1"/>
  <c r="D38" i="1" s="1"/>
  <c r="D41" i="1" s="1"/>
  <c r="C33" i="1"/>
  <c r="C38" i="1" s="1"/>
  <c r="C41" i="1" s="1"/>
  <c r="B33" i="1"/>
  <c r="AV30" i="1"/>
  <c r="AR30" i="1"/>
  <c r="AC30" i="1"/>
  <c r="AU30" i="1" s="1"/>
  <c r="N30" i="1"/>
  <c r="A30" i="1"/>
  <c r="AR29" i="1"/>
  <c r="AV29" i="1" s="1"/>
  <c r="AC29" i="1"/>
  <c r="N29" i="1"/>
  <c r="A29" i="1"/>
  <c r="AE29" i="1" s="1"/>
  <c r="AT28" i="1"/>
  <c r="AR28" i="1"/>
  <c r="AV28" i="1" s="1"/>
  <c r="AC28" i="1"/>
  <c r="AU28" i="1" s="1"/>
  <c r="P28" i="1"/>
  <c r="N28" i="1"/>
  <c r="A28" i="1"/>
  <c r="AE28" i="1" s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R24" i="1" s="1"/>
  <c r="AB24" i="1"/>
  <c r="AA24" i="1"/>
  <c r="Z24" i="1"/>
  <c r="Y24" i="1"/>
  <c r="X24" i="1"/>
  <c r="W24" i="1"/>
  <c r="V24" i="1"/>
  <c r="U24" i="1"/>
  <c r="T24" i="1"/>
  <c r="S24" i="1"/>
  <c r="R24" i="1"/>
  <c r="Q24" i="1"/>
  <c r="M24" i="1"/>
  <c r="M25" i="1" s="1"/>
  <c r="L24" i="1"/>
  <c r="K24" i="1"/>
  <c r="J24" i="1"/>
  <c r="I24" i="1"/>
  <c r="I25" i="1" s="1"/>
  <c r="H24" i="1"/>
  <c r="G24" i="1"/>
  <c r="F24" i="1"/>
  <c r="E24" i="1"/>
  <c r="E25" i="1" s="1"/>
  <c r="D24" i="1"/>
  <c r="C24" i="1"/>
  <c r="B24" i="1"/>
  <c r="N24" i="1" s="1"/>
  <c r="A24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R23" i="1" s="1"/>
  <c r="AB23" i="1"/>
  <c r="AA23" i="1"/>
  <c r="AA25" i="1" s="1"/>
  <c r="Z23" i="1"/>
  <c r="Y23" i="1"/>
  <c r="X23" i="1"/>
  <c r="W23" i="1"/>
  <c r="W25" i="1" s="1"/>
  <c r="V23" i="1"/>
  <c r="U23" i="1"/>
  <c r="T23" i="1"/>
  <c r="S23" i="1"/>
  <c r="S25" i="1" s="1"/>
  <c r="R23" i="1"/>
  <c r="Q23" i="1"/>
  <c r="M23" i="1"/>
  <c r="L23" i="1"/>
  <c r="K23" i="1"/>
  <c r="J23" i="1"/>
  <c r="I23" i="1"/>
  <c r="H23" i="1"/>
  <c r="G23" i="1"/>
  <c r="F23" i="1"/>
  <c r="E23" i="1"/>
  <c r="D23" i="1"/>
  <c r="C23" i="1"/>
  <c r="B23" i="1"/>
  <c r="N23" i="1" s="1"/>
  <c r="AQ22" i="1"/>
  <c r="AQ25" i="1" s="1"/>
  <c r="AP22" i="1"/>
  <c r="AP25" i="1" s="1"/>
  <c r="AO22" i="1"/>
  <c r="AO25" i="1" s="1"/>
  <c r="AN22" i="1"/>
  <c r="AN25" i="1" s="1"/>
  <c r="AM22" i="1"/>
  <c r="AM25" i="1" s="1"/>
  <c r="AL22" i="1"/>
  <c r="AL25" i="1" s="1"/>
  <c r="AK22" i="1"/>
  <c r="AK25" i="1" s="1"/>
  <c r="AJ22" i="1"/>
  <c r="AJ25" i="1" s="1"/>
  <c r="AI22" i="1"/>
  <c r="AI25" i="1" s="1"/>
  <c r="AH22" i="1"/>
  <c r="AH25" i="1" s="1"/>
  <c r="AG22" i="1"/>
  <c r="AG25" i="1" s="1"/>
  <c r="AF22" i="1"/>
  <c r="AF25" i="1" s="1"/>
  <c r="AB22" i="1"/>
  <c r="AB25" i="1" s="1"/>
  <c r="AA22" i="1"/>
  <c r="Z22" i="1"/>
  <c r="Z25" i="1" s="1"/>
  <c r="Y22" i="1"/>
  <c r="Y25" i="1" s="1"/>
  <c r="X22" i="1"/>
  <c r="X25" i="1" s="1"/>
  <c r="W22" i="1"/>
  <c r="V22" i="1"/>
  <c r="V25" i="1" s="1"/>
  <c r="U22" i="1"/>
  <c r="U25" i="1" s="1"/>
  <c r="T22" i="1"/>
  <c r="T25" i="1" s="1"/>
  <c r="S22" i="1"/>
  <c r="R22" i="1"/>
  <c r="R25" i="1" s="1"/>
  <c r="Q22" i="1"/>
  <c r="Q25" i="1" s="1"/>
  <c r="M22" i="1"/>
  <c r="L22" i="1"/>
  <c r="L25" i="1" s="1"/>
  <c r="K22" i="1"/>
  <c r="K25" i="1" s="1"/>
  <c r="J22" i="1"/>
  <c r="J25" i="1" s="1"/>
  <c r="I22" i="1"/>
  <c r="H22" i="1"/>
  <c r="H25" i="1" s="1"/>
  <c r="G22" i="1"/>
  <c r="G25" i="1" s="1"/>
  <c r="F22" i="1"/>
  <c r="F25" i="1" s="1"/>
  <c r="E22" i="1"/>
  <c r="D22" i="1"/>
  <c r="D25" i="1" s="1"/>
  <c r="C22" i="1"/>
  <c r="C25" i="1" s="1"/>
  <c r="B22" i="1"/>
  <c r="N22" i="1" s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B19" i="1"/>
  <c r="AA19" i="1"/>
  <c r="Z19" i="1"/>
  <c r="Y19" i="1"/>
  <c r="X19" i="1"/>
  <c r="W19" i="1"/>
  <c r="V19" i="1"/>
  <c r="U19" i="1"/>
  <c r="AC19" i="1" s="1"/>
  <c r="T19" i="1"/>
  <c r="S19" i="1"/>
  <c r="R19" i="1"/>
  <c r="Q19" i="1"/>
  <c r="M19" i="1"/>
  <c r="L19" i="1"/>
  <c r="K19" i="1"/>
  <c r="J19" i="1"/>
  <c r="I19" i="1"/>
  <c r="H19" i="1"/>
  <c r="G19" i="1"/>
  <c r="F19" i="1"/>
  <c r="E19" i="1"/>
  <c r="D19" i="1"/>
  <c r="C19" i="1"/>
  <c r="A19" i="1"/>
  <c r="A35" i="1" s="1"/>
  <c r="AQ18" i="1"/>
  <c r="AP18" i="1"/>
  <c r="AO18" i="1"/>
  <c r="AN18" i="1"/>
  <c r="AM18" i="1"/>
  <c r="AL18" i="1"/>
  <c r="AK18" i="1"/>
  <c r="AJ18" i="1"/>
  <c r="AI18" i="1"/>
  <c r="AH18" i="1"/>
  <c r="AR18" i="1" s="1"/>
  <c r="AG18" i="1"/>
  <c r="AF18" i="1"/>
  <c r="AB18" i="1"/>
  <c r="AA18" i="1"/>
  <c r="Z18" i="1"/>
  <c r="Y18" i="1"/>
  <c r="X18" i="1"/>
  <c r="W18" i="1"/>
  <c r="V18" i="1"/>
  <c r="U18" i="1"/>
  <c r="AC18" i="1" s="1"/>
  <c r="AU18" i="1" s="1"/>
  <c r="T18" i="1"/>
  <c r="S18" i="1"/>
  <c r="R18" i="1"/>
  <c r="Q18" i="1"/>
  <c r="M18" i="1"/>
  <c r="L18" i="1"/>
  <c r="K18" i="1"/>
  <c r="J18" i="1"/>
  <c r="I18" i="1"/>
  <c r="H18" i="1"/>
  <c r="G18" i="1"/>
  <c r="F18" i="1"/>
  <c r="E18" i="1"/>
  <c r="D18" i="1"/>
  <c r="N18" i="1" s="1"/>
  <c r="C18" i="1"/>
  <c r="A18" i="1"/>
  <c r="AT18" i="1" s="1"/>
  <c r="AQ17" i="1"/>
  <c r="AP17" i="1"/>
  <c r="AO17" i="1"/>
  <c r="AN17" i="1"/>
  <c r="AM17" i="1"/>
  <c r="AL17" i="1"/>
  <c r="AK17" i="1"/>
  <c r="AJ17" i="1"/>
  <c r="AI17" i="1"/>
  <c r="AH17" i="1"/>
  <c r="AR17" i="1" s="1"/>
  <c r="AG17" i="1"/>
  <c r="AF17" i="1"/>
  <c r="AB17" i="1"/>
  <c r="AA17" i="1"/>
  <c r="Z17" i="1"/>
  <c r="Y17" i="1"/>
  <c r="X17" i="1"/>
  <c r="W17" i="1"/>
  <c r="V17" i="1"/>
  <c r="U17" i="1"/>
  <c r="AC17" i="1" s="1"/>
  <c r="AU17" i="1" s="1"/>
  <c r="T17" i="1"/>
  <c r="S17" i="1"/>
  <c r="R17" i="1"/>
  <c r="Q17" i="1"/>
  <c r="M17" i="1"/>
  <c r="L17" i="1"/>
  <c r="K17" i="1"/>
  <c r="J17" i="1"/>
  <c r="I17" i="1"/>
  <c r="H17" i="1"/>
  <c r="G17" i="1"/>
  <c r="F17" i="1"/>
  <c r="E17" i="1"/>
  <c r="D17" i="1"/>
  <c r="N17" i="1" s="1"/>
  <c r="C17" i="1"/>
  <c r="A17" i="1"/>
  <c r="AT17" i="1" s="1"/>
  <c r="AT14" i="1"/>
  <c r="AR14" i="1"/>
  <c r="AC14" i="1"/>
  <c r="AU14" i="1" s="1"/>
  <c r="P14" i="1"/>
  <c r="N14" i="1"/>
  <c r="A14" i="1"/>
  <c r="A40" i="1" s="1"/>
  <c r="AE40" i="1" s="1"/>
  <c r="AV13" i="1"/>
  <c r="AR13" i="1"/>
  <c r="AE13" i="1"/>
  <c r="AC13" i="1"/>
  <c r="AU13" i="1" s="1"/>
  <c r="N13" i="1"/>
  <c r="A13" i="1"/>
  <c r="AR12" i="1"/>
  <c r="AV12" i="1" s="1"/>
  <c r="AC12" i="1"/>
  <c r="N12" i="1"/>
  <c r="A12" i="1"/>
  <c r="AE12" i="1" s="1"/>
  <c r="AT9" i="1"/>
  <c r="AR9" i="1"/>
  <c r="AV9" i="1" s="1"/>
  <c r="AE9" i="1"/>
  <c r="AC9" i="1"/>
  <c r="AU9" i="1" s="1"/>
  <c r="P9" i="1"/>
  <c r="N9" i="1"/>
  <c r="AT8" i="1"/>
  <c r="AR8" i="1"/>
  <c r="AV8" i="1" s="1"/>
  <c r="AE8" i="1"/>
  <c r="AC8" i="1"/>
  <c r="AU8" i="1" s="1"/>
  <c r="P8" i="1"/>
  <c r="N8" i="1"/>
  <c r="AT7" i="1"/>
  <c r="AR7" i="1"/>
  <c r="AV7" i="1" s="1"/>
  <c r="AE7" i="1"/>
  <c r="AC7" i="1"/>
  <c r="AU7" i="1" s="1"/>
  <c r="P7" i="1"/>
  <c r="N7" i="1"/>
  <c r="B6" i="1"/>
  <c r="C6" i="1" s="1"/>
  <c r="D6" i="1" s="1"/>
  <c r="E6" i="1" s="1"/>
  <c r="F6" i="1" s="1"/>
  <c r="G6" i="1" s="1"/>
  <c r="H6" i="1" s="1"/>
  <c r="I6" i="1" s="1"/>
  <c r="J6" i="1" s="1"/>
  <c r="K6" i="1" s="1"/>
  <c r="L6" i="1" s="1"/>
  <c r="M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U12" i="1" l="1"/>
  <c r="AV14" i="1"/>
  <c r="AV18" i="1"/>
  <c r="N19" i="1"/>
  <c r="AU19" i="1" s="1"/>
  <c r="AC23" i="1"/>
  <c r="AU23" i="1" s="1"/>
  <c r="AT30" i="1"/>
  <c r="P30" i="1"/>
  <c r="N34" i="1"/>
  <c r="AT38" i="1"/>
  <c r="P38" i="1"/>
  <c r="R41" i="1"/>
  <c r="AR19" i="1"/>
  <c r="AV19" i="1" s="1"/>
  <c r="N25" i="1"/>
  <c r="AT24" i="1"/>
  <c r="P24" i="1"/>
  <c r="AU34" i="1"/>
  <c r="AR34" i="1"/>
  <c r="AV34" i="1" s="1"/>
  <c r="E41" i="1"/>
  <c r="V41" i="1"/>
  <c r="AT40" i="1"/>
  <c r="A23" i="1"/>
  <c r="AT13" i="1"/>
  <c r="P13" i="1"/>
  <c r="A39" i="1"/>
  <c r="AV17" i="1"/>
  <c r="AC24" i="1"/>
  <c r="AU24" i="1" s="1"/>
  <c r="AE24" i="1"/>
  <c r="AU29" i="1"/>
  <c r="N33" i="1"/>
  <c r="AC38" i="1"/>
  <c r="AC33" i="1"/>
  <c r="N35" i="1"/>
  <c r="I41" i="1"/>
  <c r="Z41" i="1"/>
  <c r="P40" i="1"/>
  <c r="AE35" i="1"/>
  <c r="AT35" i="1"/>
  <c r="P35" i="1"/>
  <c r="AE30" i="1"/>
  <c r="AR33" i="1"/>
  <c r="AV33" i="1" s="1"/>
  <c r="AU35" i="1"/>
  <c r="AR35" i="1"/>
  <c r="AV35" i="1" s="1"/>
  <c r="M41" i="1"/>
  <c r="AE38" i="1"/>
  <c r="P12" i="1"/>
  <c r="AT12" i="1"/>
  <c r="AE14" i="1"/>
  <c r="AE17" i="1"/>
  <c r="AE18" i="1"/>
  <c r="AE19" i="1"/>
  <c r="AC22" i="1"/>
  <c r="B25" i="1"/>
  <c r="P29" i="1"/>
  <c r="AT29" i="1"/>
  <c r="A33" i="1"/>
  <c r="B38" i="1"/>
  <c r="AF38" i="1"/>
  <c r="Q40" i="1"/>
  <c r="AC40" i="1" s="1"/>
  <c r="AU40" i="1" s="1"/>
  <c r="A22" i="1"/>
  <c r="A34" i="1"/>
  <c r="B39" i="1"/>
  <c r="N39" i="1" s="1"/>
  <c r="AU39" i="1" s="1"/>
  <c r="AF39" i="1"/>
  <c r="AR39" i="1" s="1"/>
  <c r="AV39" i="1" s="1"/>
  <c r="P17" i="1"/>
  <c r="P18" i="1"/>
  <c r="P19" i="1"/>
  <c r="AT19" i="1"/>
  <c r="AR22" i="1"/>
  <c r="AU33" i="1" l="1"/>
  <c r="AV24" i="1"/>
  <c r="AF41" i="1"/>
  <c r="AR38" i="1"/>
  <c r="AV40" i="1"/>
  <c r="AC41" i="1"/>
  <c r="Q41" i="1"/>
  <c r="AE34" i="1"/>
  <c r="AT34" i="1"/>
  <c r="P34" i="1"/>
  <c r="B41" i="1"/>
  <c r="N38" i="1"/>
  <c r="N41" i="1" s="1"/>
  <c r="AE23" i="1"/>
  <c r="AT23" i="1"/>
  <c r="P23" i="1"/>
  <c r="AV23" i="1"/>
  <c r="AR25" i="1"/>
  <c r="AV22" i="1"/>
  <c r="AE22" i="1"/>
  <c r="AT22" i="1"/>
  <c r="P22" i="1"/>
  <c r="AT33" i="1"/>
  <c r="P33" i="1"/>
  <c r="AE33" i="1"/>
  <c r="AC25" i="1"/>
  <c r="AU25" i="1" s="1"/>
  <c r="AU22" i="1"/>
  <c r="AT39" i="1"/>
  <c r="P39" i="1"/>
  <c r="AE39" i="1"/>
  <c r="AR41" i="1" l="1"/>
  <c r="AV41" i="1" s="1"/>
  <c r="AV38" i="1"/>
  <c r="AU41" i="1"/>
  <c r="AV25" i="1"/>
  <c r="AU38" i="1"/>
</calcChain>
</file>

<file path=xl/sharedStrings.xml><?xml version="1.0" encoding="utf-8"?>
<sst xmlns="http://schemas.openxmlformats.org/spreadsheetml/2006/main" count="100" uniqueCount="38">
  <si>
    <t>Sales Forecast Template - 3 Years</t>
  </si>
  <si>
    <t>Forecast Start Date</t>
  </si>
  <si>
    <r>
      <rPr>
        <sz val="9"/>
        <color theme="1"/>
        <rFont val="Arial"/>
      </rPr>
      <t xml:space="preserve">Edit cells that do </t>
    </r>
    <r>
      <rPr>
        <i/>
        <sz val="9"/>
        <color theme="1"/>
        <rFont val="Arial"/>
      </rPr>
      <t>not</t>
    </r>
    <r>
      <rPr>
        <sz val="9"/>
        <color theme="1"/>
        <rFont val="Arial"/>
      </rPr>
      <t xml:space="preserve"> contain formulas</t>
    </r>
  </si>
  <si>
    <t>&lt;</t>
  </si>
  <si>
    <t>&lt; Hide these columns for the 3-year summary view &gt;</t>
  </si>
  <si>
    <t>&gt;</t>
  </si>
  <si>
    <t>Hide these columns for the 3-year summary view</t>
  </si>
  <si>
    <t>[Business Name] Sales Forecast</t>
  </si>
  <si>
    <t>Sales Forecast Year 2</t>
  </si>
  <si>
    <t>Sales Forecast Year 3</t>
  </si>
  <si>
    <t>Year-to-Year Comparison</t>
  </si>
  <si>
    <t>Year 1</t>
  </si>
  <si>
    <t>Year 2</t>
  </si>
  <si>
    <t>Year 3</t>
  </si>
  <si>
    <t>Yr 2 vs Yr 1</t>
  </si>
  <si>
    <t>Yr 3 vs Yr 2</t>
  </si>
  <si>
    <t>Units Sold</t>
  </si>
  <si>
    <t>Total Units Sold</t>
  </si>
  <si>
    <t>% Change</t>
  </si>
  <si>
    <t>Product/Service A</t>
  </si>
  <si>
    <t>Product/Service B</t>
  </si>
  <si>
    <t>Product/Service C</t>
  </si>
  <si>
    <t>Unit Price</t>
  </si>
  <si>
    <t>Avg Unit Price</t>
  </si>
  <si>
    <t>Difference</t>
  </si>
  <si>
    <t>Sales Growth Rate</t>
  </si>
  <si>
    <t>Avg Growth Rate</t>
  </si>
  <si>
    <t>Revenue</t>
  </si>
  <si>
    <t>(Units Sold * Unit Price)</t>
  </si>
  <si>
    <t>Total Revenue</t>
  </si>
  <si>
    <t>Unit COGS</t>
  </si>
  <si>
    <t>Avg COGS</t>
  </si>
  <si>
    <t>Margin Per Unit</t>
  </si>
  <si>
    <t>(Unit Price - Unit COGS)</t>
  </si>
  <si>
    <t>Avg Margin</t>
  </si>
  <si>
    <t>Gross Profit</t>
  </si>
  <si>
    <t>(Revenue - COGS or Margin Per Unit * Units Sold)</t>
  </si>
  <si>
    <t>Total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</si>
</sst>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8" formatCode="&quot;$&quot;#,##0.00_);[Red]\(&quot;$&quot;#,##0.00\)"/>
    <numFmt numFmtId="164" formatCode="d/m/yyyy"/>
    <numFmt numFmtId="165" formatCode="[$-409]mmm\-yy"/>
  </numFmts>
  <fonts count="21" x14ac:knownFonts="1">
    <font>
      <sz val="11"/>
      <color theme="1"/>
      <name val="Arial"/>
      <scheme val="minor"/>
    </font>
    <font>
      <b/>
      <sz val="20"/>
      <color theme="0"/>
      <name val="Arial"/>
    </font>
    <font>
      <sz val="10"/>
      <color theme="0"/>
      <name val="Arial"/>
    </font>
    <font>
      <sz val="10"/>
      <color theme="1"/>
      <name val="Arial"/>
    </font>
    <font>
      <u/>
      <sz val="11"/>
      <color rgb="FF3333FF"/>
      <name val="Arial"/>
    </font>
    <font>
      <b/>
      <sz val="9"/>
      <color rgb="FF1C3456"/>
      <name val="Arial"/>
    </font>
    <font>
      <b/>
      <sz val="9"/>
      <color theme="1"/>
      <name val="Arial"/>
    </font>
    <font>
      <sz val="11"/>
      <name val="Arial"/>
    </font>
    <font>
      <sz val="9"/>
      <color theme="1"/>
      <name val="Arial"/>
    </font>
    <font>
      <b/>
      <sz val="12"/>
      <color rgb="FF1C3456"/>
      <name val="Arial"/>
    </font>
    <font>
      <sz val="8"/>
      <color theme="1"/>
      <name val="Arial"/>
    </font>
    <font>
      <sz val="9"/>
      <color rgb="FF1C3456"/>
      <name val="Arial"/>
    </font>
    <font>
      <b/>
      <sz val="12"/>
      <color rgb="FF2A4E81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8"/>
      <color theme="1"/>
      <name val="Arial"/>
    </font>
    <font>
      <i/>
      <sz val="8"/>
      <color theme="1"/>
      <name val="Arial"/>
    </font>
    <font>
      <b/>
      <sz val="8"/>
      <color rgb="FF3A5D9C"/>
      <name val="Arial"/>
    </font>
    <font>
      <sz val="10"/>
      <color rgb="FF57428C"/>
      <name val="Arial"/>
    </font>
    <font>
      <b/>
      <sz val="10"/>
      <color rgb="FF3A5D9C"/>
      <name val="Arial"/>
    </font>
    <font>
      <i/>
      <sz val="9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4E0F1"/>
        <bgColor rgb="FFD4E0F1"/>
      </patternFill>
    </fill>
    <fill>
      <patternFill patternType="solid">
        <fgColor theme="0"/>
        <bgColor theme="0"/>
      </patternFill>
    </fill>
    <fill>
      <patternFill patternType="solid">
        <fgColor rgb="FF80A3D5"/>
        <bgColor rgb="FF80A3D5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2A4E81"/>
      </left>
      <right/>
      <top/>
      <bottom/>
      <diagonal/>
    </border>
    <border>
      <left/>
      <right style="medium">
        <color rgb="FF2A4E81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6" xfId="0" applyFont="1" applyBorder="1" applyAlignment="1">
      <alignment vertical="center"/>
    </xf>
    <xf numFmtId="165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1" fontId="10" fillId="4" borderId="8" xfId="0" applyNumberFormat="1" applyFont="1" applyFill="1" applyBorder="1" applyAlignment="1">
      <alignment horizontal="center" vertical="center"/>
    </xf>
    <xf numFmtId="1" fontId="10" fillId="4" borderId="9" xfId="0" applyNumberFormat="1" applyFont="1" applyFill="1" applyBorder="1" applyAlignment="1">
      <alignment horizontal="center" vertical="center"/>
    </xf>
    <xf numFmtId="1" fontId="10" fillId="4" borderId="10" xfId="0" applyNumberFormat="1" applyFont="1" applyFill="1" applyBorder="1" applyAlignment="1">
      <alignment horizontal="center" vertical="center"/>
    </xf>
    <xf numFmtId="1" fontId="10" fillId="3" borderId="11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7" borderId="11" xfId="0" applyFont="1" applyFill="1" applyBorder="1" applyAlignment="1">
      <alignment vertical="center"/>
    </xf>
    <xf numFmtId="9" fontId="10" fillId="7" borderId="11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1" fontId="10" fillId="4" borderId="13" xfId="0" applyNumberFormat="1" applyFont="1" applyFill="1" applyBorder="1" applyAlignment="1">
      <alignment horizontal="center" vertical="center"/>
    </xf>
    <xf numFmtId="1" fontId="10" fillId="4" borderId="14" xfId="0" applyNumberFormat="1" applyFont="1" applyFill="1" applyBorder="1" applyAlignment="1">
      <alignment horizontal="center" vertical="center"/>
    </xf>
    <xf numFmtId="1" fontId="10" fillId="4" borderId="15" xfId="0" applyNumberFormat="1" applyFont="1" applyFill="1" applyBorder="1" applyAlignment="1">
      <alignment horizontal="center" vertical="center"/>
    </xf>
    <xf numFmtId="1" fontId="10" fillId="3" borderId="12" xfId="0" applyNumberFormat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9" fontId="10" fillId="7" borderId="1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8" fontId="10" fillId="0" borderId="16" xfId="0" applyNumberFormat="1" applyFont="1" applyBorder="1" applyAlignment="1">
      <alignment horizontal="center" vertical="center"/>
    </xf>
    <xf numFmtId="8" fontId="10" fillId="0" borderId="14" xfId="0" applyNumberFormat="1" applyFont="1" applyBorder="1" applyAlignment="1">
      <alignment horizontal="center" vertical="center"/>
    </xf>
    <xf numFmtId="8" fontId="10" fillId="0" borderId="17" xfId="0" applyNumberFormat="1" applyFont="1" applyBorder="1" applyAlignment="1">
      <alignment horizontal="center" vertical="center"/>
    </xf>
    <xf numFmtId="8" fontId="10" fillId="3" borderId="12" xfId="0" applyNumberFormat="1" applyFont="1" applyFill="1" applyBorder="1" applyAlignment="1">
      <alignment horizontal="center" vertical="center"/>
    </xf>
    <xf numFmtId="8" fontId="10" fillId="7" borderId="12" xfId="0" applyNumberFormat="1" applyFont="1" applyFill="1" applyBorder="1" applyAlignment="1">
      <alignment horizontal="center" vertical="center"/>
    </xf>
    <xf numFmtId="9" fontId="10" fillId="6" borderId="13" xfId="0" applyNumberFormat="1" applyFont="1" applyFill="1" applyBorder="1" applyAlignment="1">
      <alignment horizontal="center" vertical="center"/>
    </xf>
    <xf numFmtId="9" fontId="10" fillId="6" borderId="14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9" fontId="10" fillId="6" borderId="1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6" fontId="10" fillId="6" borderId="13" xfId="0" applyNumberFormat="1" applyFont="1" applyFill="1" applyBorder="1" applyAlignment="1">
      <alignment horizontal="center" vertical="center"/>
    </xf>
    <xf numFmtId="6" fontId="15" fillId="3" borderId="12" xfId="0" applyNumberFormat="1" applyFont="1" applyFill="1" applyBorder="1" applyAlignment="1">
      <alignment horizontal="center" vertical="center"/>
    </xf>
    <xf numFmtId="6" fontId="10" fillId="7" borderId="12" xfId="0" applyNumberFormat="1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vertical="center"/>
    </xf>
    <xf numFmtId="6" fontId="15" fillId="3" borderId="18" xfId="0" applyNumberFormat="1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vertical="center"/>
    </xf>
    <xf numFmtId="6" fontId="10" fillId="7" borderId="18" xfId="0" applyNumberFormat="1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vertical="center"/>
    </xf>
    <xf numFmtId="6" fontId="15" fillId="3" borderId="20" xfId="0" applyNumberFormat="1" applyFont="1" applyFill="1" applyBorder="1" applyAlignment="1">
      <alignment horizontal="center" vertical="center"/>
    </xf>
    <xf numFmtId="6" fontId="15" fillId="3" borderId="21" xfId="0" applyNumberFormat="1" applyFont="1" applyFill="1" applyBorder="1" applyAlignment="1">
      <alignment horizontal="center" vertical="center"/>
    </xf>
    <xf numFmtId="6" fontId="15" fillId="3" borderId="22" xfId="0" applyNumberFormat="1" applyFont="1" applyFill="1" applyBorder="1" applyAlignment="1">
      <alignment horizontal="center" vertical="center"/>
    </xf>
    <xf numFmtId="6" fontId="15" fillId="3" borderId="19" xfId="0" applyNumberFormat="1" applyFont="1" applyFill="1" applyBorder="1" applyAlignment="1">
      <alignment horizontal="center" vertical="center"/>
    </xf>
    <xf numFmtId="6" fontId="10" fillId="8" borderId="19" xfId="0" applyNumberFormat="1" applyFont="1" applyFill="1" applyBorder="1" applyAlignment="1">
      <alignment horizontal="center" vertical="center"/>
    </xf>
    <xf numFmtId="0" fontId="10" fillId="0" borderId="0" xfId="0" applyFont="1"/>
    <xf numFmtId="8" fontId="10" fillId="6" borderId="1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0" fillId="4" borderId="1" xfId="0" applyFont="1" applyFill="1" applyBorder="1"/>
    <xf numFmtId="0" fontId="15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/>
    </xf>
    <xf numFmtId="0" fontId="15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right" vertical="center"/>
    </xf>
    <xf numFmtId="0" fontId="3" fillId="0" borderId="0" xfId="0" applyFont="1"/>
    <xf numFmtId="0" fontId="18" fillId="0" borderId="0" xfId="0" applyFont="1"/>
    <xf numFmtId="0" fontId="3" fillId="0" borderId="0" xfId="0" applyFont="1" applyAlignment="1">
      <alignment horizontal="center" vertical="center"/>
    </xf>
    <xf numFmtId="0" fontId="19" fillId="0" borderId="0" xfId="0" applyFont="1"/>
    <xf numFmtId="164" fontId="6" fillId="4" borderId="2" xfId="0" applyNumberFormat="1" applyFont="1" applyFill="1" applyBorder="1" applyAlignment="1">
      <alignment horizontal="center" vertical="center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Year 1: Units Sold</a:t>
            </a:r>
          </a:p>
        </c:rich>
      </c:tx>
      <c:layout>
        <c:manualLayout>
          <c:xMode val="edge"/>
          <c:yMode val="edge"/>
          <c:x val="0.32079090113735781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0.11765025371828522"/>
          <c:y val="0.12104229693963091"/>
          <c:w val="0.84323863517060371"/>
          <c:h val="0.57142070978322801"/>
        </c:manualLayout>
      </c:layout>
      <c:barChart>
        <c:barDir val="col"/>
        <c:grouping val="clustered"/>
        <c:varyColors val="1"/>
        <c:ser>
          <c:idx val="0"/>
          <c:order val="0"/>
          <c:tx>
            <c:v>Product/Service 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Forecast'!$B$7:$M$7</c:f>
              <c:numCache>
                <c:formatCode>0</c:formatCode>
                <c:ptCount val="12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550</c:v>
                </c:pt>
                <c:pt idx="5">
                  <c:v>525</c:v>
                </c:pt>
                <c:pt idx="6">
                  <c:v>525</c:v>
                </c:pt>
                <c:pt idx="7">
                  <c:v>550</c:v>
                </c:pt>
                <c:pt idx="8">
                  <c:v>575</c:v>
                </c:pt>
                <c:pt idx="9">
                  <c:v>600</c:v>
                </c:pt>
                <c:pt idx="10">
                  <c:v>650</c:v>
                </c:pt>
                <c:pt idx="11">
                  <c:v>650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3B-4A68-A5B8-2E4017864C3D}"/>
            </c:ext>
          </c:extLst>
        </c:ser>
        <c:ser>
          <c:idx val="1"/>
          <c:order val="1"/>
          <c:tx>
            <c:v>Product/Service B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Forecast'!$B$8:$M$8</c:f>
              <c:numCache>
                <c:formatCode>0</c:formatCode>
                <c:ptCount val="12"/>
                <c:pt idx="0">
                  <c:v>1500</c:v>
                </c:pt>
                <c:pt idx="1">
                  <c:v>1000</c:v>
                </c:pt>
                <c:pt idx="2">
                  <c:v>1000</c:v>
                </c:pt>
                <c:pt idx="3">
                  <c:v>1250</c:v>
                </c:pt>
                <c:pt idx="4">
                  <c:v>1250</c:v>
                </c:pt>
                <c:pt idx="5">
                  <c:v>1500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2500</c:v>
                </c:pt>
                <c:pt idx="10">
                  <c:v>3000</c:v>
                </c:pt>
                <c:pt idx="11">
                  <c:v>3000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C3B-4A68-A5B8-2E4017864C3D}"/>
            </c:ext>
          </c:extLst>
        </c:ser>
        <c:ser>
          <c:idx val="2"/>
          <c:order val="2"/>
          <c:tx>
            <c:v>Product/Service C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Forecast'!$B$9:$M$9</c:f>
              <c:numCache>
                <c:formatCode>0</c:formatCode>
                <c:ptCount val="12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400</c:v>
                </c:pt>
                <c:pt idx="7">
                  <c:v>350</c:v>
                </c:pt>
                <c:pt idx="8">
                  <c:v>350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C3B-4A68-A5B8-2E401786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6761273"/>
        <c:axId val="1868976253"/>
      </c:barChart>
      <c:dateAx>
        <c:axId val="596761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8976253"/>
        <c:crosses val="autoZero"/>
        <c:auto val="1"/>
        <c:lblOffset val="100"/>
        <c:baseTimeUnit val="months"/>
      </c:dateAx>
      <c:valAx>
        <c:axId val="1868976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76127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7.3334033245844267E-3"/>
          <c:y val="0.8983273739576627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Year 1: Growth Rate</a:t>
            </a:r>
          </a:p>
        </c:rich>
      </c:tx>
      <c:layout>
        <c:manualLayout>
          <c:xMode val="edge"/>
          <c:yMode val="edge"/>
          <c:x val="0.30645536488300246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0.11746109844795442"/>
          <c:y val="0.13309230161256577"/>
          <c:w val="0.84357319695057797"/>
          <c:h val="0.52698560593733146"/>
        </c:manualLayout>
      </c:layout>
      <c:lineChart>
        <c:grouping val="standard"/>
        <c:varyColors val="1"/>
        <c:ser>
          <c:idx val="0"/>
          <c:order val="0"/>
          <c:tx>
            <c:v>Product/Service A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Forecast'!$B$17:$M$17</c:f>
              <c:numCache>
                <c:formatCode>0%</c:formatCode>
                <c:ptCount val="12"/>
                <c:pt idx="0">
                  <c:v>0</c:v>
                </c:pt>
                <c:pt idx="1">
                  <c:v>5.0000000000000044E-2</c:v>
                </c:pt>
                <c:pt idx="2">
                  <c:v>4.7619047619047672E-2</c:v>
                </c:pt>
                <c:pt idx="3">
                  <c:v>4.5454545454545414E-2</c:v>
                </c:pt>
                <c:pt idx="4">
                  <c:v>-4.3478260869565188E-2</c:v>
                </c:pt>
                <c:pt idx="5">
                  <c:v>-4.5454545454545414E-2</c:v>
                </c:pt>
                <c:pt idx="6">
                  <c:v>0</c:v>
                </c:pt>
                <c:pt idx="7">
                  <c:v>4.7619047619047672E-2</c:v>
                </c:pt>
                <c:pt idx="8">
                  <c:v>4.5454545454545414E-2</c:v>
                </c:pt>
                <c:pt idx="9">
                  <c:v>4.3478260869565188E-2</c:v>
                </c:pt>
                <c:pt idx="10">
                  <c:v>8.3333333333333259E-2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5-4DC7-BB80-B8930F0BAF39}"/>
            </c:ext>
          </c:extLst>
        </c:ser>
        <c:ser>
          <c:idx val="1"/>
          <c:order val="1"/>
          <c:tx>
            <c:v>Product/Service B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Forecast'!$B$18:$M$18</c:f>
              <c:numCache>
                <c:formatCode>0%</c:formatCode>
                <c:ptCount val="12"/>
                <c:pt idx="0">
                  <c:v>0</c:v>
                </c:pt>
                <c:pt idx="1">
                  <c:v>-0.33333333333333337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0.19999999999999996</c:v>
                </c:pt>
                <c:pt idx="6">
                  <c:v>0</c:v>
                </c:pt>
                <c:pt idx="7">
                  <c:v>0.16666666666666674</c:v>
                </c:pt>
                <c:pt idx="8">
                  <c:v>0.14285714285714279</c:v>
                </c:pt>
                <c:pt idx="9">
                  <c:v>0.25</c:v>
                </c:pt>
                <c:pt idx="10">
                  <c:v>0.19999999999999996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5-4DC7-BB80-B8930F0BAF39}"/>
            </c:ext>
          </c:extLst>
        </c:ser>
        <c:ser>
          <c:idx val="2"/>
          <c:order val="2"/>
          <c:tx>
            <c:v>Product/Service C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Forecast'!$B$19:$M$19</c:f>
              <c:numCache>
                <c:formatCode>0%</c:formatCode>
                <c:ptCount val="12"/>
                <c:pt idx="0">
                  <c:v>0</c:v>
                </c:pt>
                <c:pt idx="1">
                  <c:v>0.33333333333333326</c:v>
                </c:pt>
                <c:pt idx="2">
                  <c:v>0.25</c:v>
                </c:pt>
                <c:pt idx="3">
                  <c:v>0.19999999999999996</c:v>
                </c:pt>
                <c:pt idx="4">
                  <c:v>0.16666666666666674</c:v>
                </c:pt>
                <c:pt idx="5">
                  <c:v>0.14285714285714279</c:v>
                </c:pt>
                <c:pt idx="6">
                  <c:v>0</c:v>
                </c:pt>
                <c:pt idx="7">
                  <c:v>-0.125</c:v>
                </c:pt>
                <c:pt idx="8">
                  <c:v>0</c:v>
                </c:pt>
                <c:pt idx="9">
                  <c:v>-0.1428571428571429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5-4DC7-BB80-B8930F0B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20690"/>
        <c:axId val="994647226"/>
      </c:lineChart>
      <c:dateAx>
        <c:axId val="187820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647226"/>
        <c:crosses val="autoZero"/>
        <c:auto val="1"/>
        <c:lblOffset val="100"/>
        <c:baseTimeUnit val="months"/>
      </c:dateAx>
      <c:valAx>
        <c:axId val="994647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82069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1165847187496167E-3"/>
          <c:y val="0.8960672864670381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Year 1: Gross Profit</a:t>
            </a:r>
          </a:p>
        </c:rich>
      </c:tx>
      <c:layout>
        <c:manualLayout>
          <c:xMode val="edge"/>
          <c:yMode val="edge"/>
          <c:x val="0.30806201224846896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0.16529497812773403"/>
          <c:y val="0.13849149526213181"/>
          <c:w val="0.79559391076115482"/>
          <c:h val="0.53763233160543455"/>
        </c:manualLayout>
      </c:layout>
      <c:lineChart>
        <c:grouping val="standard"/>
        <c:varyColors val="1"/>
        <c:ser>
          <c:idx val="0"/>
          <c:order val="0"/>
          <c:tx>
            <c:v>Product/Service A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Forecast'!$B$38:$M$38</c:f>
              <c:numCache>
                <c:formatCode>"$"#,##0_);[Red]\("$"#,##0\)</c:formatCode>
                <c:ptCount val="12"/>
                <c:pt idx="0">
                  <c:v>7744.9999999999991</c:v>
                </c:pt>
                <c:pt idx="1">
                  <c:v>8132.2499999999991</c:v>
                </c:pt>
                <c:pt idx="2">
                  <c:v>8519.5</c:v>
                </c:pt>
                <c:pt idx="3">
                  <c:v>8906.75</c:v>
                </c:pt>
                <c:pt idx="4">
                  <c:v>8519.5</c:v>
                </c:pt>
                <c:pt idx="5">
                  <c:v>8132.2499999999991</c:v>
                </c:pt>
                <c:pt idx="6">
                  <c:v>8132.2499999999991</c:v>
                </c:pt>
                <c:pt idx="7">
                  <c:v>8519.5</c:v>
                </c:pt>
                <c:pt idx="8">
                  <c:v>8906.75</c:v>
                </c:pt>
                <c:pt idx="9">
                  <c:v>9593.9999999999982</c:v>
                </c:pt>
                <c:pt idx="10">
                  <c:v>10393.499999999998</c:v>
                </c:pt>
                <c:pt idx="11">
                  <c:v>10393.499999999998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1-4D19-A984-4EC8805F1FCF}"/>
            </c:ext>
          </c:extLst>
        </c:ser>
        <c:ser>
          <c:idx val="1"/>
          <c:order val="1"/>
          <c:tx>
            <c:v>Product/Service B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Forecast'!$B$39:$M$39</c:f>
              <c:numCache>
                <c:formatCode>"$"#,##0_);[Red]\("$"#,##0\)</c:formatCode>
                <c:ptCount val="12"/>
                <c:pt idx="0">
                  <c:v>17835</c:v>
                </c:pt>
                <c:pt idx="1">
                  <c:v>11890</c:v>
                </c:pt>
                <c:pt idx="2">
                  <c:v>11890</c:v>
                </c:pt>
                <c:pt idx="3">
                  <c:v>14862.5</c:v>
                </c:pt>
                <c:pt idx="4">
                  <c:v>14862.5</c:v>
                </c:pt>
                <c:pt idx="5">
                  <c:v>17835</c:v>
                </c:pt>
                <c:pt idx="6">
                  <c:v>17835</c:v>
                </c:pt>
                <c:pt idx="7">
                  <c:v>20807.5</c:v>
                </c:pt>
                <c:pt idx="8">
                  <c:v>23780</c:v>
                </c:pt>
                <c:pt idx="9">
                  <c:v>29725</c:v>
                </c:pt>
                <c:pt idx="10">
                  <c:v>35670</c:v>
                </c:pt>
                <c:pt idx="11">
                  <c:v>35670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1-4D19-A984-4EC8805F1FCF}"/>
            </c:ext>
          </c:extLst>
        </c:ser>
        <c:ser>
          <c:idx val="2"/>
          <c:order val="2"/>
          <c:tx>
            <c:v>Product/Service C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Forecast'!$B$40:$M$40</c:f>
              <c:numCache>
                <c:formatCode>"$"#,##0_);[Red]\("$"#,##0\)</c:formatCode>
                <c:ptCount val="12"/>
                <c:pt idx="0">
                  <c:v>7266.0000000000009</c:v>
                </c:pt>
                <c:pt idx="1">
                  <c:v>9688.0000000000018</c:v>
                </c:pt>
                <c:pt idx="2">
                  <c:v>12110.000000000002</c:v>
                </c:pt>
                <c:pt idx="3">
                  <c:v>14532.000000000002</c:v>
                </c:pt>
                <c:pt idx="4">
                  <c:v>16954</c:v>
                </c:pt>
                <c:pt idx="5">
                  <c:v>19376.000000000004</c:v>
                </c:pt>
                <c:pt idx="6">
                  <c:v>19376.000000000004</c:v>
                </c:pt>
                <c:pt idx="7">
                  <c:v>16954</c:v>
                </c:pt>
                <c:pt idx="8">
                  <c:v>16954</c:v>
                </c:pt>
                <c:pt idx="9">
                  <c:v>14532.000000000002</c:v>
                </c:pt>
                <c:pt idx="10">
                  <c:v>14532.000000000002</c:v>
                </c:pt>
                <c:pt idx="11">
                  <c:v>14532.000000000002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D1-4D19-A984-4EC8805F1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032511"/>
        <c:axId val="133330973"/>
      </c:lineChart>
      <c:dateAx>
        <c:axId val="930032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330973"/>
        <c:crosses val="autoZero"/>
        <c:auto val="1"/>
        <c:lblOffset val="100"/>
        <c:baseTimeUnit val="months"/>
      </c:dateAx>
      <c:valAx>
        <c:axId val="133330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0325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038082239720035E-2"/>
          <c:y val="0.8965348199307832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3-Year Growth Rate</a:t>
            </a:r>
          </a:p>
        </c:rich>
      </c:tx>
      <c:layout>
        <c:manualLayout>
          <c:xMode val="edge"/>
          <c:yMode val="edge"/>
          <c:x val="0.40990875205357363"/>
          <c:y val="3.9850996886258774E-3"/>
        </c:manualLayout>
      </c:layout>
      <c:overlay val="0"/>
    </c:title>
    <c:autoTitleDeleted val="0"/>
    <c:plotArea>
      <c:layout>
        <c:manualLayout>
          <c:xMode val="edge"/>
          <c:yMode val="edge"/>
          <c:x val="5.7092261752243648E-2"/>
          <c:y val="0.10556750298685785"/>
          <c:w val="0.92396835971424718"/>
          <c:h val="0.59314951222495038"/>
        </c:manualLayout>
      </c:layout>
      <c:lineChart>
        <c:grouping val="standard"/>
        <c:varyColors val="1"/>
        <c:ser>
          <c:idx val="0"/>
          <c:order val="0"/>
          <c:tx>
            <c:v>Product/Service A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Forecast'!$R$6:$AB$6</c:f>
              <c:numCache>
                <c:formatCode>[$-409]mmm\-yy</c:formatCode>
                <c:ptCount val="11"/>
                <c:pt idx="0">
                  <c:v>44973</c:v>
                </c:pt>
                <c:pt idx="1">
                  <c:v>45001</c:v>
                </c:pt>
                <c:pt idx="2">
                  <c:v>45032</c:v>
                </c:pt>
                <c:pt idx="3">
                  <c:v>45062</c:v>
                </c:pt>
                <c:pt idx="4">
                  <c:v>45093</c:v>
                </c:pt>
                <c:pt idx="5">
                  <c:v>45123</c:v>
                </c:pt>
                <c:pt idx="6">
                  <c:v>45154</c:v>
                </c:pt>
                <c:pt idx="7">
                  <c:v>45185</c:v>
                </c:pt>
                <c:pt idx="8">
                  <c:v>45215</c:v>
                </c:pt>
                <c:pt idx="9">
                  <c:v>45246</c:v>
                </c:pt>
                <c:pt idx="10">
                  <c:v>45276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E-4D44-B3FB-B4224AE33407}"/>
            </c:ext>
          </c:extLst>
        </c:ser>
        <c:ser>
          <c:idx val="1"/>
          <c:order val="1"/>
          <c:tx>
            <c:v>Product/Service B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Forecast'!$AG$6:$AQ$6</c:f>
              <c:numCache>
                <c:formatCode>[$-409]mmm\-yy</c:formatCode>
                <c:ptCount val="11"/>
                <c:pt idx="0">
                  <c:v>45338</c:v>
                </c:pt>
                <c:pt idx="1">
                  <c:v>45367</c:v>
                </c:pt>
                <c:pt idx="2">
                  <c:v>45398</c:v>
                </c:pt>
                <c:pt idx="3">
                  <c:v>45428</c:v>
                </c:pt>
                <c:pt idx="4">
                  <c:v>45459</c:v>
                </c:pt>
                <c:pt idx="5">
                  <c:v>45489</c:v>
                </c:pt>
                <c:pt idx="6">
                  <c:v>45520</c:v>
                </c:pt>
                <c:pt idx="7">
                  <c:v>45551</c:v>
                </c:pt>
                <c:pt idx="8">
                  <c:v>45581</c:v>
                </c:pt>
                <c:pt idx="9">
                  <c:v>45612</c:v>
                </c:pt>
                <c:pt idx="10">
                  <c:v>45642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E-4D44-B3FB-B4224AE33407}"/>
            </c:ext>
          </c:extLst>
        </c:ser>
        <c:ser>
          <c:idx val="2"/>
          <c:order val="2"/>
          <c:tx>
            <c:v>Product/Service C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Forecast'!$B$17:$M$17</c:f>
              <c:numCache>
                <c:formatCode>0%</c:formatCode>
                <c:ptCount val="12"/>
                <c:pt idx="0">
                  <c:v>0</c:v>
                </c:pt>
                <c:pt idx="1">
                  <c:v>5.0000000000000044E-2</c:v>
                </c:pt>
                <c:pt idx="2">
                  <c:v>4.7619047619047672E-2</c:v>
                </c:pt>
                <c:pt idx="3">
                  <c:v>4.5454545454545414E-2</c:v>
                </c:pt>
                <c:pt idx="4">
                  <c:v>-4.3478260869565188E-2</c:v>
                </c:pt>
                <c:pt idx="5">
                  <c:v>-4.5454545454545414E-2</c:v>
                </c:pt>
                <c:pt idx="6">
                  <c:v>0</c:v>
                </c:pt>
                <c:pt idx="7">
                  <c:v>4.7619047619047672E-2</c:v>
                </c:pt>
                <c:pt idx="8">
                  <c:v>4.5454545454545414E-2</c:v>
                </c:pt>
                <c:pt idx="9">
                  <c:v>4.3478260869565188E-2</c:v>
                </c:pt>
                <c:pt idx="10">
                  <c:v>8.3333333333333259E-2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E-4D44-B3FB-B4224AE33407}"/>
            </c:ext>
          </c:extLst>
        </c:ser>
        <c:ser>
          <c:idx val="3"/>
          <c:order val="3"/>
          <c:tx>
            <c:strRef>
              <c:f>'3-Year Sales Forecast'!$A$18</c:f>
              <c:strCache>
                <c:ptCount val="1"/>
                <c:pt idx="0">
                  <c:v>Product/Service B</c:v>
                </c:pt>
              </c:strCache>
            </c:strRef>
          </c:tx>
          <c:spPr>
            <a:ln cmpd="sng">
              <a:solidFill>
                <a:srgbClr val="846648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Forecast'!$B$18:$M$18</c:f>
              <c:numCache>
                <c:formatCode>0%</c:formatCode>
                <c:ptCount val="12"/>
                <c:pt idx="0">
                  <c:v>0</c:v>
                </c:pt>
                <c:pt idx="1">
                  <c:v>-0.33333333333333337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0.19999999999999996</c:v>
                </c:pt>
                <c:pt idx="6">
                  <c:v>0</c:v>
                </c:pt>
                <c:pt idx="7">
                  <c:v>0.16666666666666674</c:v>
                </c:pt>
                <c:pt idx="8">
                  <c:v>0.14285714285714279</c:v>
                </c:pt>
                <c:pt idx="9">
                  <c:v>0.25</c:v>
                </c:pt>
                <c:pt idx="10">
                  <c:v>0.19999999999999996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E-4D44-B3FB-B4224AE33407}"/>
            </c:ext>
          </c:extLst>
        </c:ser>
        <c:ser>
          <c:idx val="4"/>
          <c:order val="4"/>
          <c:tx>
            <c:strRef>
              <c:f>'3-Year Sales Forecast'!$A$19</c:f>
              <c:strCache>
                <c:ptCount val="1"/>
                <c:pt idx="0">
                  <c:v>Product/Service C</c:v>
                </c:pt>
              </c:strCache>
            </c:strRef>
          </c:tx>
          <c:spPr>
            <a:ln cmpd="sng">
              <a:solidFill>
                <a:srgbClr val="26AA26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Forecast'!$B$19:$M$19</c:f>
              <c:numCache>
                <c:formatCode>0%</c:formatCode>
                <c:ptCount val="12"/>
                <c:pt idx="0">
                  <c:v>0</c:v>
                </c:pt>
                <c:pt idx="1">
                  <c:v>0.33333333333333326</c:v>
                </c:pt>
                <c:pt idx="2">
                  <c:v>0.25</c:v>
                </c:pt>
                <c:pt idx="3">
                  <c:v>0.19999999999999996</c:v>
                </c:pt>
                <c:pt idx="4">
                  <c:v>0.16666666666666674</c:v>
                </c:pt>
                <c:pt idx="5">
                  <c:v>0.14285714285714279</c:v>
                </c:pt>
                <c:pt idx="6">
                  <c:v>0</c:v>
                </c:pt>
                <c:pt idx="7">
                  <c:v>-0.125</c:v>
                </c:pt>
                <c:pt idx="8">
                  <c:v>0</c:v>
                </c:pt>
                <c:pt idx="9">
                  <c:v>-0.1428571428571429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9E-4D44-B3FB-B4224AE33407}"/>
            </c:ext>
          </c:extLst>
        </c:ser>
        <c:ser>
          <c:idx val="5"/>
          <c:order val="5"/>
          <c:tx>
            <c:strRef>
              <c:f>'3-Year Sales Forecast'!$Q$17</c:f>
              <c:strCache>
                <c:ptCount val="1"/>
                <c:pt idx="0">
                  <c:v>-4%</c:v>
                </c:pt>
              </c:strCache>
            </c:strRef>
          </c:tx>
          <c:spPr>
            <a:ln cmpd="sng">
              <a:solidFill>
                <a:srgbClr val="7860B4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Forecast'!$R$17:$AB$17</c:f>
              <c:numCache>
                <c:formatCode>0%</c:formatCode>
                <c:ptCount val="11"/>
                <c:pt idx="0">
                  <c:v>-4.0000000000000036E-2</c:v>
                </c:pt>
                <c:pt idx="1">
                  <c:v>-4.166666666666663E-2</c:v>
                </c:pt>
                <c:pt idx="2">
                  <c:v>-4.3478260869565188E-2</c:v>
                </c:pt>
                <c:pt idx="3">
                  <c:v>4.5454545454545414E-2</c:v>
                </c:pt>
                <c:pt idx="4">
                  <c:v>4.3478260869565188E-2</c:v>
                </c:pt>
                <c:pt idx="5">
                  <c:v>0</c:v>
                </c:pt>
                <c:pt idx="6">
                  <c:v>4.1666666666666741E-2</c:v>
                </c:pt>
                <c:pt idx="7">
                  <c:v>4.0000000000000036E-2</c:v>
                </c:pt>
                <c:pt idx="8">
                  <c:v>3.8461538461538547E-2</c:v>
                </c:pt>
                <c:pt idx="9">
                  <c:v>3.7037037037036979E-2</c:v>
                </c:pt>
                <c:pt idx="10">
                  <c:v>3.5714285714285809E-2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9E-4D44-B3FB-B4224AE33407}"/>
            </c:ext>
          </c:extLst>
        </c:ser>
        <c:ser>
          <c:idx val="6"/>
          <c:order val="6"/>
          <c:tx>
            <c:strRef>
              <c:f>'3-Year Sales Forecast'!$Q$18</c:f>
              <c:strCache>
                <c:ptCount val="1"/>
                <c:pt idx="0">
                  <c:v>-33%</c:v>
                </c:pt>
              </c:strCache>
            </c:strRef>
          </c:tx>
          <c:spPr>
            <a:ln cmpd="sng">
              <a:solidFill>
                <a:srgbClr val="7496C6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Forecast'!$R$18:$AB$18</c:f>
              <c:numCache>
                <c:formatCode>0%</c:formatCode>
                <c:ptCount val="11"/>
                <c:pt idx="0">
                  <c:v>-0.25</c:v>
                </c:pt>
                <c:pt idx="1">
                  <c:v>0</c:v>
                </c:pt>
                <c:pt idx="2">
                  <c:v>0.16666666666666674</c:v>
                </c:pt>
                <c:pt idx="3">
                  <c:v>0</c:v>
                </c:pt>
                <c:pt idx="4">
                  <c:v>0.14285714285714279</c:v>
                </c:pt>
                <c:pt idx="5">
                  <c:v>0</c:v>
                </c:pt>
                <c:pt idx="6">
                  <c:v>0.125</c:v>
                </c:pt>
                <c:pt idx="7">
                  <c:v>0.11111111111111116</c:v>
                </c:pt>
                <c:pt idx="8">
                  <c:v>0.19999999999999996</c:v>
                </c:pt>
                <c:pt idx="9">
                  <c:v>0.16666666666666674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9E-4D44-B3FB-B4224AE33407}"/>
            </c:ext>
          </c:extLst>
        </c:ser>
        <c:ser>
          <c:idx val="7"/>
          <c:order val="7"/>
          <c:tx>
            <c:strRef>
              <c:f>'3-Year Sales Forecast'!$Q$19</c:f>
              <c:strCache>
                <c:ptCount val="1"/>
                <c:pt idx="0">
                  <c:v>0%</c:v>
                </c:pt>
              </c:strCache>
            </c:strRef>
          </c:tx>
          <c:spPr>
            <a:ln cmpd="sng">
              <a:solidFill>
                <a:srgbClr val="D38383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Forecast'!$R$19:$AB$19</c:f>
              <c:numCache>
                <c:formatCode>0%</c:formatCode>
                <c:ptCount val="11"/>
                <c:pt idx="0">
                  <c:v>-0.16666666666666663</c:v>
                </c:pt>
                <c:pt idx="1">
                  <c:v>0.19999999999999996</c:v>
                </c:pt>
                <c:pt idx="2">
                  <c:v>0.16666666666666674</c:v>
                </c:pt>
                <c:pt idx="3">
                  <c:v>0.14285714285714279</c:v>
                </c:pt>
                <c:pt idx="4">
                  <c:v>0.125</c:v>
                </c:pt>
                <c:pt idx="5">
                  <c:v>0.11111111111111116</c:v>
                </c:pt>
                <c:pt idx="6">
                  <c:v>-0.19999999999999996</c:v>
                </c:pt>
                <c:pt idx="7">
                  <c:v>0</c:v>
                </c:pt>
                <c:pt idx="8">
                  <c:v>-0.125</c:v>
                </c:pt>
                <c:pt idx="9">
                  <c:v>0</c:v>
                </c:pt>
                <c:pt idx="10">
                  <c:v>-7.1428571428571397E-2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9E-4D44-B3FB-B4224AE33407}"/>
            </c:ext>
          </c:extLst>
        </c:ser>
        <c:ser>
          <c:idx val="8"/>
          <c:order val="8"/>
          <c:tx>
            <c:strRef>
              <c:f>'3-Year Sales Forecast'!$AF$17</c:f>
              <c:strCache>
                <c:ptCount val="1"/>
                <c:pt idx="0">
                  <c:v>3%</c:v>
                </c:pt>
              </c:strCache>
            </c:strRef>
          </c:tx>
          <c:spPr>
            <a:ln cmpd="sng">
              <a:solidFill>
                <a:srgbClr val="EEA964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Forecast'!$AG$17:$AQ$17</c:f>
              <c:numCache>
                <c:formatCode>0%</c:formatCode>
                <c:ptCount val="11"/>
                <c:pt idx="0">
                  <c:v>-6.6666666666666652E-2</c:v>
                </c:pt>
                <c:pt idx="1">
                  <c:v>-7.1428571428571397E-2</c:v>
                </c:pt>
                <c:pt idx="2">
                  <c:v>0</c:v>
                </c:pt>
                <c:pt idx="3">
                  <c:v>3.8461538461538547E-2</c:v>
                </c:pt>
                <c:pt idx="4">
                  <c:v>3.7037037037036979E-2</c:v>
                </c:pt>
                <c:pt idx="5">
                  <c:v>0</c:v>
                </c:pt>
                <c:pt idx="6">
                  <c:v>3.5714285714285809E-2</c:v>
                </c:pt>
                <c:pt idx="7">
                  <c:v>3.4482758620689724E-2</c:v>
                </c:pt>
                <c:pt idx="8">
                  <c:v>6.6666666666666652E-2</c:v>
                </c:pt>
                <c:pt idx="9">
                  <c:v>6.25E-2</c:v>
                </c:pt>
                <c:pt idx="10">
                  <c:v>5.8823529411764719E-2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9E-4D44-B3FB-B4224AE33407}"/>
            </c:ext>
          </c:extLst>
        </c:ser>
        <c:ser>
          <c:idx val="9"/>
          <c:order val="9"/>
          <c:tx>
            <c:strRef>
              <c:f>'3-Year Sales Forecast'!$AF$18</c:f>
              <c:strCache>
                <c:ptCount val="1"/>
                <c:pt idx="0">
                  <c:v>-14%</c:v>
                </c:pt>
              </c:strCache>
            </c:strRef>
          </c:tx>
          <c:spPr>
            <a:ln cmpd="sng">
              <a:solidFill>
                <a:srgbClr val="A9947F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Forecast'!$AG$18:$AQ$18</c:f>
              <c:numCache>
                <c:formatCode>0%</c:formatCode>
                <c:ptCount val="11"/>
                <c:pt idx="0">
                  <c:v>-0.33333333333333337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0.11111111111111116</c:v>
                </c:pt>
                <c:pt idx="5">
                  <c:v>0</c:v>
                </c:pt>
                <c:pt idx="6">
                  <c:v>0.10000000000000009</c:v>
                </c:pt>
                <c:pt idx="7">
                  <c:v>9.0909090909090828E-2</c:v>
                </c:pt>
                <c:pt idx="8">
                  <c:v>0.16666666666666674</c:v>
                </c:pt>
                <c:pt idx="9">
                  <c:v>0.14285714285714279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9E-4D44-B3FB-B4224AE33407}"/>
            </c:ext>
          </c:extLst>
        </c:ser>
        <c:ser>
          <c:idx val="10"/>
          <c:order val="10"/>
          <c:tx>
            <c:strRef>
              <c:f>'3-Year Sales Forecast'!$AF$19</c:f>
              <c:strCache>
                <c:ptCount val="1"/>
                <c:pt idx="0">
                  <c:v>0%</c:v>
                </c:pt>
              </c:strCache>
            </c:strRef>
          </c:tx>
          <c:spPr>
            <a:ln cmpd="sng">
              <a:solidFill>
                <a:srgbClr val="67C467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Forecast'!$AG$19:$AQ$19</c:f>
              <c:numCache>
                <c:formatCode>0%</c:formatCode>
                <c:ptCount val="11"/>
                <c:pt idx="0">
                  <c:v>7.6923076923076872E-2</c:v>
                </c:pt>
                <c:pt idx="1">
                  <c:v>0.14285714285714279</c:v>
                </c:pt>
                <c:pt idx="2">
                  <c:v>0.125</c:v>
                </c:pt>
                <c:pt idx="3">
                  <c:v>0.11111111111111116</c:v>
                </c:pt>
                <c:pt idx="4">
                  <c:v>0.10000000000000009</c:v>
                </c:pt>
                <c:pt idx="5">
                  <c:v>9.0909090909090828E-2</c:v>
                </c:pt>
                <c:pt idx="6">
                  <c:v>-0.16666666666666663</c:v>
                </c:pt>
                <c:pt idx="7">
                  <c:v>0</c:v>
                </c:pt>
                <c:pt idx="8">
                  <c:v>-9.9999999999999978E-2</c:v>
                </c:pt>
                <c:pt idx="9">
                  <c:v>0</c:v>
                </c:pt>
                <c:pt idx="10">
                  <c:v>-5.555555555555558E-2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9E-4D44-B3FB-B4224AE33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959369"/>
        <c:axId val="588589371"/>
      </c:lineChart>
      <c:dateAx>
        <c:axId val="456959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589371"/>
        <c:crosses val="autoZero"/>
        <c:auto val="1"/>
        <c:lblOffset val="100"/>
        <c:baseTimeUnit val="months"/>
      </c:dateAx>
      <c:valAx>
        <c:axId val="588589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95936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2273671715088841"/>
          <c:y val="0.9126546681664792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3-Year Units Sold</a:t>
            </a:r>
          </a:p>
        </c:rich>
      </c:tx>
      <c:layout>
        <c:manualLayout>
          <c:xMode val="edge"/>
          <c:yMode val="edge"/>
          <c:x val="0.41031343383540991"/>
          <c:y val="3.944577075955919E-3"/>
        </c:manualLayout>
      </c:layout>
      <c:overlay val="0"/>
    </c:title>
    <c:autoTitleDeleted val="0"/>
    <c:plotArea>
      <c:layout>
        <c:manualLayout>
          <c:xMode val="edge"/>
          <c:yMode val="edge"/>
          <c:x val="5.6971602862516922E-2"/>
          <c:y val="0.10078853046594985"/>
          <c:w val="0.92408901860397397"/>
          <c:h val="0.59792848474585836"/>
        </c:manualLayout>
      </c:layout>
      <c:lineChart>
        <c:grouping val="standard"/>
        <c:varyColors val="1"/>
        <c:ser>
          <c:idx val="0"/>
          <c:order val="0"/>
          <c:tx>
            <c:v>Product/Service A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</c:formatCode>
                <c:ptCount val="36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  <c:pt idx="12">
                  <c:v>44942</c:v>
                </c:pt>
                <c:pt idx="13">
                  <c:v>44973</c:v>
                </c:pt>
                <c:pt idx="14">
                  <c:v>45001</c:v>
                </c:pt>
                <c:pt idx="15">
                  <c:v>45032</c:v>
                </c:pt>
                <c:pt idx="16">
                  <c:v>45062</c:v>
                </c:pt>
                <c:pt idx="17">
                  <c:v>45093</c:v>
                </c:pt>
                <c:pt idx="18">
                  <c:v>45123</c:v>
                </c:pt>
                <c:pt idx="19">
                  <c:v>45154</c:v>
                </c:pt>
                <c:pt idx="20">
                  <c:v>45185</c:v>
                </c:pt>
                <c:pt idx="21">
                  <c:v>45215</c:v>
                </c:pt>
                <c:pt idx="22">
                  <c:v>45246</c:v>
                </c:pt>
                <c:pt idx="23">
                  <c:v>45276</c:v>
                </c:pt>
                <c:pt idx="24">
                  <c:v>45307</c:v>
                </c:pt>
                <c:pt idx="25">
                  <c:v>45338</c:v>
                </c:pt>
                <c:pt idx="26">
                  <c:v>45367</c:v>
                </c:pt>
                <c:pt idx="27">
                  <c:v>45398</c:v>
                </c:pt>
                <c:pt idx="28">
                  <c:v>45428</c:v>
                </c:pt>
                <c:pt idx="29">
                  <c:v>45459</c:v>
                </c:pt>
                <c:pt idx="30">
                  <c:v>45489</c:v>
                </c:pt>
                <c:pt idx="31">
                  <c:v>45520</c:v>
                </c:pt>
                <c:pt idx="32">
                  <c:v>45551</c:v>
                </c:pt>
                <c:pt idx="33">
                  <c:v>45581</c:v>
                </c:pt>
                <c:pt idx="34">
                  <c:v>45612</c:v>
                </c:pt>
                <c:pt idx="35">
                  <c:v>45642</c:v>
                </c:pt>
              </c:numCache>
            </c:numRef>
          </c:cat>
          <c:val>
            <c:numRef>
              <c:f>('3-Year Sales Forecast'!$B$7:$M$7,'3-Year Sales Forecast'!$Q$7:$AB$7,'3-Year Sales Forecast'!$AF$7:$AQ$7)</c:f>
              <c:numCache>
                <c:formatCode>0</c:formatCode>
                <c:ptCount val="36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550</c:v>
                </c:pt>
                <c:pt idx="5">
                  <c:v>525</c:v>
                </c:pt>
                <c:pt idx="6">
                  <c:v>525</c:v>
                </c:pt>
                <c:pt idx="7">
                  <c:v>550</c:v>
                </c:pt>
                <c:pt idx="8">
                  <c:v>575</c:v>
                </c:pt>
                <c:pt idx="9">
                  <c:v>600</c:v>
                </c:pt>
                <c:pt idx="10">
                  <c:v>650</c:v>
                </c:pt>
                <c:pt idx="11">
                  <c:v>650</c:v>
                </c:pt>
                <c:pt idx="12">
                  <c:v>625</c:v>
                </c:pt>
                <c:pt idx="13">
                  <c:v>600</c:v>
                </c:pt>
                <c:pt idx="14">
                  <c:v>575</c:v>
                </c:pt>
                <c:pt idx="15">
                  <c:v>550</c:v>
                </c:pt>
                <c:pt idx="16">
                  <c:v>575</c:v>
                </c:pt>
                <c:pt idx="17">
                  <c:v>600</c:v>
                </c:pt>
                <c:pt idx="18">
                  <c:v>600</c:v>
                </c:pt>
                <c:pt idx="19">
                  <c:v>625</c:v>
                </c:pt>
                <c:pt idx="20">
                  <c:v>650</c:v>
                </c:pt>
                <c:pt idx="21">
                  <c:v>675</c:v>
                </c:pt>
                <c:pt idx="22">
                  <c:v>700</c:v>
                </c:pt>
                <c:pt idx="23">
                  <c:v>725</c:v>
                </c:pt>
                <c:pt idx="24">
                  <c:v>750</c:v>
                </c:pt>
                <c:pt idx="25">
                  <c:v>700</c:v>
                </c:pt>
                <c:pt idx="26">
                  <c:v>650</c:v>
                </c:pt>
                <c:pt idx="27">
                  <c:v>650</c:v>
                </c:pt>
                <c:pt idx="28">
                  <c:v>675</c:v>
                </c:pt>
                <c:pt idx="29">
                  <c:v>700</c:v>
                </c:pt>
                <c:pt idx="30">
                  <c:v>700</c:v>
                </c:pt>
                <c:pt idx="31">
                  <c:v>725</c:v>
                </c:pt>
                <c:pt idx="32">
                  <c:v>750</c:v>
                </c:pt>
                <c:pt idx="33">
                  <c:v>800</c:v>
                </c:pt>
                <c:pt idx="34">
                  <c:v>850</c:v>
                </c:pt>
                <c:pt idx="35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A-47F6-A9E6-808336C4C10C}"/>
            </c:ext>
          </c:extLst>
        </c:ser>
        <c:ser>
          <c:idx val="1"/>
          <c:order val="1"/>
          <c:tx>
            <c:v>Product/Service B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</c:formatCode>
                <c:ptCount val="36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  <c:pt idx="12">
                  <c:v>44942</c:v>
                </c:pt>
                <c:pt idx="13">
                  <c:v>44973</c:v>
                </c:pt>
                <c:pt idx="14">
                  <c:v>45001</c:v>
                </c:pt>
                <c:pt idx="15">
                  <c:v>45032</c:v>
                </c:pt>
                <c:pt idx="16">
                  <c:v>45062</c:v>
                </c:pt>
                <c:pt idx="17">
                  <c:v>45093</c:v>
                </c:pt>
                <c:pt idx="18">
                  <c:v>45123</c:v>
                </c:pt>
                <c:pt idx="19">
                  <c:v>45154</c:v>
                </c:pt>
                <c:pt idx="20">
                  <c:v>45185</c:v>
                </c:pt>
                <c:pt idx="21">
                  <c:v>45215</c:v>
                </c:pt>
                <c:pt idx="22">
                  <c:v>45246</c:v>
                </c:pt>
                <c:pt idx="23">
                  <c:v>45276</c:v>
                </c:pt>
                <c:pt idx="24">
                  <c:v>45307</c:v>
                </c:pt>
                <c:pt idx="25">
                  <c:v>45338</c:v>
                </c:pt>
                <c:pt idx="26">
                  <c:v>45367</c:v>
                </c:pt>
                <c:pt idx="27">
                  <c:v>45398</c:v>
                </c:pt>
                <c:pt idx="28">
                  <c:v>45428</c:v>
                </c:pt>
                <c:pt idx="29">
                  <c:v>45459</c:v>
                </c:pt>
                <c:pt idx="30">
                  <c:v>45489</c:v>
                </c:pt>
                <c:pt idx="31">
                  <c:v>45520</c:v>
                </c:pt>
                <c:pt idx="32">
                  <c:v>45551</c:v>
                </c:pt>
                <c:pt idx="33">
                  <c:v>45581</c:v>
                </c:pt>
                <c:pt idx="34">
                  <c:v>45612</c:v>
                </c:pt>
                <c:pt idx="35">
                  <c:v>45642</c:v>
                </c:pt>
              </c:numCache>
            </c:numRef>
          </c:cat>
          <c:val>
            <c:numRef>
              <c:f>('3-Year Sales Forecast'!$B$8:$M$8,'3-Year Sales Forecast'!$Q$8:$AB$8,'3-Year Sales Forecast'!$AF$8:$AQ$8)</c:f>
              <c:numCache>
                <c:formatCode>0</c:formatCode>
                <c:ptCount val="36"/>
                <c:pt idx="0">
                  <c:v>1500</c:v>
                </c:pt>
                <c:pt idx="1">
                  <c:v>1000</c:v>
                </c:pt>
                <c:pt idx="2">
                  <c:v>1000</c:v>
                </c:pt>
                <c:pt idx="3">
                  <c:v>1250</c:v>
                </c:pt>
                <c:pt idx="4">
                  <c:v>1250</c:v>
                </c:pt>
                <c:pt idx="5">
                  <c:v>1500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2500</c:v>
                </c:pt>
                <c:pt idx="10">
                  <c:v>3000</c:v>
                </c:pt>
                <c:pt idx="11">
                  <c:v>3000</c:v>
                </c:pt>
                <c:pt idx="12">
                  <c:v>2000</c:v>
                </c:pt>
                <c:pt idx="13">
                  <c:v>1500</c:v>
                </c:pt>
                <c:pt idx="14">
                  <c:v>1500</c:v>
                </c:pt>
                <c:pt idx="15">
                  <c:v>1750</c:v>
                </c:pt>
                <c:pt idx="16">
                  <c:v>1750</c:v>
                </c:pt>
                <c:pt idx="17">
                  <c:v>2000</c:v>
                </c:pt>
                <c:pt idx="18">
                  <c:v>2000</c:v>
                </c:pt>
                <c:pt idx="19">
                  <c:v>2250</c:v>
                </c:pt>
                <c:pt idx="20">
                  <c:v>2500</c:v>
                </c:pt>
                <c:pt idx="21">
                  <c:v>3000</c:v>
                </c:pt>
                <c:pt idx="22">
                  <c:v>3500</c:v>
                </c:pt>
                <c:pt idx="23">
                  <c:v>3500</c:v>
                </c:pt>
                <c:pt idx="24">
                  <c:v>3000</c:v>
                </c:pt>
                <c:pt idx="25">
                  <c:v>2000</c:v>
                </c:pt>
                <c:pt idx="26">
                  <c:v>2000</c:v>
                </c:pt>
                <c:pt idx="27">
                  <c:v>2250</c:v>
                </c:pt>
                <c:pt idx="28">
                  <c:v>2250</c:v>
                </c:pt>
                <c:pt idx="29">
                  <c:v>2500</c:v>
                </c:pt>
                <c:pt idx="30">
                  <c:v>2500</c:v>
                </c:pt>
                <c:pt idx="31">
                  <c:v>2750</c:v>
                </c:pt>
                <c:pt idx="32">
                  <c:v>3000</c:v>
                </c:pt>
                <c:pt idx="33">
                  <c:v>3500</c:v>
                </c:pt>
                <c:pt idx="34">
                  <c:v>4000</c:v>
                </c:pt>
                <c:pt idx="35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A-47F6-A9E6-808336C4C10C}"/>
            </c:ext>
          </c:extLst>
        </c:ser>
        <c:ser>
          <c:idx val="2"/>
          <c:order val="2"/>
          <c:tx>
            <c:v>Product/Service C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</c:formatCode>
                <c:ptCount val="36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  <c:pt idx="12">
                  <c:v>44942</c:v>
                </c:pt>
                <c:pt idx="13">
                  <c:v>44973</c:v>
                </c:pt>
                <c:pt idx="14">
                  <c:v>45001</c:v>
                </c:pt>
                <c:pt idx="15">
                  <c:v>45032</c:v>
                </c:pt>
                <c:pt idx="16">
                  <c:v>45062</c:v>
                </c:pt>
                <c:pt idx="17">
                  <c:v>45093</c:v>
                </c:pt>
                <c:pt idx="18">
                  <c:v>45123</c:v>
                </c:pt>
                <c:pt idx="19">
                  <c:v>45154</c:v>
                </c:pt>
                <c:pt idx="20">
                  <c:v>45185</c:v>
                </c:pt>
                <c:pt idx="21">
                  <c:v>45215</c:v>
                </c:pt>
                <c:pt idx="22">
                  <c:v>45246</c:v>
                </c:pt>
                <c:pt idx="23">
                  <c:v>45276</c:v>
                </c:pt>
                <c:pt idx="24">
                  <c:v>45307</c:v>
                </c:pt>
                <c:pt idx="25">
                  <c:v>45338</c:v>
                </c:pt>
                <c:pt idx="26">
                  <c:v>45367</c:v>
                </c:pt>
                <c:pt idx="27">
                  <c:v>45398</c:v>
                </c:pt>
                <c:pt idx="28">
                  <c:v>45428</c:v>
                </c:pt>
                <c:pt idx="29">
                  <c:v>45459</c:v>
                </c:pt>
                <c:pt idx="30">
                  <c:v>45489</c:v>
                </c:pt>
                <c:pt idx="31">
                  <c:v>45520</c:v>
                </c:pt>
                <c:pt idx="32">
                  <c:v>45551</c:v>
                </c:pt>
                <c:pt idx="33">
                  <c:v>45581</c:v>
                </c:pt>
                <c:pt idx="34">
                  <c:v>45612</c:v>
                </c:pt>
                <c:pt idx="35">
                  <c:v>45642</c:v>
                </c:pt>
              </c:numCache>
            </c:numRef>
          </c:cat>
          <c:val>
            <c:numRef>
              <c:f>('3-Year Sales Forecast'!$B$9:$M$9,'3-Year Sales Forecast'!$Q$9:$AB$9,'3-Year Sales Forecast'!$AF$9:$AQ$9)</c:f>
              <c:numCache>
                <c:formatCode>0</c:formatCode>
                <c:ptCount val="3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400</c:v>
                </c:pt>
                <c:pt idx="7">
                  <c:v>350</c:v>
                </c:pt>
                <c:pt idx="8">
                  <c:v>350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250</c:v>
                </c:pt>
                <c:pt idx="14">
                  <c:v>300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400</c:v>
                </c:pt>
                <c:pt idx="20">
                  <c:v>400</c:v>
                </c:pt>
                <c:pt idx="21">
                  <c:v>350</c:v>
                </c:pt>
                <c:pt idx="22">
                  <c:v>350</c:v>
                </c:pt>
                <c:pt idx="23">
                  <c:v>325</c:v>
                </c:pt>
                <c:pt idx="24">
                  <c:v>325</c:v>
                </c:pt>
                <c:pt idx="25">
                  <c:v>350</c:v>
                </c:pt>
                <c:pt idx="26">
                  <c:v>400</c:v>
                </c:pt>
                <c:pt idx="27">
                  <c:v>450</c:v>
                </c:pt>
                <c:pt idx="28">
                  <c:v>500</c:v>
                </c:pt>
                <c:pt idx="29">
                  <c:v>550</c:v>
                </c:pt>
                <c:pt idx="30">
                  <c:v>600</c:v>
                </c:pt>
                <c:pt idx="31">
                  <c:v>500</c:v>
                </c:pt>
                <c:pt idx="32">
                  <c:v>500</c:v>
                </c:pt>
                <c:pt idx="33">
                  <c:v>450</c:v>
                </c:pt>
                <c:pt idx="34">
                  <c:v>450</c:v>
                </c:pt>
                <c:pt idx="35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BA-47F6-A9E6-808336C4C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515517"/>
        <c:axId val="50202900"/>
      </c:lineChart>
      <c:dateAx>
        <c:axId val="2098515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2900"/>
        <c:crosses val="autoZero"/>
        <c:auto val="1"/>
        <c:lblOffset val="100"/>
        <c:baseTimeUnit val="months"/>
      </c:dateAx>
      <c:valAx>
        <c:axId val="50202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85155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Year 1: Revenue</a:t>
            </a:r>
          </a:p>
        </c:rich>
      </c:tx>
      <c:layout>
        <c:manualLayout>
          <c:xMode val="edge"/>
          <c:yMode val="edge"/>
          <c:x val="0.33286486964664097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0.1642440918355737"/>
          <c:y val="0.12706729927609836"/>
          <c:w val="0.79689345149523094"/>
          <c:h val="0.56792810606660804"/>
        </c:manualLayout>
      </c:layout>
      <c:barChart>
        <c:barDir val="col"/>
        <c:grouping val="clustered"/>
        <c:varyColors val="1"/>
        <c:ser>
          <c:idx val="0"/>
          <c:order val="0"/>
          <c:tx>
            <c:v>Product/Service 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Forecast'!$B$22:$M$22</c:f>
              <c:numCache>
                <c:formatCode>"$"#,##0_);[Red]\("$"#,##0\)</c:formatCode>
                <c:ptCount val="12"/>
                <c:pt idx="0">
                  <c:v>9995</c:v>
                </c:pt>
                <c:pt idx="1">
                  <c:v>10494.75</c:v>
                </c:pt>
                <c:pt idx="2">
                  <c:v>10994.5</c:v>
                </c:pt>
                <c:pt idx="3">
                  <c:v>11494.25</c:v>
                </c:pt>
                <c:pt idx="4">
                  <c:v>10994.5</c:v>
                </c:pt>
                <c:pt idx="5">
                  <c:v>10494.75</c:v>
                </c:pt>
                <c:pt idx="6">
                  <c:v>10494.75</c:v>
                </c:pt>
                <c:pt idx="7">
                  <c:v>10994.5</c:v>
                </c:pt>
                <c:pt idx="8">
                  <c:v>11494.25</c:v>
                </c:pt>
                <c:pt idx="9">
                  <c:v>11993.999999999998</c:v>
                </c:pt>
                <c:pt idx="10">
                  <c:v>12993.499999999998</c:v>
                </c:pt>
                <c:pt idx="11">
                  <c:v>12993.499999999998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54-4A9F-9575-1698DED6D54A}"/>
            </c:ext>
          </c:extLst>
        </c:ser>
        <c:ser>
          <c:idx val="1"/>
          <c:order val="1"/>
          <c:tx>
            <c:v>Product/Service B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Forecast'!$B$23:$M$23</c:f>
              <c:numCache>
                <c:formatCode>"$"#,##0_);[Red]\("$"#,##0\)</c:formatCode>
                <c:ptCount val="12"/>
                <c:pt idx="0">
                  <c:v>22485</c:v>
                </c:pt>
                <c:pt idx="1">
                  <c:v>14990</c:v>
                </c:pt>
                <c:pt idx="2">
                  <c:v>14990</c:v>
                </c:pt>
                <c:pt idx="3">
                  <c:v>18737.5</c:v>
                </c:pt>
                <c:pt idx="4">
                  <c:v>18737.5</c:v>
                </c:pt>
                <c:pt idx="5">
                  <c:v>22485</c:v>
                </c:pt>
                <c:pt idx="6">
                  <c:v>22485</c:v>
                </c:pt>
                <c:pt idx="7">
                  <c:v>26232.5</c:v>
                </c:pt>
                <c:pt idx="8">
                  <c:v>29980</c:v>
                </c:pt>
                <c:pt idx="9">
                  <c:v>37475</c:v>
                </c:pt>
                <c:pt idx="10">
                  <c:v>44970</c:v>
                </c:pt>
                <c:pt idx="11">
                  <c:v>44970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D54-4A9F-9575-1698DED6D54A}"/>
            </c:ext>
          </c:extLst>
        </c:ser>
        <c:ser>
          <c:idx val="2"/>
          <c:order val="2"/>
          <c:tx>
            <c:v>Product/Service C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Forecast'!$B$24:$M$24</c:f>
              <c:numCache>
                <c:formatCode>"$"#,##0_);[Red]\("$"#,##0\)</c:formatCode>
                <c:ptCount val="12"/>
                <c:pt idx="0">
                  <c:v>7498.5</c:v>
                </c:pt>
                <c:pt idx="1">
                  <c:v>9998</c:v>
                </c:pt>
                <c:pt idx="2">
                  <c:v>12497.5</c:v>
                </c:pt>
                <c:pt idx="3">
                  <c:v>14997</c:v>
                </c:pt>
                <c:pt idx="4">
                  <c:v>17496.5</c:v>
                </c:pt>
                <c:pt idx="5">
                  <c:v>19996</c:v>
                </c:pt>
                <c:pt idx="6">
                  <c:v>19996</c:v>
                </c:pt>
                <c:pt idx="7">
                  <c:v>17496.5</c:v>
                </c:pt>
                <c:pt idx="8">
                  <c:v>17496.5</c:v>
                </c:pt>
                <c:pt idx="9">
                  <c:v>14997</c:v>
                </c:pt>
                <c:pt idx="10">
                  <c:v>14997</c:v>
                </c:pt>
                <c:pt idx="11">
                  <c:v>14997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D54-4A9F-9575-1698DED6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33615"/>
        <c:axId val="1183403378"/>
      </c:barChart>
      <c:dateAx>
        <c:axId val="19933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3403378"/>
        <c:crosses val="autoZero"/>
        <c:auto val="1"/>
        <c:lblOffset val="100"/>
        <c:baseTimeUnit val="months"/>
      </c:dateAx>
      <c:valAx>
        <c:axId val="1183403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3361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0715169349344552E-3"/>
          <c:y val="0.8983273739576627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3-Year Gross Profit</a:t>
            </a:r>
          </a:p>
        </c:rich>
      </c:tx>
      <c:layout>
        <c:manualLayout>
          <c:xMode val="edge"/>
          <c:yMode val="edge"/>
          <c:x val="0.40414944903581268"/>
          <c:y val="4.3820609380349207E-3"/>
        </c:manualLayout>
      </c:layout>
      <c:overlay val="0"/>
    </c:title>
    <c:autoTitleDeleted val="0"/>
    <c:plotArea>
      <c:layout>
        <c:manualLayout>
          <c:xMode val="edge"/>
          <c:yMode val="edge"/>
          <c:x val="8.0043410121255501E-2"/>
          <c:y val="9.1230585424133828E-2"/>
          <c:w val="0.90101719593935059"/>
          <c:h val="0.60748642978767442"/>
        </c:manualLayout>
      </c:layout>
      <c:lineChart>
        <c:grouping val="standard"/>
        <c:varyColors val="1"/>
        <c:ser>
          <c:idx val="0"/>
          <c:order val="0"/>
          <c:tx>
            <c:v>Product/Service A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Forecast'!$R$6:$AB$6</c:f>
              <c:numCache>
                <c:formatCode>[$-409]mmm\-yy</c:formatCode>
                <c:ptCount val="11"/>
                <c:pt idx="0">
                  <c:v>44973</c:v>
                </c:pt>
                <c:pt idx="1">
                  <c:v>45001</c:v>
                </c:pt>
                <c:pt idx="2">
                  <c:v>45032</c:v>
                </c:pt>
                <c:pt idx="3">
                  <c:v>45062</c:v>
                </c:pt>
                <c:pt idx="4">
                  <c:v>45093</c:v>
                </c:pt>
                <c:pt idx="5">
                  <c:v>45123</c:v>
                </c:pt>
                <c:pt idx="6">
                  <c:v>45154</c:v>
                </c:pt>
                <c:pt idx="7">
                  <c:v>45185</c:v>
                </c:pt>
                <c:pt idx="8">
                  <c:v>45215</c:v>
                </c:pt>
                <c:pt idx="9">
                  <c:v>45246</c:v>
                </c:pt>
                <c:pt idx="10">
                  <c:v>45276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4-41A9-B6D6-92836742817B}"/>
            </c:ext>
          </c:extLst>
        </c:ser>
        <c:ser>
          <c:idx val="1"/>
          <c:order val="1"/>
          <c:tx>
            <c:v>Product/Service B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Forecast'!$AG$6:$AQ$6</c:f>
              <c:numCache>
                <c:formatCode>[$-409]mmm\-yy</c:formatCode>
                <c:ptCount val="11"/>
                <c:pt idx="0">
                  <c:v>45338</c:v>
                </c:pt>
                <c:pt idx="1">
                  <c:v>45367</c:v>
                </c:pt>
                <c:pt idx="2">
                  <c:v>45398</c:v>
                </c:pt>
                <c:pt idx="3">
                  <c:v>45428</c:v>
                </c:pt>
                <c:pt idx="4">
                  <c:v>45459</c:v>
                </c:pt>
                <c:pt idx="5">
                  <c:v>45489</c:v>
                </c:pt>
                <c:pt idx="6">
                  <c:v>45520</c:v>
                </c:pt>
                <c:pt idx="7">
                  <c:v>45551</c:v>
                </c:pt>
                <c:pt idx="8">
                  <c:v>45581</c:v>
                </c:pt>
                <c:pt idx="9">
                  <c:v>45612</c:v>
                </c:pt>
                <c:pt idx="10">
                  <c:v>45642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4-41A9-B6D6-92836742817B}"/>
            </c:ext>
          </c:extLst>
        </c:ser>
        <c:ser>
          <c:idx val="2"/>
          <c:order val="2"/>
          <c:tx>
            <c:v>Product/Service C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Forecast'!$B$38:$M$38</c:f>
              <c:numCache>
                <c:formatCode>"$"#,##0_);[Red]\("$"#,##0\)</c:formatCode>
                <c:ptCount val="12"/>
                <c:pt idx="0">
                  <c:v>7744.9999999999991</c:v>
                </c:pt>
                <c:pt idx="1">
                  <c:v>8132.2499999999991</c:v>
                </c:pt>
                <c:pt idx="2">
                  <c:v>8519.5</c:v>
                </c:pt>
                <c:pt idx="3">
                  <c:v>8906.75</c:v>
                </c:pt>
                <c:pt idx="4">
                  <c:v>8519.5</c:v>
                </c:pt>
                <c:pt idx="5">
                  <c:v>8132.2499999999991</c:v>
                </c:pt>
                <c:pt idx="6">
                  <c:v>8132.2499999999991</c:v>
                </c:pt>
                <c:pt idx="7">
                  <c:v>8519.5</c:v>
                </c:pt>
                <c:pt idx="8">
                  <c:v>8906.75</c:v>
                </c:pt>
                <c:pt idx="9">
                  <c:v>9593.9999999999982</c:v>
                </c:pt>
                <c:pt idx="10">
                  <c:v>10393.499999999998</c:v>
                </c:pt>
                <c:pt idx="11">
                  <c:v>10393.499999999998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4-41A9-B6D6-92836742817B}"/>
            </c:ext>
          </c:extLst>
        </c:ser>
        <c:ser>
          <c:idx val="3"/>
          <c:order val="3"/>
          <c:tx>
            <c:strRef>
              <c:f>'3-Year Sales Forecast'!$A$39</c:f>
              <c:strCache>
                <c:ptCount val="1"/>
                <c:pt idx="0">
                  <c:v>Product/Service B</c:v>
                </c:pt>
              </c:strCache>
            </c:strRef>
          </c:tx>
          <c:spPr>
            <a:ln cmpd="sng">
              <a:solidFill>
                <a:srgbClr val="846648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Forecast'!$B$39:$M$39</c:f>
              <c:numCache>
                <c:formatCode>"$"#,##0_);[Red]\("$"#,##0\)</c:formatCode>
                <c:ptCount val="12"/>
                <c:pt idx="0">
                  <c:v>17835</c:v>
                </c:pt>
                <c:pt idx="1">
                  <c:v>11890</c:v>
                </c:pt>
                <c:pt idx="2">
                  <c:v>11890</c:v>
                </c:pt>
                <c:pt idx="3">
                  <c:v>14862.5</c:v>
                </c:pt>
                <c:pt idx="4">
                  <c:v>14862.5</c:v>
                </c:pt>
                <c:pt idx="5">
                  <c:v>17835</c:v>
                </c:pt>
                <c:pt idx="6">
                  <c:v>17835</c:v>
                </c:pt>
                <c:pt idx="7">
                  <c:v>20807.5</c:v>
                </c:pt>
                <c:pt idx="8">
                  <c:v>23780</c:v>
                </c:pt>
                <c:pt idx="9">
                  <c:v>29725</c:v>
                </c:pt>
                <c:pt idx="10">
                  <c:v>35670</c:v>
                </c:pt>
                <c:pt idx="11">
                  <c:v>35670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E4-41A9-B6D6-92836742817B}"/>
            </c:ext>
          </c:extLst>
        </c:ser>
        <c:ser>
          <c:idx val="4"/>
          <c:order val="4"/>
          <c:tx>
            <c:strRef>
              <c:f>'3-Year Sales Forecast'!$A$40</c:f>
              <c:strCache>
                <c:ptCount val="1"/>
                <c:pt idx="0">
                  <c:v>Product/Service C</c:v>
                </c:pt>
              </c:strCache>
            </c:strRef>
          </c:tx>
          <c:spPr>
            <a:ln cmpd="sng">
              <a:solidFill>
                <a:srgbClr val="26AA26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Forecast'!$B$40:$M$40</c:f>
              <c:numCache>
                <c:formatCode>"$"#,##0_);[Red]\("$"#,##0\)</c:formatCode>
                <c:ptCount val="12"/>
                <c:pt idx="0">
                  <c:v>7266.0000000000009</c:v>
                </c:pt>
                <c:pt idx="1">
                  <c:v>9688.0000000000018</c:v>
                </c:pt>
                <c:pt idx="2">
                  <c:v>12110.000000000002</c:v>
                </c:pt>
                <c:pt idx="3">
                  <c:v>14532.000000000002</c:v>
                </c:pt>
                <c:pt idx="4">
                  <c:v>16954</c:v>
                </c:pt>
                <c:pt idx="5">
                  <c:v>19376.000000000004</c:v>
                </c:pt>
                <c:pt idx="6">
                  <c:v>19376.000000000004</c:v>
                </c:pt>
                <c:pt idx="7">
                  <c:v>16954</c:v>
                </c:pt>
                <c:pt idx="8">
                  <c:v>16954</c:v>
                </c:pt>
                <c:pt idx="9">
                  <c:v>14532.000000000002</c:v>
                </c:pt>
                <c:pt idx="10">
                  <c:v>14532.000000000002</c:v>
                </c:pt>
                <c:pt idx="11">
                  <c:v>14532.000000000002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E4-41A9-B6D6-92836742817B}"/>
            </c:ext>
          </c:extLst>
        </c:ser>
        <c:ser>
          <c:idx val="5"/>
          <c:order val="5"/>
          <c:tx>
            <c:strRef>
              <c:f>'3-Year Sales Forecast'!$Q$38</c:f>
              <c:strCache>
                <c:ptCount val="1"/>
                <c:pt idx="0">
                  <c:v>$9,994 </c:v>
                </c:pt>
              </c:strCache>
            </c:strRef>
          </c:tx>
          <c:spPr>
            <a:ln cmpd="sng">
              <a:solidFill>
                <a:srgbClr val="7860B4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Forecast'!$R$38:$AB$38</c:f>
              <c:numCache>
                <c:formatCode>"$"#,##0_);[Red]\("$"#,##0\)</c:formatCode>
                <c:ptCount val="11"/>
                <c:pt idx="0">
                  <c:v>9593.9999999999982</c:v>
                </c:pt>
                <c:pt idx="1">
                  <c:v>8906.75</c:v>
                </c:pt>
                <c:pt idx="2">
                  <c:v>8519.5</c:v>
                </c:pt>
                <c:pt idx="3">
                  <c:v>8906.75</c:v>
                </c:pt>
                <c:pt idx="4">
                  <c:v>9593.9999999999982</c:v>
                </c:pt>
                <c:pt idx="5">
                  <c:v>9593.9999999999982</c:v>
                </c:pt>
                <c:pt idx="6">
                  <c:v>9993.7499999999982</c:v>
                </c:pt>
                <c:pt idx="7">
                  <c:v>10393.499999999998</c:v>
                </c:pt>
                <c:pt idx="8">
                  <c:v>10793.249999999998</c:v>
                </c:pt>
                <c:pt idx="9">
                  <c:v>11367.999999999998</c:v>
                </c:pt>
                <c:pt idx="10">
                  <c:v>11773.999999999998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E4-41A9-B6D6-92836742817B}"/>
            </c:ext>
          </c:extLst>
        </c:ser>
        <c:ser>
          <c:idx val="6"/>
          <c:order val="6"/>
          <c:tx>
            <c:strRef>
              <c:f>'3-Year Sales Forecast'!$Q$39</c:f>
              <c:strCache>
                <c:ptCount val="1"/>
                <c:pt idx="0">
                  <c:v>$23,780 </c:v>
                </c:pt>
              </c:strCache>
            </c:strRef>
          </c:tx>
          <c:spPr>
            <a:ln cmpd="sng">
              <a:solidFill>
                <a:srgbClr val="7496C6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Forecast'!$R$39:$AB$39</c:f>
              <c:numCache>
                <c:formatCode>"$"#,##0_);[Red]\("$"#,##0\)</c:formatCode>
                <c:ptCount val="11"/>
                <c:pt idx="0">
                  <c:v>17835</c:v>
                </c:pt>
                <c:pt idx="1">
                  <c:v>17835</c:v>
                </c:pt>
                <c:pt idx="2">
                  <c:v>20807.5</c:v>
                </c:pt>
                <c:pt idx="3">
                  <c:v>20807.5</c:v>
                </c:pt>
                <c:pt idx="4">
                  <c:v>23780</c:v>
                </c:pt>
                <c:pt idx="5">
                  <c:v>23780</c:v>
                </c:pt>
                <c:pt idx="6">
                  <c:v>26752.5</c:v>
                </c:pt>
                <c:pt idx="7">
                  <c:v>29725</c:v>
                </c:pt>
                <c:pt idx="8">
                  <c:v>36270</c:v>
                </c:pt>
                <c:pt idx="9">
                  <c:v>42315</c:v>
                </c:pt>
                <c:pt idx="10">
                  <c:v>42315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E4-41A9-B6D6-92836742817B}"/>
            </c:ext>
          </c:extLst>
        </c:ser>
        <c:ser>
          <c:idx val="7"/>
          <c:order val="7"/>
          <c:tx>
            <c:strRef>
              <c:f>'3-Year Sales Forecast'!$Q$40</c:f>
              <c:strCache>
                <c:ptCount val="1"/>
                <c:pt idx="0">
                  <c:v>$16,032 </c:v>
                </c:pt>
              </c:strCache>
            </c:strRef>
          </c:tx>
          <c:spPr>
            <a:ln cmpd="sng">
              <a:solidFill>
                <a:srgbClr val="D38383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Forecast'!$R$40:$AB$40</c:f>
              <c:numCache>
                <c:formatCode>"$"#,##0_);[Red]\("$"#,##0\)</c:formatCode>
                <c:ptCount val="11"/>
                <c:pt idx="0">
                  <c:v>13360.000000000002</c:v>
                </c:pt>
                <c:pt idx="1">
                  <c:v>16032.000000000002</c:v>
                </c:pt>
                <c:pt idx="2">
                  <c:v>18704</c:v>
                </c:pt>
                <c:pt idx="3">
                  <c:v>21376.000000000004</c:v>
                </c:pt>
                <c:pt idx="4">
                  <c:v>24048.000000000004</c:v>
                </c:pt>
                <c:pt idx="5">
                  <c:v>26945</c:v>
                </c:pt>
                <c:pt idx="6">
                  <c:v>21376.000000000004</c:v>
                </c:pt>
                <c:pt idx="7">
                  <c:v>21376.000000000004</c:v>
                </c:pt>
                <c:pt idx="8">
                  <c:v>18704</c:v>
                </c:pt>
                <c:pt idx="9">
                  <c:v>18704</c:v>
                </c:pt>
                <c:pt idx="10">
                  <c:v>17368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E4-41A9-B6D6-92836742817B}"/>
            </c:ext>
          </c:extLst>
        </c:ser>
        <c:ser>
          <c:idx val="8"/>
          <c:order val="8"/>
          <c:tx>
            <c:strRef>
              <c:f>'3-Year Sales Forecast'!$AF$38</c:f>
              <c:strCache>
                <c:ptCount val="1"/>
                <c:pt idx="0">
                  <c:v>$12,180 </c:v>
                </c:pt>
              </c:strCache>
            </c:strRef>
          </c:tx>
          <c:spPr>
            <a:ln cmpd="sng">
              <a:solidFill>
                <a:srgbClr val="EEA964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Forecast'!$AG$38:$AQ$38</c:f>
              <c:numCache>
                <c:formatCode>"$"#,##0_);[Red]\("$"#,##0\)</c:formatCode>
                <c:ptCount val="11"/>
                <c:pt idx="0">
                  <c:v>11367.999999999998</c:v>
                </c:pt>
                <c:pt idx="1">
                  <c:v>10393.499999999998</c:v>
                </c:pt>
                <c:pt idx="2">
                  <c:v>10393.499999999998</c:v>
                </c:pt>
                <c:pt idx="3">
                  <c:v>10793.249999999998</c:v>
                </c:pt>
                <c:pt idx="4">
                  <c:v>11367.999999999998</c:v>
                </c:pt>
                <c:pt idx="5">
                  <c:v>11367.999999999998</c:v>
                </c:pt>
                <c:pt idx="6">
                  <c:v>11773.999999999998</c:v>
                </c:pt>
                <c:pt idx="7">
                  <c:v>12179.999999999998</c:v>
                </c:pt>
                <c:pt idx="8">
                  <c:v>13191.999999999998</c:v>
                </c:pt>
                <c:pt idx="9">
                  <c:v>14016.499999999998</c:v>
                </c:pt>
                <c:pt idx="10">
                  <c:v>14840.999999999998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E4-41A9-B6D6-92836742817B}"/>
            </c:ext>
          </c:extLst>
        </c:ser>
        <c:ser>
          <c:idx val="9"/>
          <c:order val="9"/>
          <c:tx>
            <c:strRef>
              <c:f>'3-Year Sales Forecast'!$AF$39</c:f>
              <c:strCache>
                <c:ptCount val="1"/>
                <c:pt idx="0">
                  <c:v>$36,270 </c:v>
                </c:pt>
              </c:strCache>
            </c:strRef>
          </c:tx>
          <c:spPr>
            <a:ln cmpd="sng">
              <a:solidFill>
                <a:srgbClr val="A9947F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Forecast'!$AG$39:$AQ$39</c:f>
              <c:numCache>
                <c:formatCode>"$"#,##0_);[Red]\("$"#,##0\)</c:formatCode>
                <c:ptCount val="11"/>
                <c:pt idx="0">
                  <c:v>23780</c:v>
                </c:pt>
                <c:pt idx="1">
                  <c:v>23780</c:v>
                </c:pt>
                <c:pt idx="2">
                  <c:v>26752.5</c:v>
                </c:pt>
                <c:pt idx="3">
                  <c:v>26752.5</c:v>
                </c:pt>
                <c:pt idx="4">
                  <c:v>29725</c:v>
                </c:pt>
                <c:pt idx="5">
                  <c:v>29725</c:v>
                </c:pt>
                <c:pt idx="6">
                  <c:v>32697.5</c:v>
                </c:pt>
                <c:pt idx="7">
                  <c:v>36270</c:v>
                </c:pt>
                <c:pt idx="8">
                  <c:v>42315</c:v>
                </c:pt>
                <c:pt idx="9">
                  <c:v>48560</c:v>
                </c:pt>
                <c:pt idx="10">
                  <c:v>48560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E4-41A9-B6D6-92836742817B}"/>
            </c:ext>
          </c:extLst>
        </c:ser>
        <c:ser>
          <c:idx val="10"/>
          <c:order val="10"/>
          <c:tx>
            <c:strRef>
              <c:f>'3-Year Sales Forecast'!$AF$40</c:f>
              <c:strCache>
                <c:ptCount val="1"/>
                <c:pt idx="0">
                  <c:v>$18,993 </c:v>
                </c:pt>
              </c:strCache>
            </c:strRef>
          </c:tx>
          <c:spPr>
            <a:ln cmpd="sng">
              <a:solidFill>
                <a:srgbClr val="67C467"/>
              </a:solidFill>
            </a:ln>
          </c:spPr>
          <c:marker>
            <c:symbol val="none"/>
          </c:marker>
          <c:cat>
            <c:numRef>
              <c:f>'3-Year Sales Forecast'!$B$6:$M$6</c:f>
              <c:numCache>
                <c:formatCode>[$-409]mmm\-yy</c:formatCode>
                <c:ptCount val="12"/>
                <c:pt idx="0">
                  <c:v>44577</c:v>
                </c:pt>
                <c:pt idx="1">
                  <c:v>44608</c:v>
                </c:pt>
                <c:pt idx="2">
                  <c:v>44636</c:v>
                </c:pt>
                <c:pt idx="3">
                  <c:v>44667</c:v>
                </c:pt>
                <c:pt idx="4">
                  <c:v>44697</c:v>
                </c:pt>
                <c:pt idx="5">
                  <c:v>44728</c:v>
                </c:pt>
                <c:pt idx="6">
                  <c:v>44758</c:v>
                </c:pt>
                <c:pt idx="7">
                  <c:v>44789</c:v>
                </c:pt>
                <c:pt idx="8">
                  <c:v>44820</c:v>
                </c:pt>
                <c:pt idx="9">
                  <c:v>44850</c:v>
                </c:pt>
                <c:pt idx="10">
                  <c:v>44881</c:v>
                </c:pt>
                <c:pt idx="11">
                  <c:v>44911</c:v>
                </c:pt>
              </c:numCache>
            </c:numRef>
          </c:cat>
          <c:val>
            <c:numRef>
              <c:f>'3-Year Sales Forecast'!$AG$40:$AQ$40</c:f>
              <c:numCache>
                <c:formatCode>"$"#,##0_);[Red]\("$"#,##0\)</c:formatCode>
                <c:ptCount val="11"/>
                <c:pt idx="0">
                  <c:v>20454</c:v>
                </c:pt>
                <c:pt idx="1">
                  <c:v>23376.000000000004</c:v>
                </c:pt>
                <c:pt idx="2">
                  <c:v>26298.000000000004</c:v>
                </c:pt>
                <c:pt idx="3">
                  <c:v>29445</c:v>
                </c:pt>
                <c:pt idx="4">
                  <c:v>32389.5</c:v>
                </c:pt>
                <c:pt idx="5">
                  <c:v>35334</c:v>
                </c:pt>
                <c:pt idx="6">
                  <c:v>29445</c:v>
                </c:pt>
                <c:pt idx="7">
                  <c:v>29445</c:v>
                </c:pt>
                <c:pt idx="8">
                  <c:v>26298.000000000004</c:v>
                </c:pt>
                <c:pt idx="9">
                  <c:v>26298.000000000004</c:v>
                </c:pt>
                <c:pt idx="10">
                  <c:v>24837.000000000004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E4-41A9-B6D6-928367428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414772"/>
        <c:axId val="796911486"/>
      </c:lineChart>
      <c:dateAx>
        <c:axId val="1951414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911486"/>
        <c:crosses val="autoZero"/>
        <c:auto val="1"/>
        <c:lblOffset val="100"/>
        <c:baseTimeUnit val="months"/>
      </c:dateAx>
      <c:valAx>
        <c:axId val="796911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14147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2790178087243226"/>
          <c:y val="0.91536941034544594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600450" cy="2057400"/>
    <xdr:graphicFrame macro="">
      <xdr:nvGraphicFramePr>
        <xdr:cNvPr id="8883602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438150</xdr:colOff>
      <xdr:row>14</xdr:row>
      <xdr:rowOff>0</xdr:rowOff>
    </xdr:from>
    <xdr:ext cx="3609975" cy="2057400"/>
    <xdr:graphicFrame macro="">
      <xdr:nvGraphicFramePr>
        <xdr:cNvPr id="171567293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676275</xdr:colOff>
      <xdr:row>14</xdr:row>
      <xdr:rowOff>0</xdr:rowOff>
    </xdr:from>
    <xdr:ext cx="3133725" cy="2066925"/>
    <xdr:graphicFrame macro="">
      <xdr:nvGraphicFramePr>
        <xdr:cNvPr id="79843469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57</xdr:row>
      <xdr:rowOff>0</xdr:rowOff>
    </xdr:from>
    <xdr:ext cx="7439025" cy="2400300"/>
    <xdr:graphicFrame macro="">
      <xdr:nvGraphicFramePr>
        <xdr:cNvPr id="128449444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219075</xdr:colOff>
      <xdr:row>27</xdr:row>
      <xdr:rowOff>9525</xdr:rowOff>
    </xdr:from>
    <xdr:ext cx="7439025" cy="2390775"/>
    <xdr:graphicFrame macro="">
      <xdr:nvGraphicFramePr>
        <xdr:cNvPr id="27234857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6</xdr:col>
      <xdr:colOff>428625</xdr:colOff>
      <xdr:row>1</xdr:row>
      <xdr:rowOff>0</xdr:rowOff>
    </xdr:from>
    <xdr:ext cx="3629025" cy="2057400"/>
    <xdr:graphicFrame macro="">
      <xdr:nvGraphicFramePr>
        <xdr:cNvPr id="136241818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42</xdr:row>
      <xdr:rowOff>0</xdr:rowOff>
    </xdr:from>
    <xdr:ext cx="7439025" cy="2400300"/>
    <xdr:graphicFrame macro="">
      <xdr:nvGraphicFramePr>
        <xdr:cNvPr id="98559130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showGridLines="0" tabSelected="1" topLeftCell="A752" workbookViewId="0"/>
  </sheetViews>
  <sheetFormatPr defaultColWidth="12.625" defaultRowHeight="15" customHeight="1" x14ac:dyDescent="0.2"/>
  <cols>
    <col min="1" max="1" width="14.875" customWidth="1"/>
    <col min="2" max="13" width="7.5" customWidth="1"/>
    <col min="14" max="14" width="11.625" customWidth="1"/>
    <col min="15" max="15" width="2.125" customWidth="1"/>
    <col min="16" max="16" width="14.875" customWidth="1"/>
    <col min="17" max="28" width="7.5" customWidth="1"/>
    <col min="29" max="29" width="11.625" customWidth="1"/>
    <col min="30" max="30" width="2.125" customWidth="1"/>
    <col min="31" max="31" width="14.875" customWidth="1"/>
    <col min="32" max="43" width="7.5" customWidth="1"/>
    <col min="44" max="44" width="11.625" customWidth="1"/>
    <col min="45" max="45" width="2.125" customWidth="1"/>
    <col min="46" max="46" width="13.625" customWidth="1"/>
    <col min="47" max="48" width="11.625" customWidth="1"/>
    <col min="49" max="49" width="9" customWidth="1"/>
  </cols>
  <sheetData>
    <row r="1" spans="1:49" ht="37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"/>
      <c r="AU1" s="2"/>
      <c r="AV1" s="2"/>
      <c r="AW1" s="3"/>
    </row>
    <row r="2" spans="1:49" ht="18" customHeight="1" x14ac:dyDescent="0.2">
      <c r="A2" s="4"/>
      <c r="B2" s="5"/>
      <c r="C2" s="6" t="s">
        <v>1</v>
      </c>
      <c r="D2" s="75">
        <v>44577</v>
      </c>
      <c r="E2" s="76"/>
      <c r="F2" s="5"/>
      <c r="G2" s="7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8"/>
      <c r="AW2" s="3"/>
    </row>
    <row r="3" spans="1:49" ht="18" customHeight="1" x14ac:dyDescent="0.2">
      <c r="A3" s="5"/>
      <c r="B3" s="9" t="s">
        <v>3</v>
      </c>
      <c r="C3" s="10"/>
      <c r="D3" s="11"/>
      <c r="E3" s="10"/>
      <c r="F3" s="10"/>
      <c r="G3" s="12" t="s">
        <v>4</v>
      </c>
      <c r="H3" s="10"/>
      <c r="I3" s="10"/>
      <c r="J3" s="10"/>
      <c r="K3" s="10"/>
      <c r="L3" s="10"/>
      <c r="M3" s="13" t="s">
        <v>5</v>
      </c>
      <c r="N3" s="5"/>
      <c r="O3" s="9" t="s">
        <v>3</v>
      </c>
      <c r="P3" s="11"/>
      <c r="Q3" s="12" t="s">
        <v>6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3" t="s">
        <v>5</v>
      </c>
      <c r="AC3" s="5"/>
      <c r="AD3" s="9" t="s">
        <v>3</v>
      </c>
      <c r="AE3" s="11"/>
      <c r="AF3" s="12" t="s">
        <v>6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3" t="s">
        <v>5</v>
      </c>
      <c r="AR3" s="5"/>
      <c r="AS3" s="9" t="s">
        <v>3</v>
      </c>
      <c r="AT3" s="13" t="s">
        <v>5</v>
      </c>
      <c r="AU3" s="5"/>
      <c r="AV3" s="8"/>
      <c r="AW3" s="3"/>
    </row>
    <row r="4" spans="1:49" ht="26.25" customHeight="1" x14ac:dyDescent="0.2">
      <c r="A4" s="14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4" t="s">
        <v>8</v>
      </c>
      <c r="Q4" s="1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4" t="s">
        <v>9</v>
      </c>
      <c r="AF4" s="14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14" t="s">
        <v>10</v>
      </c>
      <c r="AU4" s="3"/>
      <c r="AV4" s="3"/>
      <c r="AW4" s="3"/>
    </row>
    <row r="5" spans="1:49" ht="13.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 t="s">
        <v>11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 t="s">
        <v>12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6" t="s">
        <v>13</v>
      </c>
      <c r="AS5" s="15"/>
      <c r="AT5" s="15"/>
      <c r="AU5" s="17" t="s">
        <v>14</v>
      </c>
      <c r="AV5" s="17" t="s">
        <v>15</v>
      </c>
      <c r="AW5" s="15"/>
    </row>
    <row r="6" spans="1:49" ht="15" customHeight="1" x14ac:dyDescent="0.2">
      <c r="A6" s="18" t="s">
        <v>16</v>
      </c>
      <c r="B6" s="19">
        <f>D2</f>
        <v>44577</v>
      </c>
      <c r="C6" s="19">
        <f t="shared" ref="C6:M6" si="0">EDATE(B6,1)</f>
        <v>44608</v>
      </c>
      <c r="D6" s="19">
        <f t="shared" si="0"/>
        <v>44636</v>
      </c>
      <c r="E6" s="19">
        <f t="shared" si="0"/>
        <v>44667</v>
      </c>
      <c r="F6" s="19">
        <f t="shared" si="0"/>
        <v>44697</v>
      </c>
      <c r="G6" s="19">
        <f t="shared" si="0"/>
        <v>44728</v>
      </c>
      <c r="H6" s="19">
        <f t="shared" si="0"/>
        <v>44758</v>
      </c>
      <c r="I6" s="19">
        <f t="shared" si="0"/>
        <v>44789</v>
      </c>
      <c r="J6" s="19">
        <f t="shared" si="0"/>
        <v>44820</v>
      </c>
      <c r="K6" s="19">
        <f t="shared" si="0"/>
        <v>44850</v>
      </c>
      <c r="L6" s="19">
        <f t="shared" si="0"/>
        <v>44881</v>
      </c>
      <c r="M6" s="19">
        <f t="shared" si="0"/>
        <v>44911</v>
      </c>
      <c r="N6" s="20" t="s">
        <v>17</v>
      </c>
      <c r="O6" s="15"/>
      <c r="P6" s="18" t="s">
        <v>16</v>
      </c>
      <c r="Q6" s="19">
        <f>EDATE(M6,1)</f>
        <v>44942</v>
      </c>
      <c r="R6" s="19">
        <f t="shared" ref="R6:AB6" si="1">EDATE(Q6,1)</f>
        <v>44973</v>
      </c>
      <c r="S6" s="19">
        <f t="shared" si="1"/>
        <v>45001</v>
      </c>
      <c r="T6" s="19">
        <f t="shared" si="1"/>
        <v>45032</v>
      </c>
      <c r="U6" s="19">
        <f t="shared" si="1"/>
        <v>45062</v>
      </c>
      <c r="V6" s="19">
        <f t="shared" si="1"/>
        <v>45093</v>
      </c>
      <c r="W6" s="19">
        <f t="shared" si="1"/>
        <v>45123</v>
      </c>
      <c r="X6" s="19">
        <f t="shared" si="1"/>
        <v>45154</v>
      </c>
      <c r="Y6" s="19">
        <f t="shared" si="1"/>
        <v>45185</v>
      </c>
      <c r="Z6" s="19">
        <f t="shared" si="1"/>
        <v>45215</v>
      </c>
      <c r="AA6" s="19">
        <f t="shared" si="1"/>
        <v>45246</v>
      </c>
      <c r="AB6" s="19">
        <f t="shared" si="1"/>
        <v>45276</v>
      </c>
      <c r="AC6" s="20" t="s">
        <v>17</v>
      </c>
      <c r="AD6" s="15"/>
      <c r="AE6" s="18" t="s">
        <v>16</v>
      </c>
      <c r="AF6" s="19">
        <f>EDATE(AB6,1)</f>
        <v>45307</v>
      </c>
      <c r="AG6" s="19">
        <f t="shared" ref="AG6:AQ6" si="2">EDATE(AF6,1)</f>
        <v>45338</v>
      </c>
      <c r="AH6" s="19">
        <f t="shared" si="2"/>
        <v>45367</v>
      </c>
      <c r="AI6" s="19">
        <f t="shared" si="2"/>
        <v>45398</v>
      </c>
      <c r="AJ6" s="19">
        <f t="shared" si="2"/>
        <v>45428</v>
      </c>
      <c r="AK6" s="19">
        <f t="shared" si="2"/>
        <v>45459</v>
      </c>
      <c r="AL6" s="19">
        <f t="shared" si="2"/>
        <v>45489</v>
      </c>
      <c r="AM6" s="19">
        <f t="shared" si="2"/>
        <v>45520</v>
      </c>
      <c r="AN6" s="19">
        <f t="shared" si="2"/>
        <v>45551</v>
      </c>
      <c r="AO6" s="19">
        <f t="shared" si="2"/>
        <v>45581</v>
      </c>
      <c r="AP6" s="19">
        <f t="shared" si="2"/>
        <v>45612</v>
      </c>
      <c r="AQ6" s="19">
        <f t="shared" si="2"/>
        <v>45642</v>
      </c>
      <c r="AR6" s="20" t="s">
        <v>17</v>
      </c>
      <c r="AS6" s="15"/>
      <c r="AT6" s="18" t="s">
        <v>16</v>
      </c>
      <c r="AU6" s="21" t="s">
        <v>18</v>
      </c>
      <c r="AV6" s="21" t="s">
        <v>18</v>
      </c>
      <c r="AW6" s="15"/>
    </row>
    <row r="7" spans="1:49" ht="15" customHeight="1" x14ac:dyDescent="0.2">
      <c r="A7" s="22" t="s">
        <v>19</v>
      </c>
      <c r="B7" s="23">
        <v>500</v>
      </c>
      <c r="C7" s="24">
        <v>525</v>
      </c>
      <c r="D7" s="24">
        <v>550</v>
      </c>
      <c r="E7" s="24">
        <v>575</v>
      </c>
      <c r="F7" s="24">
        <v>550</v>
      </c>
      <c r="G7" s="24">
        <v>525</v>
      </c>
      <c r="H7" s="24">
        <v>525</v>
      </c>
      <c r="I7" s="24">
        <v>550</v>
      </c>
      <c r="J7" s="24">
        <v>575</v>
      </c>
      <c r="K7" s="24">
        <v>600</v>
      </c>
      <c r="L7" s="24">
        <v>650</v>
      </c>
      <c r="M7" s="25">
        <v>650</v>
      </c>
      <c r="N7" s="26">
        <f t="shared" ref="N7:N9" si="3">SUM(B7:M7)</f>
        <v>6775</v>
      </c>
      <c r="O7" s="15"/>
      <c r="P7" s="27" t="str">
        <f t="shared" ref="P7:P9" si="4">A7</f>
        <v>Product/Service A</v>
      </c>
      <c r="Q7" s="23">
        <v>625</v>
      </c>
      <c r="R7" s="24">
        <v>600</v>
      </c>
      <c r="S7" s="24">
        <v>575</v>
      </c>
      <c r="T7" s="24">
        <v>550</v>
      </c>
      <c r="U7" s="24">
        <v>575</v>
      </c>
      <c r="V7" s="24">
        <v>600</v>
      </c>
      <c r="W7" s="24">
        <v>600</v>
      </c>
      <c r="X7" s="24">
        <v>625</v>
      </c>
      <c r="Y7" s="24">
        <v>650</v>
      </c>
      <c r="Z7" s="24">
        <v>675</v>
      </c>
      <c r="AA7" s="24">
        <v>700</v>
      </c>
      <c r="AB7" s="25">
        <v>725</v>
      </c>
      <c r="AC7" s="26">
        <f t="shared" ref="AC7:AC9" si="5">SUM(Q7:AB7)</f>
        <v>7500</v>
      </c>
      <c r="AD7" s="15"/>
      <c r="AE7" s="27" t="str">
        <f t="shared" ref="AE7:AE9" si="6">A7</f>
        <v>Product/Service A</v>
      </c>
      <c r="AF7" s="23">
        <v>750</v>
      </c>
      <c r="AG7" s="24">
        <v>700</v>
      </c>
      <c r="AH7" s="24">
        <v>650</v>
      </c>
      <c r="AI7" s="24">
        <v>650</v>
      </c>
      <c r="AJ7" s="24">
        <v>675</v>
      </c>
      <c r="AK7" s="24">
        <v>700</v>
      </c>
      <c r="AL7" s="24">
        <v>700</v>
      </c>
      <c r="AM7" s="24">
        <v>725</v>
      </c>
      <c r="AN7" s="24">
        <v>750</v>
      </c>
      <c r="AO7" s="24">
        <v>800</v>
      </c>
      <c r="AP7" s="24">
        <v>850</v>
      </c>
      <c r="AQ7" s="25">
        <v>900</v>
      </c>
      <c r="AR7" s="26">
        <f t="shared" ref="AR7:AR9" si="7">SUM(AF7:AQ7)</f>
        <v>8850</v>
      </c>
      <c r="AS7" s="28"/>
      <c r="AT7" s="29" t="str">
        <f t="shared" ref="AT7:AT9" si="8">A7</f>
        <v>Product/Service A</v>
      </c>
      <c r="AU7" s="30">
        <f t="shared" ref="AU7:AU9" si="9">(AC7/N7)-1</f>
        <v>0.10701107011070121</v>
      </c>
      <c r="AV7" s="30">
        <f t="shared" ref="AV7:AV9" si="10">(AR7/AC7)-1</f>
        <v>0.17999999999999994</v>
      </c>
      <c r="AW7" s="15"/>
    </row>
    <row r="8" spans="1:49" ht="15" customHeight="1" x14ac:dyDescent="0.2">
      <c r="A8" s="31" t="s">
        <v>20</v>
      </c>
      <c r="B8" s="32">
        <v>1500</v>
      </c>
      <c r="C8" s="33">
        <v>1000</v>
      </c>
      <c r="D8" s="33">
        <v>1000</v>
      </c>
      <c r="E8" s="33">
        <v>1250</v>
      </c>
      <c r="F8" s="33">
        <v>1250</v>
      </c>
      <c r="G8" s="33">
        <v>1500</v>
      </c>
      <c r="H8" s="33">
        <v>1500</v>
      </c>
      <c r="I8" s="33">
        <v>1750</v>
      </c>
      <c r="J8" s="33">
        <v>2000</v>
      </c>
      <c r="K8" s="33">
        <v>2500</v>
      </c>
      <c r="L8" s="33">
        <v>3000</v>
      </c>
      <c r="M8" s="34">
        <v>3000</v>
      </c>
      <c r="N8" s="35">
        <f t="shared" si="3"/>
        <v>21250</v>
      </c>
      <c r="O8" s="15"/>
      <c r="P8" s="27" t="str">
        <f t="shared" si="4"/>
        <v>Product/Service B</v>
      </c>
      <c r="Q8" s="32">
        <v>2000</v>
      </c>
      <c r="R8" s="33">
        <v>1500</v>
      </c>
      <c r="S8" s="33">
        <v>1500</v>
      </c>
      <c r="T8" s="33">
        <v>1750</v>
      </c>
      <c r="U8" s="33">
        <v>1750</v>
      </c>
      <c r="V8" s="33">
        <v>2000</v>
      </c>
      <c r="W8" s="33">
        <v>2000</v>
      </c>
      <c r="X8" s="33">
        <v>2250</v>
      </c>
      <c r="Y8" s="33">
        <v>2500</v>
      </c>
      <c r="Z8" s="33">
        <v>3000</v>
      </c>
      <c r="AA8" s="33">
        <v>3500</v>
      </c>
      <c r="AB8" s="34">
        <v>3500</v>
      </c>
      <c r="AC8" s="35">
        <f t="shared" si="5"/>
        <v>27250</v>
      </c>
      <c r="AD8" s="15"/>
      <c r="AE8" s="27" t="str">
        <f t="shared" si="6"/>
        <v>Product/Service B</v>
      </c>
      <c r="AF8" s="32">
        <v>3000</v>
      </c>
      <c r="AG8" s="33">
        <v>2000</v>
      </c>
      <c r="AH8" s="33">
        <v>2000</v>
      </c>
      <c r="AI8" s="33">
        <v>2250</v>
      </c>
      <c r="AJ8" s="33">
        <v>2250</v>
      </c>
      <c r="AK8" s="33">
        <v>2500</v>
      </c>
      <c r="AL8" s="33">
        <v>2500</v>
      </c>
      <c r="AM8" s="33">
        <v>2750</v>
      </c>
      <c r="AN8" s="33">
        <v>3000</v>
      </c>
      <c r="AO8" s="33">
        <v>3500</v>
      </c>
      <c r="AP8" s="33">
        <v>4000</v>
      </c>
      <c r="AQ8" s="34">
        <v>4000</v>
      </c>
      <c r="AR8" s="35">
        <f t="shared" si="7"/>
        <v>33750</v>
      </c>
      <c r="AS8" s="28"/>
      <c r="AT8" s="36" t="str">
        <f t="shared" si="8"/>
        <v>Product/Service B</v>
      </c>
      <c r="AU8" s="37">
        <f t="shared" si="9"/>
        <v>0.2823529411764707</v>
      </c>
      <c r="AV8" s="37">
        <f t="shared" si="10"/>
        <v>0.23853211009174302</v>
      </c>
      <c r="AW8" s="15"/>
    </row>
    <row r="9" spans="1:49" ht="15" customHeight="1" x14ac:dyDescent="0.2">
      <c r="A9" s="31" t="s">
        <v>21</v>
      </c>
      <c r="B9" s="32">
        <v>150</v>
      </c>
      <c r="C9" s="33">
        <v>200</v>
      </c>
      <c r="D9" s="33">
        <v>250</v>
      </c>
      <c r="E9" s="33">
        <v>300</v>
      </c>
      <c r="F9" s="33">
        <v>350</v>
      </c>
      <c r="G9" s="33">
        <v>400</v>
      </c>
      <c r="H9" s="33">
        <v>400</v>
      </c>
      <c r="I9" s="33">
        <v>350</v>
      </c>
      <c r="J9" s="33">
        <v>350</v>
      </c>
      <c r="K9" s="33">
        <v>300</v>
      </c>
      <c r="L9" s="33">
        <v>300</v>
      </c>
      <c r="M9" s="34">
        <v>300</v>
      </c>
      <c r="N9" s="35">
        <f t="shared" si="3"/>
        <v>3650</v>
      </c>
      <c r="O9" s="15"/>
      <c r="P9" s="27" t="str">
        <f t="shared" si="4"/>
        <v>Product/Service C</v>
      </c>
      <c r="Q9" s="32">
        <v>300</v>
      </c>
      <c r="R9" s="33">
        <v>250</v>
      </c>
      <c r="S9" s="33">
        <v>300</v>
      </c>
      <c r="T9" s="33">
        <v>350</v>
      </c>
      <c r="U9" s="33">
        <v>400</v>
      </c>
      <c r="V9" s="33">
        <v>450</v>
      </c>
      <c r="W9" s="33">
        <v>500</v>
      </c>
      <c r="X9" s="33">
        <v>400</v>
      </c>
      <c r="Y9" s="33">
        <v>400</v>
      </c>
      <c r="Z9" s="33">
        <v>350</v>
      </c>
      <c r="AA9" s="33">
        <v>350</v>
      </c>
      <c r="AB9" s="34">
        <v>325</v>
      </c>
      <c r="AC9" s="35">
        <f t="shared" si="5"/>
        <v>4375</v>
      </c>
      <c r="AD9" s="15"/>
      <c r="AE9" s="27" t="str">
        <f t="shared" si="6"/>
        <v>Product/Service C</v>
      </c>
      <c r="AF9" s="32">
        <v>325</v>
      </c>
      <c r="AG9" s="33">
        <v>350</v>
      </c>
      <c r="AH9" s="33">
        <v>400</v>
      </c>
      <c r="AI9" s="33">
        <v>450</v>
      </c>
      <c r="AJ9" s="33">
        <v>500</v>
      </c>
      <c r="AK9" s="33">
        <v>550</v>
      </c>
      <c r="AL9" s="33">
        <v>600</v>
      </c>
      <c r="AM9" s="33">
        <v>500</v>
      </c>
      <c r="AN9" s="33">
        <v>500</v>
      </c>
      <c r="AO9" s="33">
        <v>450</v>
      </c>
      <c r="AP9" s="33">
        <v>450</v>
      </c>
      <c r="AQ9" s="34">
        <v>425</v>
      </c>
      <c r="AR9" s="35">
        <f t="shared" si="7"/>
        <v>5500</v>
      </c>
      <c r="AS9" s="28"/>
      <c r="AT9" s="36" t="str">
        <f t="shared" si="8"/>
        <v>Product/Service C</v>
      </c>
      <c r="AU9" s="37">
        <f t="shared" si="9"/>
        <v>0.19863013698630128</v>
      </c>
      <c r="AV9" s="37">
        <f t="shared" si="10"/>
        <v>0.25714285714285712</v>
      </c>
      <c r="AW9" s="15"/>
    </row>
    <row r="10" spans="1:49" ht="9" customHeight="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8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28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28"/>
      <c r="AS10" s="15"/>
      <c r="AT10" s="15"/>
      <c r="AU10" s="28"/>
      <c r="AV10" s="28"/>
      <c r="AW10" s="15"/>
    </row>
    <row r="11" spans="1:49" ht="15" customHeight="1" x14ac:dyDescent="0.2">
      <c r="A11" s="38" t="s">
        <v>22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7" t="s">
        <v>23</v>
      </c>
      <c r="O11" s="15"/>
      <c r="P11" s="38" t="s">
        <v>22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7" t="s">
        <v>23</v>
      </c>
      <c r="AD11" s="15"/>
      <c r="AE11" s="38" t="s">
        <v>22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7" t="s">
        <v>23</v>
      </c>
      <c r="AS11" s="15"/>
      <c r="AT11" s="38" t="s">
        <v>22</v>
      </c>
      <c r="AU11" s="28" t="s">
        <v>24</v>
      </c>
      <c r="AV11" s="28" t="s">
        <v>24</v>
      </c>
      <c r="AW11" s="15"/>
    </row>
    <row r="12" spans="1:49" ht="15" customHeight="1" x14ac:dyDescent="0.2">
      <c r="A12" s="27" t="str">
        <f t="shared" ref="A12:A14" si="11">A17</f>
        <v>Product/Service A</v>
      </c>
      <c r="B12" s="39">
        <v>19.989999999999998</v>
      </c>
      <c r="C12" s="40">
        <v>19.989999999999998</v>
      </c>
      <c r="D12" s="40">
        <v>19.989999999999998</v>
      </c>
      <c r="E12" s="40">
        <v>19.989999999999998</v>
      </c>
      <c r="F12" s="40">
        <v>19.989999999999998</v>
      </c>
      <c r="G12" s="40">
        <v>19.989999999999998</v>
      </c>
      <c r="H12" s="40">
        <v>19.989999999999998</v>
      </c>
      <c r="I12" s="40">
        <v>19.989999999999998</v>
      </c>
      <c r="J12" s="40">
        <v>19.989999999999998</v>
      </c>
      <c r="K12" s="40">
        <v>19.989999999999998</v>
      </c>
      <c r="L12" s="40">
        <v>19.989999999999998</v>
      </c>
      <c r="M12" s="41">
        <v>19.989999999999998</v>
      </c>
      <c r="N12" s="42">
        <f t="shared" ref="N12:N14" si="12">AVERAGE(B12:M12)</f>
        <v>19.990000000000002</v>
      </c>
      <c r="O12" s="15"/>
      <c r="P12" s="27" t="str">
        <f t="shared" ref="P12:P14" si="13">A12</f>
        <v>Product/Service A</v>
      </c>
      <c r="Q12" s="39">
        <v>19.989999999999998</v>
      </c>
      <c r="R12" s="40">
        <v>19.989999999999998</v>
      </c>
      <c r="S12" s="40">
        <v>19.989999999999998</v>
      </c>
      <c r="T12" s="40">
        <v>19.989999999999998</v>
      </c>
      <c r="U12" s="40">
        <v>19.989999999999998</v>
      </c>
      <c r="V12" s="40">
        <v>19.989999999999998</v>
      </c>
      <c r="W12" s="40">
        <v>19.989999999999998</v>
      </c>
      <c r="X12" s="40">
        <v>19.989999999999998</v>
      </c>
      <c r="Y12" s="40">
        <v>19.989999999999998</v>
      </c>
      <c r="Z12" s="40">
        <v>19.989999999999998</v>
      </c>
      <c r="AA12" s="40">
        <v>19.989999999999998</v>
      </c>
      <c r="AB12" s="41">
        <v>19.989999999999998</v>
      </c>
      <c r="AC12" s="42">
        <f t="shared" ref="AC12:AC14" si="14">AVERAGE(Q12:AB12)</f>
        <v>19.990000000000002</v>
      </c>
      <c r="AD12" s="15"/>
      <c r="AE12" s="27" t="str">
        <f t="shared" ref="AE12:AE14" si="15">A12</f>
        <v>Product/Service A</v>
      </c>
      <c r="AF12" s="39">
        <v>19.989999999999998</v>
      </c>
      <c r="AG12" s="40">
        <v>19.989999999999998</v>
      </c>
      <c r="AH12" s="40">
        <v>19.989999999999998</v>
      </c>
      <c r="AI12" s="40">
        <v>19.989999999999998</v>
      </c>
      <c r="AJ12" s="40">
        <v>19.989999999999998</v>
      </c>
      <c r="AK12" s="40">
        <v>19.989999999999998</v>
      </c>
      <c r="AL12" s="40">
        <v>19.989999999999998</v>
      </c>
      <c r="AM12" s="40">
        <v>19.989999999999998</v>
      </c>
      <c r="AN12" s="40">
        <v>19.989999999999998</v>
      </c>
      <c r="AO12" s="40">
        <v>19.989999999999998</v>
      </c>
      <c r="AP12" s="40">
        <v>19.989999999999998</v>
      </c>
      <c r="AQ12" s="41">
        <v>19.989999999999998</v>
      </c>
      <c r="AR12" s="42">
        <f t="shared" ref="AR12:AR14" si="16">AVERAGE(AF12:AQ12)</f>
        <v>19.990000000000002</v>
      </c>
      <c r="AS12" s="15"/>
      <c r="AT12" s="36" t="str">
        <f t="shared" ref="AT12:AT14" si="17">A12</f>
        <v>Product/Service A</v>
      </c>
      <c r="AU12" s="43">
        <f t="shared" ref="AU12:AU14" si="18">AC12-N12</f>
        <v>0</v>
      </c>
      <c r="AV12" s="43">
        <f t="shared" ref="AV12:AV14" si="19">AR12-AC12</f>
        <v>0</v>
      </c>
      <c r="AW12" s="15"/>
    </row>
    <row r="13" spans="1:49" ht="15" customHeight="1" x14ac:dyDescent="0.2">
      <c r="A13" s="27" t="str">
        <f t="shared" si="11"/>
        <v>Product/Service B</v>
      </c>
      <c r="B13" s="39">
        <v>14.99</v>
      </c>
      <c r="C13" s="40">
        <v>14.99</v>
      </c>
      <c r="D13" s="40">
        <v>14.99</v>
      </c>
      <c r="E13" s="40">
        <v>14.99</v>
      </c>
      <c r="F13" s="40">
        <v>14.99</v>
      </c>
      <c r="G13" s="40">
        <v>14.99</v>
      </c>
      <c r="H13" s="40">
        <v>14.99</v>
      </c>
      <c r="I13" s="40">
        <v>14.99</v>
      </c>
      <c r="J13" s="40">
        <v>14.99</v>
      </c>
      <c r="K13" s="40">
        <v>14.99</v>
      </c>
      <c r="L13" s="40">
        <v>14.99</v>
      </c>
      <c r="M13" s="41">
        <v>14.99</v>
      </c>
      <c r="N13" s="42">
        <f t="shared" si="12"/>
        <v>14.990000000000002</v>
      </c>
      <c r="O13" s="15"/>
      <c r="P13" s="27" t="str">
        <f t="shared" si="13"/>
        <v>Product/Service B</v>
      </c>
      <c r="Q13" s="39">
        <v>14.99</v>
      </c>
      <c r="R13" s="40">
        <v>14.99</v>
      </c>
      <c r="S13" s="40">
        <v>14.99</v>
      </c>
      <c r="T13" s="40">
        <v>14.99</v>
      </c>
      <c r="U13" s="40">
        <v>14.99</v>
      </c>
      <c r="V13" s="40">
        <v>14.99</v>
      </c>
      <c r="W13" s="40">
        <v>14.99</v>
      </c>
      <c r="X13" s="40">
        <v>14.99</v>
      </c>
      <c r="Y13" s="40">
        <v>14.99</v>
      </c>
      <c r="Z13" s="40">
        <v>14.99</v>
      </c>
      <c r="AA13" s="40">
        <v>14.99</v>
      </c>
      <c r="AB13" s="41">
        <v>14.99</v>
      </c>
      <c r="AC13" s="42">
        <f t="shared" si="14"/>
        <v>14.990000000000002</v>
      </c>
      <c r="AD13" s="15"/>
      <c r="AE13" s="27" t="str">
        <f t="shared" si="15"/>
        <v>Product/Service B</v>
      </c>
      <c r="AF13" s="39">
        <v>14.99</v>
      </c>
      <c r="AG13" s="40">
        <v>14.99</v>
      </c>
      <c r="AH13" s="40">
        <v>14.99</v>
      </c>
      <c r="AI13" s="40">
        <v>14.99</v>
      </c>
      <c r="AJ13" s="40">
        <v>14.99</v>
      </c>
      <c r="AK13" s="40">
        <v>14.99</v>
      </c>
      <c r="AL13" s="40">
        <v>14.99</v>
      </c>
      <c r="AM13" s="40">
        <v>14.99</v>
      </c>
      <c r="AN13" s="40">
        <v>14.99</v>
      </c>
      <c r="AO13" s="40">
        <v>14.99</v>
      </c>
      <c r="AP13" s="40">
        <v>14.99</v>
      </c>
      <c r="AQ13" s="41">
        <v>14.99</v>
      </c>
      <c r="AR13" s="42">
        <f t="shared" si="16"/>
        <v>14.990000000000002</v>
      </c>
      <c r="AS13" s="15"/>
      <c r="AT13" s="36" t="str">
        <f t="shared" si="17"/>
        <v>Product/Service B</v>
      </c>
      <c r="AU13" s="43">
        <f t="shared" si="18"/>
        <v>0</v>
      </c>
      <c r="AV13" s="43">
        <f t="shared" si="19"/>
        <v>0</v>
      </c>
      <c r="AW13" s="15"/>
    </row>
    <row r="14" spans="1:49" ht="15" customHeight="1" x14ac:dyDescent="0.2">
      <c r="A14" s="27" t="str">
        <f t="shared" si="11"/>
        <v>Product/Service C</v>
      </c>
      <c r="B14" s="39">
        <v>49.99</v>
      </c>
      <c r="C14" s="40">
        <v>49.99</v>
      </c>
      <c r="D14" s="40">
        <v>49.99</v>
      </c>
      <c r="E14" s="40">
        <v>49.99</v>
      </c>
      <c r="F14" s="40">
        <v>49.99</v>
      </c>
      <c r="G14" s="40">
        <v>49.99</v>
      </c>
      <c r="H14" s="40">
        <v>49.99</v>
      </c>
      <c r="I14" s="40">
        <v>49.99</v>
      </c>
      <c r="J14" s="40">
        <v>49.99</v>
      </c>
      <c r="K14" s="40">
        <v>49.99</v>
      </c>
      <c r="L14" s="40">
        <v>49.99</v>
      </c>
      <c r="M14" s="41">
        <v>49.99</v>
      </c>
      <c r="N14" s="42">
        <f t="shared" si="12"/>
        <v>49.99</v>
      </c>
      <c r="O14" s="15"/>
      <c r="P14" s="27" t="str">
        <f t="shared" si="13"/>
        <v>Product/Service C</v>
      </c>
      <c r="Q14" s="39">
        <v>54.99</v>
      </c>
      <c r="R14" s="40">
        <v>54.99</v>
      </c>
      <c r="S14" s="40">
        <v>54.99</v>
      </c>
      <c r="T14" s="40">
        <v>54.99</v>
      </c>
      <c r="U14" s="40">
        <v>54.99</v>
      </c>
      <c r="V14" s="40">
        <v>54.99</v>
      </c>
      <c r="W14" s="40">
        <v>54.99</v>
      </c>
      <c r="X14" s="40">
        <v>54.99</v>
      </c>
      <c r="Y14" s="40">
        <v>54.99</v>
      </c>
      <c r="Z14" s="40">
        <v>54.99</v>
      </c>
      <c r="AA14" s="40">
        <v>54.99</v>
      </c>
      <c r="AB14" s="41">
        <v>54.99</v>
      </c>
      <c r="AC14" s="42">
        <f t="shared" si="14"/>
        <v>54.99</v>
      </c>
      <c r="AD14" s="15"/>
      <c r="AE14" s="27" t="str">
        <f t="shared" si="15"/>
        <v>Product/Service C</v>
      </c>
      <c r="AF14" s="39">
        <v>59.99</v>
      </c>
      <c r="AG14" s="40">
        <v>59.99</v>
      </c>
      <c r="AH14" s="40">
        <v>59.99</v>
      </c>
      <c r="AI14" s="40">
        <v>59.99</v>
      </c>
      <c r="AJ14" s="40">
        <v>59.99</v>
      </c>
      <c r="AK14" s="40">
        <v>59.99</v>
      </c>
      <c r="AL14" s="40">
        <v>59.99</v>
      </c>
      <c r="AM14" s="40">
        <v>59.99</v>
      </c>
      <c r="AN14" s="40">
        <v>59.99</v>
      </c>
      <c r="AO14" s="40">
        <v>59.99</v>
      </c>
      <c r="AP14" s="40">
        <v>59.99</v>
      </c>
      <c r="AQ14" s="41">
        <v>59.99</v>
      </c>
      <c r="AR14" s="42">
        <f t="shared" si="16"/>
        <v>59.99</v>
      </c>
      <c r="AS14" s="15"/>
      <c r="AT14" s="36" t="str">
        <f t="shared" si="17"/>
        <v>Product/Service C</v>
      </c>
      <c r="AU14" s="43">
        <f t="shared" si="18"/>
        <v>5</v>
      </c>
      <c r="AV14" s="43">
        <f t="shared" si="19"/>
        <v>5</v>
      </c>
      <c r="AW14" s="15"/>
    </row>
    <row r="15" spans="1:49" ht="9" customHeight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8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28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8"/>
      <c r="AS15" s="15"/>
      <c r="AT15" s="15"/>
      <c r="AU15" s="28"/>
      <c r="AV15" s="28"/>
      <c r="AW15" s="15"/>
    </row>
    <row r="16" spans="1:49" ht="15" customHeight="1" x14ac:dyDescent="0.2">
      <c r="A16" s="38" t="s">
        <v>25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7" t="s">
        <v>26</v>
      </c>
      <c r="O16" s="15"/>
      <c r="P16" s="38" t="s">
        <v>25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7" t="s">
        <v>26</v>
      </c>
      <c r="AD16" s="15"/>
      <c r="AE16" s="38" t="s">
        <v>25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7" t="s">
        <v>26</v>
      </c>
      <c r="AS16" s="15"/>
      <c r="AT16" s="38" t="s">
        <v>25</v>
      </c>
      <c r="AU16" s="28" t="s">
        <v>24</v>
      </c>
      <c r="AV16" s="28" t="s">
        <v>24</v>
      </c>
      <c r="AW16" s="15"/>
    </row>
    <row r="17" spans="1:49" ht="15" customHeight="1" x14ac:dyDescent="0.2">
      <c r="A17" s="27" t="str">
        <f t="shared" ref="A17:A19" si="20">A7</f>
        <v>Product/Service A</v>
      </c>
      <c r="B17" s="44">
        <v>0</v>
      </c>
      <c r="C17" s="45">
        <f t="shared" ref="C17:M17" si="21">(C7/B7)-1</f>
        <v>5.0000000000000044E-2</v>
      </c>
      <c r="D17" s="45">
        <f t="shared" si="21"/>
        <v>4.7619047619047672E-2</v>
      </c>
      <c r="E17" s="45">
        <f t="shared" si="21"/>
        <v>4.5454545454545414E-2</v>
      </c>
      <c r="F17" s="45">
        <f t="shared" si="21"/>
        <v>-4.3478260869565188E-2</v>
      </c>
      <c r="G17" s="45">
        <f t="shared" si="21"/>
        <v>-4.5454545454545414E-2</v>
      </c>
      <c r="H17" s="45">
        <f t="shared" si="21"/>
        <v>0</v>
      </c>
      <c r="I17" s="45">
        <f t="shared" si="21"/>
        <v>4.7619047619047672E-2</v>
      </c>
      <c r="J17" s="45">
        <f t="shared" si="21"/>
        <v>4.5454545454545414E-2</v>
      </c>
      <c r="K17" s="45">
        <f t="shared" si="21"/>
        <v>4.3478260869565188E-2</v>
      </c>
      <c r="L17" s="45">
        <f t="shared" si="21"/>
        <v>8.3333333333333259E-2</v>
      </c>
      <c r="M17" s="45">
        <f t="shared" si="21"/>
        <v>0</v>
      </c>
      <c r="N17" s="46">
        <f t="shared" ref="N17:N19" si="22">AVERAGE(C17:M17)</f>
        <v>2.491145218417946E-2</v>
      </c>
      <c r="O17" s="15"/>
      <c r="P17" s="27" t="str">
        <f t="shared" ref="P17:P19" si="23">A17</f>
        <v>Product/Service A</v>
      </c>
      <c r="Q17" s="45">
        <f t="shared" ref="Q17:Q19" si="24">(Q7/M7)-1</f>
        <v>-3.8461538461538436E-2</v>
      </c>
      <c r="R17" s="45">
        <f t="shared" ref="R17:AB17" si="25">(R7/Q7)-1</f>
        <v>-4.0000000000000036E-2</v>
      </c>
      <c r="S17" s="45">
        <f t="shared" si="25"/>
        <v>-4.166666666666663E-2</v>
      </c>
      <c r="T17" s="45">
        <f t="shared" si="25"/>
        <v>-4.3478260869565188E-2</v>
      </c>
      <c r="U17" s="45">
        <f t="shared" si="25"/>
        <v>4.5454545454545414E-2</v>
      </c>
      <c r="V17" s="45">
        <f t="shared" si="25"/>
        <v>4.3478260869565188E-2</v>
      </c>
      <c r="W17" s="45">
        <f t="shared" si="25"/>
        <v>0</v>
      </c>
      <c r="X17" s="45">
        <f t="shared" si="25"/>
        <v>4.1666666666666741E-2</v>
      </c>
      <c r="Y17" s="45">
        <f t="shared" si="25"/>
        <v>4.0000000000000036E-2</v>
      </c>
      <c r="Z17" s="45">
        <f t="shared" si="25"/>
        <v>3.8461538461538547E-2</v>
      </c>
      <c r="AA17" s="45">
        <f t="shared" si="25"/>
        <v>3.7037037037036979E-2</v>
      </c>
      <c r="AB17" s="47">
        <f t="shared" si="25"/>
        <v>3.5714285714285809E-2</v>
      </c>
      <c r="AC17" s="46">
        <f t="shared" ref="AC17:AC19" si="26">AVERAGE(R17:AB17)</f>
        <v>1.4242491515218806E-2</v>
      </c>
      <c r="AD17" s="15"/>
      <c r="AE17" s="27" t="str">
        <f t="shared" ref="AE17:AE19" si="27">A17</f>
        <v>Product/Service A</v>
      </c>
      <c r="AF17" s="45">
        <f t="shared" ref="AF17:AF19" si="28">(AF7/AB7)-1</f>
        <v>3.4482758620689724E-2</v>
      </c>
      <c r="AG17" s="45">
        <f t="shared" ref="AG17:AQ17" si="29">(AG7/AF7)-1</f>
        <v>-6.6666666666666652E-2</v>
      </c>
      <c r="AH17" s="45">
        <f t="shared" si="29"/>
        <v>-7.1428571428571397E-2</v>
      </c>
      <c r="AI17" s="45">
        <f t="shared" si="29"/>
        <v>0</v>
      </c>
      <c r="AJ17" s="45">
        <f t="shared" si="29"/>
        <v>3.8461538461538547E-2</v>
      </c>
      <c r="AK17" s="45">
        <f t="shared" si="29"/>
        <v>3.7037037037036979E-2</v>
      </c>
      <c r="AL17" s="45">
        <f t="shared" si="29"/>
        <v>0</v>
      </c>
      <c r="AM17" s="45">
        <f t="shared" si="29"/>
        <v>3.5714285714285809E-2</v>
      </c>
      <c r="AN17" s="45">
        <f t="shared" si="29"/>
        <v>3.4482758620689724E-2</v>
      </c>
      <c r="AO17" s="45">
        <f t="shared" si="29"/>
        <v>6.6666666666666652E-2</v>
      </c>
      <c r="AP17" s="45">
        <f t="shared" si="29"/>
        <v>6.25E-2</v>
      </c>
      <c r="AQ17" s="47">
        <f t="shared" si="29"/>
        <v>5.8823529411764719E-2</v>
      </c>
      <c r="AR17" s="46">
        <f t="shared" ref="AR17:AR19" si="30">AVERAGE(AG17:AQ17)</f>
        <v>1.7780961619704036E-2</v>
      </c>
      <c r="AS17" s="15"/>
      <c r="AT17" s="36" t="str">
        <f t="shared" ref="AT17:AT19" si="31">A17</f>
        <v>Product/Service A</v>
      </c>
      <c r="AU17" s="37">
        <f t="shared" ref="AU17:AU19" si="32">AC17-N17</f>
        <v>-1.0668960668960654E-2</v>
      </c>
      <c r="AV17" s="37">
        <f t="shared" ref="AV17:AV19" si="33">AR17-AC17</f>
        <v>3.5384701044852297E-3</v>
      </c>
      <c r="AW17" s="15"/>
    </row>
    <row r="18" spans="1:49" ht="15" customHeight="1" x14ac:dyDescent="0.2">
      <c r="A18" s="27" t="str">
        <f t="shared" si="20"/>
        <v>Product/Service B</v>
      </c>
      <c r="B18" s="44">
        <v>0</v>
      </c>
      <c r="C18" s="45">
        <f t="shared" ref="C18:M18" si="34">(C8/B8)-1</f>
        <v>-0.33333333333333337</v>
      </c>
      <c r="D18" s="45">
        <f t="shared" si="34"/>
        <v>0</v>
      </c>
      <c r="E18" s="45">
        <f t="shared" si="34"/>
        <v>0.25</v>
      </c>
      <c r="F18" s="45">
        <f t="shared" si="34"/>
        <v>0</v>
      </c>
      <c r="G18" s="45">
        <f t="shared" si="34"/>
        <v>0.19999999999999996</v>
      </c>
      <c r="H18" s="45">
        <f t="shared" si="34"/>
        <v>0</v>
      </c>
      <c r="I18" s="45">
        <f t="shared" si="34"/>
        <v>0.16666666666666674</v>
      </c>
      <c r="J18" s="45">
        <f t="shared" si="34"/>
        <v>0.14285714285714279</v>
      </c>
      <c r="K18" s="45">
        <f t="shared" si="34"/>
        <v>0.25</v>
      </c>
      <c r="L18" s="45">
        <f t="shared" si="34"/>
        <v>0.19999999999999996</v>
      </c>
      <c r="M18" s="45">
        <f t="shared" si="34"/>
        <v>0</v>
      </c>
      <c r="N18" s="46">
        <f t="shared" si="22"/>
        <v>7.9653679653679643E-2</v>
      </c>
      <c r="O18" s="15"/>
      <c r="P18" s="27" t="str">
        <f t="shared" si="23"/>
        <v>Product/Service B</v>
      </c>
      <c r="Q18" s="45">
        <f t="shared" si="24"/>
        <v>-0.33333333333333337</v>
      </c>
      <c r="R18" s="45">
        <f t="shared" ref="R18:AB18" si="35">(R8/Q8)-1</f>
        <v>-0.25</v>
      </c>
      <c r="S18" s="45">
        <f t="shared" si="35"/>
        <v>0</v>
      </c>
      <c r="T18" s="45">
        <f t="shared" si="35"/>
        <v>0.16666666666666674</v>
      </c>
      <c r="U18" s="45">
        <f t="shared" si="35"/>
        <v>0</v>
      </c>
      <c r="V18" s="45">
        <f t="shared" si="35"/>
        <v>0.14285714285714279</v>
      </c>
      <c r="W18" s="45">
        <f t="shared" si="35"/>
        <v>0</v>
      </c>
      <c r="X18" s="45">
        <f t="shared" si="35"/>
        <v>0.125</v>
      </c>
      <c r="Y18" s="45">
        <f t="shared" si="35"/>
        <v>0.11111111111111116</v>
      </c>
      <c r="Z18" s="45">
        <f t="shared" si="35"/>
        <v>0.19999999999999996</v>
      </c>
      <c r="AA18" s="45">
        <f t="shared" si="35"/>
        <v>0.16666666666666674</v>
      </c>
      <c r="AB18" s="47">
        <f t="shared" si="35"/>
        <v>0</v>
      </c>
      <c r="AC18" s="46">
        <f t="shared" si="26"/>
        <v>6.0209235209235219E-2</v>
      </c>
      <c r="AD18" s="15"/>
      <c r="AE18" s="27" t="str">
        <f t="shared" si="27"/>
        <v>Product/Service B</v>
      </c>
      <c r="AF18" s="45">
        <f t="shared" si="28"/>
        <v>-0.1428571428571429</v>
      </c>
      <c r="AG18" s="45">
        <f t="shared" ref="AG18:AQ18" si="36">(AG8/AF8)-1</f>
        <v>-0.33333333333333337</v>
      </c>
      <c r="AH18" s="45">
        <f t="shared" si="36"/>
        <v>0</v>
      </c>
      <c r="AI18" s="45">
        <f t="shared" si="36"/>
        <v>0.125</v>
      </c>
      <c r="AJ18" s="45">
        <f t="shared" si="36"/>
        <v>0</v>
      </c>
      <c r="AK18" s="45">
        <f t="shared" si="36"/>
        <v>0.11111111111111116</v>
      </c>
      <c r="AL18" s="45">
        <f t="shared" si="36"/>
        <v>0</v>
      </c>
      <c r="AM18" s="45">
        <f t="shared" si="36"/>
        <v>0.10000000000000009</v>
      </c>
      <c r="AN18" s="45">
        <f t="shared" si="36"/>
        <v>9.0909090909090828E-2</v>
      </c>
      <c r="AO18" s="45">
        <f t="shared" si="36"/>
        <v>0.16666666666666674</v>
      </c>
      <c r="AP18" s="45">
        <f t="shared" si="36"/>
        <v>0.14285714285714279</v>
      </c>
      <c r="AQ18" s="47">
        <f t="shared" si="36"/>
        <v>0</v>
      </c>
      <c r="AR18" s="46">
        <f t="shared" si="30"/>
        <v>3.6655516200970746E-2</v>
      </c>
      <c r="AS18" s="15"/>
      <c r="AT18" s="36" t="str">
        <f t="shared" si="31"/>
        <v>Product/Service B</v>
      </c>
      <c r="AU18" s="37">
        <f t="shared" si="32"/>
        <v>-1.9444444444444424E-2</v>
      </c>
      <c r="AV18" s="37">
        <f t="shared" si="33"/>
        <v>-2.3553719008264473E-2</v>
      </c>
      <c r="AW18" s="15"/>
    </row>
    <row r="19" spans="1:49" ht="15" customHeight="1" x14ac:dyDescent="0.2">
      <c r="A19" s="27" t="str">
        <f t="shared" si="20"/>
        <v>Product/Service C</v>
      </c>
      <c r="B19" s="44">
        <v>0</v>
      </c>
      <c r="C19" s="45">
        <f t="shared" ref="C19:M19" si="37">(C9/B9)-1</f>
        <v>0.33333333333333326</v>
      </c>
      <c r="D19" s="45">
        <f t="shared" si="37"/>
        <v>0.25</v>
      </c>
      <c r="E19" s="45">
        <f t="shared" si="37"/>
        <v>0.19999999999999996</v>
      </c>
      <c r="F19" s="45">
        <f t="shared" si="37"/>
        <v>0.16666666666666674</v>
      </c>
      <c r="G19" s="45">
        <f t="shared" si="37"/>
        <v>0.14285714285714279</v>
      </c>
      <c r="H19" s="45">
        <f t="shared" si="37"/>
        <v>0</v>
      </c>
      <c r="I19" s="45">
        <f t="shared" si="37"/>
        <v>-0.125</v>
      </c>
      <c r="J19" s="45">
        <f t="shared" si="37"/>
        <v>0</v>
      </c>
      <c r="K19" s="45">
        <f t="shared" si="37"/>
        <v>-0.1428571428571429</v>
      </c>
      <c r="L19" s="45">
        <f t="shared" si="37"/>
        <v>0</v>
      </c>
      <c r="M19" s="45">
        <f t="shared" si="37"/>
        <v>0</v>
      </c>
      <c r="N19" s="46">
        <f t="shared" si="22"/>
        <v>7.4999999999999983E-2</v>
      </c>
      <c r="O19" s="15"/>
      <c r="P19" s="27" t="str">
        <f t="shared" si="23"/>
        <v>Product/Service C</v>
      </c>
      <c r="Q19" s="45">
        <f t="shared" si="24"/>
        <v>0</v>
      </c>
      <c r="R19" s="45">
        <f t="shared" ref="R19:AB19" si="38">(R9/Q9)-1</f>
        <v>-0.16666666666666663</v>
      </c>
      <c r="S19" s="45">
        <f t="shared" si="38"/>
        <v>0.19999999999999996</v>
      </c>
      <c r="T19" s="45">
        <f t="shared" si="38"/>
        <v>0.16666666666666674</v>
      </c>
      <c r="U19" s="45">
        <f t="shared" si="38"/>
        <v>0.14285714285714279</v>
      </c>
      <c r="V19" s="45">
        <f t="shared" si="38"/>
        <v>0.125</v>
      </c>
      <c r="W19" s="45">
        <f t="shared" si="38"/>
        <v>0.11111111111111116</v>
      </c>
      <c r="X19" s="45">
        <f t="shared" si="38"/>
        <v>-0.19999999999999996</v>
      </c>
      <c r="Y19" s="45">
        <f t="shared" si="38"/>
        <v>0</v>
      </c>
      <c r="Z19" s="45">
        <f t="shared" si="38"/>
        <v>-0.125</v>
      </c>
      <c r="AA19" s="45">
        <f t="shared" si="38"/>
        <v>0</v>
      </c>
      <c r="AB19" s="47">
        <f t="shared" si="38"/>
        <v>-7.1428571428571397E-2</v>
      </c>
      <c r="AC19" s="46">
        <f t="shared" si="26"/>
        <v>1.6594516594516606E-2</v>
      </c>
      <c r="AD19" s="15"/>
      <c r="AE19" s="27" t="str">
        <f t="shared" si="27"/>
        <v>Product/Service C</v>
      </c>
      <c r="AF19" s="45">
        <f t="shared" si="28"/>
        <v>0</v>
      </c>
      <c r="AG19" s="45">
        <f t="shared" ref="AG19:AQ19" si="39">(AG9/AF9)-1</f>
        <v>7.6923076923076872E-2</v>
      </c>
      <c r="AH19" s="45">
        <f t="shared" si="39"/>
        <v>0.14285714285714279</v>
      </c>
      <c r="AI19" s="45">
        <f t="shared" si="39"/>
        <v>0.125</v>
      </c>
      <c r="AJ19" s="45">
        <f t="shared" si="39"/>
        <v>0.11111111111111116</v>
      </c>
      <c r="AK19" s="45">
        <f t="shared" si="39"/>
        <v>0.10000000000000009</v>
      </c>
      <c r="AL19" s="45">
        <f t="shared" si="39"/>
        <v>9.0909090909090828E-2</v>
      </c>
      <c r="AM19" s="45">
        <f t="shared" si="39"/>
        <v>-0.16666666666666663</v>
      </c>
      <c r="AN19" s="45">
        <f t="shared" si="39"/>
        <v>0</v>
      </c>
      <c r="AO19" s="45">
        <f t="shared" si="39"/>
        <v>-9.9999999999999978E-2</v>
      </c>
      <c r="AP19" s="45">
        <f t="shared" si="39"/>
        <v>0</v>
      </c>
      <c r="AQ19" s="47">
        <f t="shared" si="39"/>
        <v>-5.555555555555558E-2</v>
      </c>
      <c r="AR19" s="46">
        <f t="shared" si="30"/>
        <v>2.9507109052563596E-2</v>
      </c>
      <c r="AS19" s="15"/>
      <c r="AT19" s="36" t="str">
        <f t="shared" si="31"/>
        <v>Product/Service C</v>
      </c>
      <c r="AU19" s="37">
        <f t="shared" si="32"/>
        <v>-5.8405483405483377E-2</v>
      </c>
      <c r="AV19" s="37">
        <f t="shared" si="33"/>
        <v>1.291259245804699E-2</v>
      </c>
      <c r="AW19" s="15"/>
    </row>
    <row r="20" spans="1:49" ht="9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8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28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28"/>
      <c r="AS20" s="15"/>
      <c r="AT20" s="15"/>
      <c r="AU20" s="28"/>
      <c r="AV20" s="28"/>
      <c r="AW20" s="15"/>
    </row>
    <row r="21" spans="1:49" ht="15" customHeight="1" x14ac:dyDescent="0.2">
      <c r="A21" s="38" t="s">
        <v>27</v>
      </c>
      <c r="B21" s="48" t="s">
        <v>28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7" t="s">
        <v>29</v>
      </c>
      <c r="O21" s="15"/>
      <c r="P21" s="38" t="s">
        <v>27</v>
      </c>
      <c r="Q21" s="48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7" t="s">
        <v>29</v>
      </c>
      <c r="AD21" s="15"/>
      <c r="AE21" s="38" t="s">
        <v>27</v>
      </c>
      <c r="AF21" s="48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7" t="s">
        <v>29</v>
      </c>
      <c r="AS21" s="15"/>
      <c r="AT21" s="38" t="s">
        <v>27</v>
      </c>
      <c r="AU21" s="28" t="s">
        <v>24</v>
      </c>
      <c r="AV21" s="28" t="s">
        <v>24</v>
      </c>
      <c r="AW21" s="15"/>
    </row>
    <row r="22" spans="1:49" ht="15" customHeight="1" x14ac:dyDescent="0.2">
      <c r="A22" s="27" t="str">
        <f t="shared" ref="A22:A24" si="40">A12</f>
        <v>Product/Service A</v>
      </c>
      <c r="B22" s="49">
        <f t="shared" ref="B22:M22" si="41">B7*B12</f>
        <v>9995</v>
      </c>
      <c r="C22" s="49">
        <f t="shared" si="41"/>
        <v>10494.75</v>
      </c>
      <c r="D22" s="49">
        <f t="shared" si="41"/>
        <v>10994.5</v>
      </c>
      <c r="E22" s="49">
        <f t="shared" si="41"/>
        <v>11494.25</v>
      </c>
      <c r="F22" s="49">
        <f t="shared" si="41"/>
        <v>10994.5</v>
      </c>
      <c r="G22" s="49">
        <f t="shared" si="41"/>
        <v>10494.75</v>
      </c>
      <c r="H22" s="49">
        <f t="shared" si="41"/>
        <v>10494.75</v>
      </c>
      <c r="I22" s="49">
        <f t="shared" si="41"/>
        <v>10994.5</v>
      </c>
      <c r="J22" s="49">
        <f t="shared" si="41"/>
        <v>11494.25</v>
      </c>
      <c r="K22" s="49">
        <f t="shared" si="41"/>
        <v>11993.999999999998</v>
      </c>
      <c r="L22" s="49">
        <f t="shared" si="41"/>
        <v>12993.499999999998</v>
      </c>
      <c r="M22" s="49">
        <f t="shared" si="41"/>
        <v>12993.499999999998</v>
      </c>
      <c r="N22" s="50">
        <f t="shared" ref="N22:N24" si="42">SUM(B22:M22)</f>
        <v>135432.25</v>
      </c>
      <c r="O22" s="15"/>
      <c r="P22" s="27" t="str">
        <f t="shared" ref="P22:P24" si="43">A22</f>
        <v>Product/Service A</v>
      </c>
      <c r="Q22" s="49">
        <f t="shared" ref="Q22:AB22" si="44">Q7*Q12</f>
        <v>12493.749999999998</v>
      </c>
      <c r="R22" s="49">
        <f t="shared" si="44"/>
        <v>11993.999999999998</v>
      </c>
      <c r="S22" s="49">
        <f t="shared" si="44"/>
        <v>11494.25</v>
      </c>
      <c r="T22" s="49">
        <f t="shared" si="44"/>
        <v>10994.5</v>
      </c>
      <c r="U22" s="49">
        <f t="shared" si="44"/>
        <v>11494.25</v>
      </c>
      <c r="V22" s="49">
        <f t="shared" si="44"/>
        <v>11993.999999999998</v>
      </c>
      <c r="W22" s="49">
        <f t="shared" si="44"/>
        <v>11993.999999999998</v>
      </c>
      <c r="X22" s="49">
        <f t="shared" si="44"/>
        <v>12493.749999999998</v>
      </c>
      <c r="Y22" s="49">
        <f t="shared" si="44"/>
        <v>12993.499999999998</v>
      </c>
      <c r="Z22" s="49">
        <f t="shared" si="44"/>
        <v>13493.249999999998</v>
      </c>
      <c r="AA22" s="49">
        <f t="shared" si="44"/>
        <v>13992.999999999998</v>
      </c>
      <c r="AB22" s="49">
        <f t="shared" si="44"/>
        <v>14492.749999999998</v>
      </c>
      <c r="AC22" s="50">
        <f t="shared" ref="AC22:AC24" si="45">SUM(Q22:AB22)</f>
        <v>149925</v>
      </c>
      <c r="AD22" s="15"/>
      <c r="AE22" s="27" t="str">
        <f t="shared" ref="AE22:AE24" si="46">A22</f>
        <v>Product/Service A</v>
      </c>
      <c r="AF22" s="49">
        <f t="shared" ref="AF22:AQ22" si="47">AF7*AF12</f>
        <v>14992.499999999998</v>
      </c>
      <c r="AG22" s="49">
        <f t="shared" si="47"/>
        <v>13992.999999999998</v>
      </c>
      <c r="AH22" s="49">
        <f t="shared" si="47"/>
        <v>12993.499999999998</v>
      </c>
      <c r="AI22" s="49">
        <f t="shared" si="47"/>
        <v>12993.499999999998</v>
      </c>
      <c r="AJ22" s="49">
        <f t="shared" si="47"/>
        <v>13493.249999999998</v>
      </c>
      <c r="AK22" s="49">
        <f t="shared" si="47"/>
        <v>13992.999999999998</v>
      </c>
      <c r="AL22" s="49">
        <f t="shared" si="47"/>
        <v>13992.999999999998</v>
      </c>
      <c r="AM22" s="49">
        <f t="shared" si="47"/>
        <v>14492.749999999998</v>
      </c>
      <c r="AN22" s="49">
        <f t="shared" si="47"/>
        <v>14992.499999999998</v>
      </c>
      <c r="AO22" s="49">
        <f t="shared" si="47"/>
        <v>15991.999999999998</v>
      </c>
      <c r="AP22" s="49">
        <f t="shared" si="47"/>
        <v>16991.5</v>
      </c>
      <c r="AQ22" s="49">
        <f t="shared" si="47"/>
        <v>17991</v>
      </c>
      <c r="AR22" s="50">
        <f t="shared" ref="AR22:AR24" si="48">SUM(AF22:AQ22)</f>
        <v>176911.49999999997</v>
      </c>
      <c r="AS22" s="15"/>
      <c r="AT22" s="36" t="str">
        <f t="shared" ref="AT22:AT24" si="49">A22</f>
        <v>Product/Service A</v>
      </c>
      <c r="AU22" s="51">
        <f t="shared" ref="AU22:AU25" si="50">AC22-N22</f>
        <v>14492.75</v>
      </c>
      <c r="AV22" s="51">
        <f t="shared" ref="AV22:AV25" si="51">AR22-AC22</f>
        <v>26986.499999999971</v>
      </c>
      <c r="AW22" s="15"/>
    </row>
    <row r="23" spans="1:49" ht="15" customHeight="1" x14ac:dyDescent="0.2">
      <c r="A23" s="27" t="str">
        <f t="shared" si="40"/>
        <v>Product/Service B</v>
      </c>
      <c r="B23" s="49">
        <f t="shared" ref="B23:M23" si="52">B8*B13</f>
        <v>22485</v>
      </c>
      <c r="C23" s="49">
        <f t="shared" si="52"/>
        <v>14990</v>
      </c>
      <c r="D23" s="49">
        <f t="shared" si="52"/>
        <v>14990</v>
      </c>
      <c r="E23" s="49">
        <f t="shared" si="52"/>
        <v>18737.5</v>
      </c>
      <c r="F23" s="49">
        <f t="shared" si="52"/>
        <v>18737.5</v>
      </c>
      <c r="G23" s="49">
        <f t="shared" si="52"/>
        <v>22485</v>
      </c>
      <c r="H23" s="49">
        <f t="shared" si="52"/>
        <v>22485</v>
      </c>
      <c r="I23" s="49">
        <f t="shared" si="52"/>
        <v>26232.5</v>
      </c>
      <c r="J23" s="49">
        <f t="shared" si="52"/>
        <v>29980</v>
      </c>
      <c r="K23" s="49">
        <f t="shared" si="52"/>
        <v>37475</v>
      </c>
      <c r="L23" s="49">
        <f t="shared" si="52"/>
        <v>44970</v>
      </c>
      <c r="M23" s="49">
        <f t="shared" si="52"/>
        <v>44970</v>
      </c>
      <c r="N23" s="50">
        <f t="shared" si="42"/>
        <v>318537.5</v>
      </c>
      <c r="O23" s="15"/>
      <c r="P23" s="27" t="str">
        <f t="shared" si="43"/>
        <v>Product/Service B</v>
      </c>
      <c r="Q23" s="49">
        <f t="shared" ref="Q23:AB23" si="53">Q8*Q13</f>
        <v>29980</v>
      </c>
      <c r="R23" s="49">
        <f t="shared" si="53"/>
        <v>22485</v>
      </c>
      <c r="S23" s="49">
        <f t="shared" si="53"/>
        <v>22485</v>
      </c>
      <c r="T23" s="49">
        <f t="shared" si="53"/>
        <v>26232.5</v>
      </c>
      <c r="U23" s="49">
        <f t="shared" si="53"/>
        <v>26232.5</v>
      </c>
      <c r="V23" s="49">
        <f t="shared" si="53"/>
        <v>29980</v>
      </c>
      <c r="W23" s="49">
        <f t="shared" si="53"/>
        <v>29980</v>
      </c>
      <c r="X23" s="49">
        <f t="shared" si="53"/>
        <v>33727.5</v>
      </c>
      <c r="Y23" s="49">
        <f t="shared" si="53"/>
        <v>37475</v>
      </c>
      <c r="Z23" s="49">
        <f t="shared" si="53"/>
        <v>44970</v>
      </c>
      <c r="AA23" s="49">
        <f t="shared" si="53"/>
        <v>52465</v>
      </c>
      <c r="AB23" s="49">
        <f t="shared" si="53"/>
        <v>52465</v>
      </c>
      <c r="AC23" s="50">
        <f t="shared" si="45"/>
        <v>408477.5</v>
      </c>
      <c r="AD23" s="15"/>
      <c r="AE23" s="27" t="str">
        <f t="shared" si="46"/>
        <v>Product/Service B</v>
      </c>
      <c r="AF23" s="49">
        <f t="shared" ref="AF23:AQ23" si="54">AF8*AF13</f>
        <v>44970</v>
      </c>
      <c r="AG23" s="49">
        <f t="shared" si="54"/>
        <v>29980</v>
      </c>
      <c r="AH23" s="49">
        <f t="shared" si="54"/>
        <v>29980</v>
      </c>
      <c r="AI23" s="49">
        <f t="shared" si="54"/>
        <v>33727.5</v>
      </c>
      <c r="AJ23" s="49">
        <f t="shared" si="54"/>
        <v>33727.5</v>
      </c>
      <c r="AK23" s="49">
        <f t="shared" si="54"/>
        <v>37475</v>
      </c>
      <c r="AL23" s="49">
        <f t="shared" si="54"/>
        <v>37475</v>
      </c>
      <c r="AM23" s="49">
        <f t="shared" si="54"/>
        <v>41222.5</v>
      </c>
      <c r="AN23" s="49">
        <f t="shared" si="54"/>
        <v>44970</v>
      </c>
      <c r="AO23" s="49">
        <f t="shared" si="54"/>
        <v>52465</v>
      </c>
      <c r="AP23" s="49">
        <f t="shared" si="54"/>
        <v>59960</v>
      </c>
      <c r="AQ23" s="49">
        <f t="shared" si="54"/>
        <v>59960</v>
      </c>
      <c r="AR23" s="50">
        <f t="shared" si="48"/>
        <v>505912.5</v>
      </c>
      <c r="AS23" s="15"/>
      <c r="AT23" s="36" t="str">
        <f t="shared" si="49"/>
        <v>Product/Service B</v>
      </c>
      <c r="AU23" s="51">
        <f t="shared" si="50"/>
        <v>89940</v>
      </c>
      <c r="AV23" s="51">
        <f t="shared" si="51"/>
        <v>97435</v>
      </c>
      <c r="AW23" s="15"/>
    </row>
    <row r="24" spans="1:49" ht="15" customHeight="1" x14ac:dyDescent="0.2">
      <c r="A24" s="52" t="str">
        <f t="shared" si="40"/>
        <v>Product/Service C</v>
      </c>
      <c r="B24" s="49">
        <f t="shared" ref="B24:M24" si="55">B9*B14</f>
        <v>7498.5</v>
      </c>
      <c r="C24" s="49">
        <f t="shared" si="55"/>
        <v>9998</v>
      </c>
      <c r="D24" s="49">
        <f t="shared" si="55"/>
        <v>12497.5</v>
      </c>
      <c r="E24" s="49">
        <f t="shared" si="55"/>
        <v>14997</v>
      </c>
      <c r="F24" s="49">
        <f t="shared" si="55"/>
        <v>17496.5</v>
      </c>
      <c r="G24" s="49">
        <f t="shared" si="55"/>
        <v>19996</v>
      </c>
      <c r="H24" s="49">
        <f t="shared" si="55"/>
        <v>19996</v>
      </c>
      <c r="I24" s="49">
        <f t="shared" si="55"/>
        <v>17496.5</v>
      </c>
      <c r="J24" s="49">
        <f t="shared" si="55"/>
        <v>17496.5</v>
      </c>
      <c r="K24" s="49">
        <f t="shared" si="55"/>
        <v>14997</v>
      </c>
      <c r="L24" s="49">
        <f t="shared" si="55"/>
        <v>14997</v>
      </c>
      <c r="M24" s="49">
        <f t="shared" si="55"/>
        <v>14997</v>
      </c>
      <c r="N24" s="53">
        <f t="shared" si="42"/>
        <v>182463.5</v>
      </c>
      <c r="O24" s="15"/>
      <c r="P24" s="27" t="str">
        <f t="shared" si="43"/>
        <v>Product/Service C</v>
      </c>
      <c r="Q24" s="49">
        <f t="shared" ref="Q24:AB24" si="56">Q9*Q14</f>
        <v>16497</v>
      </c>
      <c r="R24" s="49">
        <f t="shared" si="56"/>
        <v>13747.5</v>
      </c>
      <c r="S24" s="49">
        <f t="shared" si="56"/>
        <v>16497</v>
      </c>
      <c r="T24" s="49">
        <f t="shared" si="56"/>
        <v>19246.5</v>
      </c>
      <c r="U24" s="49">
        <f t="shared" si="56"/>
        <v>21996</v>
      </c>
      <c r="V24" s="49">
        <f t="shared" si="56"/>
        <v>24745.5</v>
      </c>
      <c r="W24" s="49">
        <f t="shared" si="56"/>
        <v>27495</v>
      </c>
      <c r="X24" s="49">
        <f t="shared" si="56"/>
        <v>21996</v>
      </c>
      <c r="Y24" s="49">
        <f t="shared" si="56"/>
        <v>21996</v>
      </c>
      <c r="Z24" s="49">
        <f t="shared" si="56"/>
        <v>19246.5</v>
      </c>
      <c r="AA24" s="49">
        <f t="shared" si="56"/>
        <v>19246.5</v>
      </c>
      <c r="AB24" s="49">
        <f t="shared" si="56"/>
        <v>17871.75</v>
      </c>
      <c r="AC24" s="53">
        <f t="shared" si="45"/>
        <v>240581.25</v>
      </c>
      <c r="AD24" s="15"/>
      <c r="AE24" s="27" t="str">
        <f t="shared" si="46"/>
        <v>Product/Service C</v>
      </c>
      <c r="AF24" s="49">
        <f t="shared" ref="AF24:AQ24" si="57">AF9*AF14</f>
        <v>19496.75</v>
      </c>
      <c r="AG24" s="49">
        <f t="shared" si="57"/>
        <v>20996.5</v>
      </c>
      <c r="AH24" s="49">
        <f t="shared" si="57"/>
        <v>23996</v>
      </c>
      <c r="AI24" s="49">
        <f t="shared" si="57"/>
        <v>26995.5</v>
      </c>
      <c r="AJ24" s="49">
        <f t="shared" si="57"/>
        <v>29995</v>
      </c>
      <c r="AK24" s="49">
        <f t="shared" si="57"/>
        <v>32994.5</v>
      </c>
      <c r="AL24" s="49">
        <f t="shared" si="57"/>
        <v>35994</v>
      </c>
      <c r="AM24" s="49">
        <f t="shared" si="57"/>
        <v>29995</v>
      </c>
      <c r="AN24" s="49">
        <f t="shared" si="57"/>
        <v>29995</v>
      </c>
      <c r="AO24" s="49">
        <f t="shared" si="57"/>
        <v>26995.5</v>
      </c>
      <c r="AP24" s="49">
        <f t="shared" si="57"/>
        <v>26995.5</v>
      </c>
      <c r="AQ24" s="49">
        <f t="shared" si="57"/>
        <v>25495.75</v>
      </c>
      <c r="AR24" s="53">
        <f t="shared" si="48"/>
        <v>329945</v>
      </c>
      <c r="AS24" s="15"/>
      <c r="AT24" s="54" t="str">
        <f t="shared" si="49"/>
        <v>Product/Service C</v>
      </c>
      <c r="AU24" s="55">
        <f t="shared" si="50"/>
        <v>58117.75</v>
      </c>
      <c r="AV24" s="55">
        <f t="shared" si="51"/>
        <v>89363.75</v>
      </c>
      <c r="AW24" s="15"/>
    </row>
    <row r="25" spans="1:49" ht="15" customHeight="1" x14ac:dyDescent="0.2">
      <c r="A25" s="56" t="s">
        <v>29</v>
      </c>
      <c r="B25" s="57">
        <f t="shared" ref="B25:M25" si="58">SUM(B22:B24)</f>
        <v>39978.5</v>
      </c>
      <c r="C25" s="58">
        <f t="shared" si="58"/>
        <v>35482.75</v>
      </c>
      <c r="D25" s="58">
        <f t="shared" si="58"/>
        <v>38482</v>
      </c>
      <c r="E25" s="58">
        <f t="shared" si="58"/>
        <v>45228.75</v>
      </c>
      <c r="F25" s="58">
        <f t="shared" si="58"/>
        <v>47228.5</v>
      </c>
      <c r="G25" s="58">
        <f t="shared" si="58"/>
        <v>52975.75</v>
      </c>
      <c r="H25" s="58">
        <f t="shared" si="58"/>
        <v>52975.75</v>
      </c>
      <c r="I25" s="58">
        <f t="shared" si="58"/>
        <v>54723.5</v>
      </c>
      <c r="J25" s="58">
        <f t="shared" si="58"/>
        <v>58970.75</v>
      </c>
      <c r="K25" s="58">
        <f t="shared" si="58"/>
        <v>64466</v>
      </c>
      <c r="L25" s="58">
        <f t="shared" si="58"/>
        <v>72960.5</v>
      </c>
      <c r="M25" s="59">
        <f t="shared" si="58"/>
        <v>72960.5</v>
      </c>
      <c r="N25" s="60">
        <f>SUM(N21:N24)</f>
        <v>636433.25</v>
      </c>
      <c r="O25" s="15"/>
      <c r="P25" s="56" t="s">
        <v>29</v>
      </c>
      <c r="Q25" s="57">
        <f t="shared" ref="Q25:AB25" si="59">SUM(Q22:Q24)</f>
        <v>58970.75</v>
      </c>
      <c r="R25" s="58">
        <f t="shared" si="59"/>
        <v>48226.5</v>
      </c>
      <c r="S25" s="58">
        <f t="shared" si="59"/>
        <v>50476.25</v>
      </c>
      <c r="T25" s="58">
        <f t="shared" si="59"/>
        <v>56473.5</v>
      </c>
      <c r="U25" s="58">
        <f t="shared" si="59"/>
        <v>59722.75</v>
      </c>
      <c r="V25" s="58">
        <f t="shared" si="59"/>
        <v>66719.5</v>
      </c>
      <c r="W25" s="58">
        <f t="shared" si="59"/>
        <v>69469</v>
      </c>
      <c r="X25" s="58">
        <f t="shared" si="59"/>
        <v>68217.25</v>
      </c>
      <c r="Y25" s="58">
        <f t="shared" si="59"/>
        <v>72464.5</v>
      </c>
      <c r="Z25" s="58">
        <f t="shared" si="59"/>
        <v>77709.75</v>
      </c>
      <c r="AA25" s="58">
        <f t="shared" si="59"/>
        <v>85704.5</v>
      </c>
      <c r="AB25" s="59">
        <f t="shared" si="59"/>
        <v>84829.5</v>
      </c>
      <c r="AC25" s="60">
        <f>SUM(AC21:AC24)</f>
        <v>798983.75</v>
      </c>
      <c r="AD25" s="15"/>
      <c r="AE25" s="56" t="s">
        <v>29</v>
      </c>
      <c r="AF25" s="57">
        <f t="shared" ref="AF25:AQ25" si="60">SUM(AF22:AF24)</f>
        <v>79459.25</v>
      </c>
      <c r="AG25" s="58">
        <f t="shared" si="60"/>
        <v>64969.5</v>
      </c>
      <c r="AH25" s="58">
        <f t="shared" si="60"/>
        <v>66969.5</v>
      </c>
      <c r="AI25" s="58">
        <f t="shared" si="60"/>
        <v>73716.5</v>
      </c>
      <c r="AJ25" s="58">
        <f t="shared" si="60"/>
        <v>77215.75</v>
      </c>
      <c r="AK25" s="58">
        <f t="shared" si="60"/>
        <v>84462.5</v>
      </c>
      <c r="AL25" s="58">
        <f t="shared" si="60"/>
        <v>87462</v>
      </c>
      <c r="AM25" s="58">
        <f t="shared" si="60"/>
        <v>85710.25</v>
      </c>
      <c r="AN25" s="58">
        <f t="shared" si="60"/>
        <v>89957.5</v>
      </c>
      <c r="AO25" s="58">
        <f t="shared" si="60"/>
        <v>95452.5</v>
      </c>
      <c r="AP25" s="58">
        <f t="shared" si="60"/>
        <v>103947</v>
      </c>
      <c r="AQ25" s="59">
        <f t="shared" si="60"/>
        <v>103446.75</v>
      </c>
      <c r="AR25" s="60">
        <f>SUM(AR21:AR24)</f>
        <v>1012769</v>
      </c>
      <c r="AS25" s="15"/>
      <c r="AT25" s="56" t="s">
        <v>29</v>
      </c>
      <c r="AU25" s="61">
        <f t="shared" si="50"/>
        <v>162550.5</v>
      </c>
      <c r="AV25" s="61">
        <f t="shared" si="51"/>
        <v>213785.25</v>
      </c>
      <c r="AW25" s="15"/>
    </row>
    <row r="26" spans="1:49" ht="9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2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28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28"/>
      <c r="AS26" s="15"/>
      <c r="AT26" s="15"/>
      <c r="AU26" s="28"/>
      <c r="AV26" s="28"/>
      <c r="AW26" s="15"/>
    </row>
    <row r="27" spans="1:49" ht="15" customHeight="1" x14ac:dyDescent="0.2">
      <c r="A27" s="38" t="s">
        <v>30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7" t="s">
        <v>31</v>
      </c>
      <c r="O27" s="62"/>
      <c r="P27" s="38" t="s">
        <v>30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7" t="s">
        <v>31</v>
      </c>
      <c r="AD27" s="62"/>
      <c r="AE27" s="38" t="s">
        <v>30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7" t="s">
        <v>31</v>
      </c>
      <c r="AS27" s="62"/>
      <c r="AT27" s="38" t="s">
        <v>30</v>
      </c>
      <c r="AU27" s="28" t="s">
        <v>24</v>
      </c>
      <c r="AV27" s="28" t="s">
        <v>24</v>
      </c>
      <c r="AW27" s="62"/>
    </row>
    <row r="28" spans="1:49" ht="15" customHeight="1" x14ac:dyDescent="0.2">
      <c r="A28" s="27" t="str">
        <f t="shared" ref="A28:A30" si="61">A7</f>
        <v>Product/Service A</v>
      </c>
      <c r="B28" s="39">
        <v>4.5</v>
      </c>
      <c r="C28" s="40">
        <v>4.5</v>
      </c>
      <c r="D28" s="40">
        <v>4.5</v>
      </c>
      <c r="E28" s="40">
        <v>4.5</v>
      </c>
      <c r="F28" s="40">
        <v>4.5</v>
      </c>
      <c r="G28" s="40">
        <v>4.5</v>
      </c>
      <c r="H28" s="40">
        <v>4.5</v>
      </c>
      <c r="I28" s="40">
        <v>4.5</v>
      </c>
      <c r="J28" s="40">
        <v>4.5</v>
      </c>
      <c r="K28" s="40">
        <v>4</v>
      </c>
      <c r="L28" s="40">
        <v>4</v>
      </c>
      <c r="M28" s="41">
        <v>4</v>
      </c>
      <c r="N28" s="42">
        <f t="shared" ref="N28:N30" si="62">AVERAGE(B28:M28)</f>
        <v>4.375</v>
      </c>
      <c r="O28" s="62"/>
      <c r="P28" s="27" t="str">
        <f t="shared" ref="P28:P30" si="63">A28</f>
        <v>Product/Service A</v>
      </c>
      <c r="Q28" s="39">
        <v>4</v>
      </c>
      <c r="R28" s="40">
        <v>4</v>
      </c>
      <c r="S28" s="40">
        <v>4.5</v>
      </c>
      <c r="T28" s="40">
        <v>4.5</v>
      </c>
      <c r="U28" s="40">
        <v>4.5</v>
      </c>
      <c r="V28" s="40">
        <v>4</v>
      </c>
      <c r="W28" s="40">
        <v>4</v>
      </c>
      <c r="X28" s="40">
        <v>4</v>
      </c>
      <c r="Y28" s="40">
        <v>4</v>
      </c>
      <c r="Z28" s="40">
        <v>4</v>
      </c>
      <c r="AA28" s="40">
        <v>3.75</v>
      </c>
      <c r="AB28" s="41">
        <v>3.75</v>
      </c>
      <c r="AC28" s="42">
        <f t="shared" ref="AC28:AC30" si="64">AVERAGE(Q28:AB28)</f>
        <v>4.083333333333333</v>
      </c>
      <c r="AD28" s="62"/>
      <c r="AE28" s="27" t="str">
        <f t="shared" ref="AE28:AE30" si="65">A28</f>
        <v>Product/Service A</v>
      </c>
      <c r="AF28" s="39">
        <v>3.75</v>
      </c>
      <c r="AG28" s="40">
        <v>3.75</v>
      </c>
      <c r="AH28" s="40">
        <v>4</v>
      </c>
      <c r="AI28" s="40">
        <v>4</v>
      </c>
      <c r="AJ28" s="40">
        <v>4</v>
      </c>
      <c r="AK28" s="40">
        <v>3.75</v>
      </c>
      <c r="AL28" s="40">
        <v>3.75</v>
      </c>
      <c r="AM28" s="40">
        <v>3.75</v>
      </c>
      <c r="AN28" s="40">
        <v>3.75</v>
      </c>
      <c r="AO28" s="40">
        <v>3.5</v>
      </c>
      <c r="AP28" s="40">
        <v>3.5</v>
      </c>
      <c r="AQ28" s="41">
        <v>3.5</v>
      </c>
      <c r="AR28" s="42">
        <f t="shared" ref="AR28:AR30" si="66">AVERAGE(AF28:AQ28)</f>
        <v>3.75</v>
      </c>
      <c r="AS28" s="62"/>
      <c r="AT28" s="36" t="str">
        <f t="shared" ref="AT28:AT30" si="67">A28</f>
        <v>Product/Service A</v>
      </c>
      <c r="AU28" s="43">
        <f t="shared" ref="AU28:AU30" si="68">AC28-N28</f>
        <v>-0.29166666666666696</v>
      </c>
      <c r="AV28" s="43">
        <f t="shared" ref="AV28:AV30" si="69">AR28-AC28</f>
        <v>-0.33333333333333304</v>
      </c>
      <c r="AW28" s="62"/>
    </row>
    <row r="29" spans="1:49" ht="15" customHeight="1" x14ac:dyDescent="0.2">
      <c r="A29" s="27" t="str">
        <f t="shared" si="61"/>
        <v>Product/Service B</v>
      </c>
      <c r="B29" s="39">
        <v>3.1</v>
      </c>
      <c r="C29" s="40">
        <v>3.1</v>
      </c>
      <c r="D29" s="40">
        <v>3.1</v>
      </c>
      <c r="E29" s="40">
        <v>3.1</v>
      </c>
      <c r="F29" s="40">
        <v>3.1</v>
      </c>
      <c r="G29" s="40">
        <v>3.1</v>
      </c>
      <c r="H29" s="40">
        <v>3.1</v>
      </c>
      <c r="I29" s="40">
        <v>3.1</v>
      </c>
      <c r="J29" s="40">
        <v>3.1</v>
      </c>
      <c r="K29" s="40">
        <v>3.1</v>
      </c>
      <c r="L29" s="40">
        <v>3.1</v>
      </c>
      <c r="M29" s="41">
        <v>3.1</v>
      </c>
      <c r="N29" s="42">
        <f t="shared" si="62"/>
        <v>3.100000000000001</v>
      </c>
      <c r="O29" s="62"/>
      <c r="P29" s="27" t="str">
        <f t="shared" si="63"/>
        <v>Product/Service B</v>
      </c>
      <c r="Q29" s="39">
        <v>3.1</v>
      </c>
      <c r="R29" s="40">
        <v>3.1</v>
      </c>
      <c r="S29" s="40">
        <v>3.1</v>
      </c>
      <c r="T29" s="40">
        <v>3.1</v>
      </c>
      <c r="U29" s="40">
        <v>3.1</v>
      </c>
      <c r="V29" s="40">
        <v>3.1</v>
      </c>
      <c r="W29" s="40">
        <v>3.1</v>
      </c>
      <c r="X29" s="40">
        <v>3.1</v>
      </c>
      <c r="Y29" s="40">
        <v>3.1</v>
      </c>
      <c r="Z29" s="40">
        <v>2.9</v>
      </c>
      <c r="AA29" s="40">
        <v>2.9</v>
      </c>
      <c r="AB29" s="41">
        <v>2.9</v>
      </c>
      <c r="AC29" s="42">
        <f t="shared" si="64"/>
        <v>3.0500000000000003</v>
      </c>
      <c r="AD29" s="62"/>
      <c r="AE29" s="27" t="str">
        <f t="shared" si="65"/>
        <v>Product/Service B</v>
      </c>
      <c r="AF29" s="39">
        <v>2.9</v>
      </c>
      <c r="AG29" s="40">
        <v>3.1</v>
      </c>
      <c r="AH29" s="40">
        <v>3.1</v>
      </c>
      <c r="AI29" s="40">
        <v>3.1</v>
      </c>
      <c r="AJ29" s="40">
        <v>3.1</v>
      </c>
      <c r="AK29" s="40">
        <v>3.1</v>
      </c>
      <c r="AL29" s="40">
        <v>3.1</v>
      </c>
      <c r="AM29" s="40">
        <v>3.1</v>
      </c>
      <c r="AN29" s="40">
        <v>2.9</v>
      </c>
      <c r="AO29" s="40">
        <v>2.9</v>
      </c>
      <c r="AP29" s="40">
        <v>2.85</v>
      </c>
      <c r="AQ29" s="41">
        <v>2.85</v>
      </c>
      <c r="AR29" s="42">
        <f t="shared" si="66"/>
        <v>3.0083333333333333</v>
      </c>
      <c r="AS29" s="62"/>
      <c r="AT29" s="36" t="str">
        <f t="shared" si="67"/>
        <v>Product/Service B</v>
      </c>
      <c r="AU29" s="43">
        <f t="shared" si="68"/>
        <v>-5.0000000000000711E-2</v>
      </c>
      <c r="AV29" s="43">
        <f t="shared" si="69"/>
        <v>-4.1666666666666963E-2</v>
      </c>
      <c r="AW29" s="62"/>
    </row>
    <row r="30" spans="1:49" ht="15" customHeight="1" x14ac:dyDescent="0.2">
      <c r="A30" s="27" t="str">
        <f t="shared" si="61"/>
        <v>Product/Service C</v>
      </c>
      <c r="B30" s="39">
        <v>1.55</v>
      </c>
      <c r="C30" s="40">
        <v>1.55</v>
      </c>
      <c r="D30" s="40">
        <v>1.55</v>
      </c>
      <c r="E30" s="40">
        <v>1.55</v>
      </c>
      <c r="F30" s="40">
        <v>1.55</v>
      </c>
      <c r="G30" s="40">
        <v>1.55</v>
      </c>
      <c r="H30" s="40">
        <v>1.55</v>
      </c>
      <c r="I30" s="40">
        <v>1.55</v>
      </c>
      <c r="J30" s="40">
        <v>1.55</v>
      </c>
      <c r="K30" s="40">
        <v>1.55</v>
      </c>
      <c r="L30" s="40">
        <v>1.55</v>
      </c>
      <c r="M30" s="41">
        <v>1.55</v>
      </c>
      <c r="N30" s="42">
        <f t="shared" si="62"/>
        <v>1.5500000000000005</v>
      </c>
      <c r="O30" s="62"/>
      <c r="P30" s="27" t="str">
        <f t="shared" si="63"/>
        <v>Product/Service C</v>
      </c>
      <c r="Q30" s="39">
        <v>1.55</v>
      </c>
      <c r="R30" s="40">
        <v>1.55</v>
      </c>
      <c r="S30" s="40">
        <v>1.55</v>
      </c>
      <c r="T30" s="40">
        <v>1.55</v>
      </c>
      <c r="U30" s="40">
        <v>1.55</v>
      </c>
      <c r="V30" s="40">
        <v>1.55</v>
      </c>
      <c r="W30" s="40">
        <v>1.1000000000000001</v>
      </c>
      <c r="X30" s="40">
        <v>1.55</v>
      </c>
      <c r="Y30" s="40">
        <v>1.55</v>
      </c>
      <c r="Z30" s="40">
        <v>1.55</v>
      </c>
      <c r="AA30" s="40">
        <v>1.55</v>
      </c>
      <c r="AB30" s="41">
        <v>1.55</v>
      </c>
      <c r="AC30" s="42">
        <f t="shared" si="64"/>
        <v>1.5125000000000002</v>
      </c>
      <c r="AD30" s="62"/>
      <c r="AE30" s="27" t="str">
        <f t="shared" si="65"/>
        <v>Product/Service C</v>
      </c>
      <c r="AF30" s="39">
        <v>1.55</v>
      </c>
      <c r="AG30" s="40">
        <v>1.55</v>
      </c>
      <c r="AH30" s="40">
        <v>1.55</v>
      </c>
      <c r="AI30" s="40">
        <v>1.55</v>
      </c>
      <c r="AJ30" s="40">
        <v>1.1000000000000001</v>
      </c>
      <c r="AK30" s="40">
        <v>1.1000000000000001</v>
      </c>
      <c r="AL30" s="40">
        <v>1.1000000000000001</v>
      </c>
      <c r="AM30" s="40">
        <v>1.1000000000000001</v>
      </c>
      <c r="AN30" s="40">
        <v>1.1000000000000001</v>
      </c>
      <c r="AO30" s="40">
        <v>1.55</v>
      </c>
      <c r="AP30" s="40">
        <v>1.55</v>
      </c>
      <c r="AQ30" s="41">
        <v>1.55</v>
      </c>
      <c r="AR30" s="42">
        <f t="shared" si="66"/>
        <v>1.3625</v>
      </c>
      <c r="AS30" s="62"/>
      <c r="AT30" s="36" t="str">
        <f t="shared" si="67"/>
        <v>Product/Service C</v>
      </c>
      <c r="AU30" s="43">
        <f t="shared" si="68"/>
        <v>-3.7500000000000311E-2</v>
      </c>
      <c r="AV30" s="43">
        <f t="shared" si="69"/>
        <v>-0.15000000000000013</v>
      </c>
      <c r="AW30" s="62"/>
    </row>
    <row r="31" spans="1:49" ht="9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28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28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28"/>
      <c r="AS31" s="15"/>
      <c r="AT31" s="15"/>
      <c r="AU31" s="28"/>
      <c r="AV31" s="28"/>
      <c r="AW31" s="15"/>
    </row>
    <row r="32" spans="1:49" ht="15" customHeight="1" x14ac:dyDescent="0.2">
      <c r="A32" s="38" t="s">
        <v>32</v>
      </c>
      <c r="B32" s="48" t="s">
        <v>33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7" t="s">
        <v>34</v>
      </c>
      <c r="O32" s="62"/>
      <c r="P32" s="38" t="s">
        <v>32</v>
      </c>
      <c r="Q32" s="48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7" t="s">
        <v>34</v>
      </c>
      <c r="AD32" s="62"/>
      <c r="AE32" s="38" t="s">
        <v>32</v>
      </c>
      <c r="AF32" s="48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7" t="s">
        <v>34</v>
      </c>
      <c r="AS32" s="62"/>
      <c r="AT32" s="38" t="s">
        <v>32</v>
      </c>
      <c r="AU32" s="28" t="s">
        <v>24</v>
      </c>
      <c r="AV32" s="28" t="s">
        <v>24</v>
      </c>
      <c r="AW32" s="62"/>
    </row>
    <row r="33" spans="1:49" ht="15" customHeight="1" x14ac:dyDescent="0.2">
      <c r="A33" s="27" t="str">
        <f t="shared" ref="A33:A35" si="70">A17</f>
        <v>Product/Service A</v>
      </c>
      <c r="B33" s="63">
        <f t="shared" ref="B33:M33" si="71">B12-B28</f>
        <v>15.489999999999998</v>
      </c>
      <c r="C33" s="63">
        <f t="shared" si="71"/>
        <v>15.489999999999998</v>
      </c>
      <c r="D33" s="63">
        <f t="shared" si="71"/>
        <v>15.489999999999998</v>
      </c>
      <c r="E33" s="63">
        <f t="shared" si="71"/>
        <v>15.489999999999998</v>
      </c>
      <c r="F33" s="63">
        <f t="shared" si="71"/>
        <v>15.489999999999998</v>
      </c>
      <c r="G33" s="63">
        <f t="shared" si="71"/>
        <v>15.489999999999998</v>
      </c>
      <c r="H33" s="63">
        <f t="shared" si="71"/>
        <v>15.489999999999998</v>
      </c>
      <c r="I33" s="63">
        <f t="shared" si="71"/>
        <v>15.489999999999998</v>
      </c>
      <c r="J33" s="63">
        <f t="shared" si="71"/>
        <v>15.489999999999998</v>
      </c>
      <c r="K33" s="63">
        <f t="shared" si="71"/>
        <v>15.989999999999998</v>
      </c>
      <c r="L33" s="63">
        <f t="shared" si="71"/>
        <v>15.989999999999998</v>
      </c>
      <c r="M33" s="63">
        <f t="shared" si="71"/>
        <v>15.989999999999998</v>
      </c>
      <c r="N33" s="42">
        <f t="shared" ref="N33:N35" si="72">AVERAGE(B33:M33)</f>
        <v>15.615</v>
      </c>
      <c r="O33" s="62"/>
      <c r="P33" s="27" t="str">
        <f t="shared" ref="P33:P35" si="73">A33</f>
        <v>Product/Service A</v>
      </c>
      <c r="Q33" s="63">
        <f t="shared" ref="Q33:AB33" si="74">Q12-Q28</f>
        <v>15.989999999999998</v>
      </c>
      <c r="R33" s="63">
        <f t="shared" si="74"/>
        <v>15.989999999999998</v>
      </c>
      <c r="S33" s="63">
        <f t="shared" si="74"/>
        <v>15.489999999999998</v>
      </c>
      <c r="T33" s="63">
        <f t="shared" si="74"/>
        <v>15.489999999999998</v>
      </c>
      <c r="U33" s="63">
        <f t="shared" si="74"/>
        <v>15.489999999999998</v>
      </c>
      <c r="V33" s="63">
        <f t="shared" si="74"/>
        <v>15.989999999999998</v>
      </c>
      <c r="W33" s="63">
        <f t="shared" si="74"/>
        <v>15.989999999999998</v>
      </c>
      <c r="X33" s="63">
        <f t="shared" si="74"/>
        <v>15.989999999999998</v>
      </c>
      <c r="Y33" s="63">
        <f t="shared" si="74"/>
        <v>15.989999999999998</v>
      </c>
      <c r="Z33" s="63">
        <f t="shared" si="74"/>
        <v>15.989999999999998</v>
      </c>
      <c r="AA33" s="63">
        <f t="shared" si="74"/>
        <v>16.239999999999998</v>
      </c>
      <c r="AB33" s="63">
        <f t="shared" si="74"/>
        <v>16.239999999999998</v>
      </c>
      <c r="AC33" s="42">
        <f t="shared" ref="AC33:AC35" si="75">AVERAGE(Q33:AB33)</f>
        <v>15.906666666666666</v>
      </c>
      <c r="AD33" s="62"/>
      <c r="AE33" s="27" t="str">
        <f t="shared" ref="AE33:AE35" si="76">A33</f>
        <v>Product/Service A</v>
      </c>
      <c r="AF33" s="63">
        <f t="shared" ref="AF33:AQ33" si="77">AF12-AF28</f>
        <v>16.239999999999998</v>
      </c>
      <c r="AG33" s="63">
        <f t="shared" si="77"/>
        <v>16.239999999999998</v>
      </c>
      <c r="AH33" s="63">
        <f t="shared" si="77"/>
        <v>15.989999999999998</v>
      </c>
      <c r="AI33" s="63">
        <f t="shared" si="77"/>
        <v>15.989999999999998</v>
      </c>
      <c r="AJ33" s="63">
        <f t="shared" si="77"/>
        <v>15.989999999999998</v>
      </c>
      <c r="AK33" s="63">
        <f t="shared" si="77"/>
        <v>16.239999999999998</v>
      </c>
      <c r="AL33" s="63">
        <f t="shared" si="77"/>
        <v>16.239999999999998</v>
      </c>
      <c r="AM33" s="63">
        <f t="shared" si="77"/>
        <v>16.239999999999998</v>
      </c>
      <c r="AN33" s="63">
        <f t="shared" si="77"/>
        <v>16.239999999999998</v>
      </c>
      <c r="AO33" s="63">
        <f t="shared" si="77"/>
        <v>16.489999999999998</v>
      </c>
      <c r="AP33" s="63">
        <f t="shared" si="77"/>
        <v>16.489999999999998</v>
      </c>
      <c r="AQ33" s="63">
        <f t="shared" si="77"/>
        <v>16.489999999999998</v>
      </c>
      <c r="AR33" s="42">
        <f t="shared" ref="AR33:AR35" si="78">AVERAGE(AF33:AQ33)</f>
        <v>16.240000000000002</v>
      </c>
      <c r="AS33" s="62"/>
      <c r="AT33" s="36" t="str">
        <f t="shared" ref="AT33:AT35" si="79">A33</f>
        <v>Product/Service A</v>
      </c>
      <c r="AU33" s="43">
        <f t="shared" ref="AU33:AU35" si="80">AC33-N33</f>
        <v>0.29166666666666607</v>
      </c>
      <c r="AV33" s="43">
        <f t="shared" ref="AV33:AV35" si="81">AR33-AC33</f>
        <v>0.3333333333333357</v>
      </c>
      <c r="AW33" s="62"/>
    </row>
    <row r="34" spans="1:49" ht="15" customHeight="1" x14ac:dyDescent="0.2">
      <c r="A34" s="27" t="str">
        <f t="shared" si="70"/>
        <v>Product/Service B</v>
      </c>
      <c r="B34" s="63">
        <f t="shared" ref="B34:M34" si="82">B13-B29</f>
        <v>11.89</v>
      </c>
      <c r="C34" s="63">
        <f t="shared" si="82"/>
        <v>11.89</v>
      </c>
      <c r="D34" s="63">
        <f t="shared" si="82"/>
        <v>11.89</v>
      </c>
      <c r="E34" s="63">
        <f t="shared" si="82"/>
        <v>11.89</v>
      </c>
      <c r="F34" s="63">
        <f t="shared" si="82"/>
        <v>11.89</v>
      </c>
      <c r="G34" s="63">
        <f t="shared" si="82"/>
        <v>11.89</v>
      </c>
      <c r="H34" s="63">
        <f t="shared" si="82"/>
        <v>11.89</v>
      </c>
      <c r="I34" s="63">
        <f t="shared" si="82"/>
        <v>11.89</v>
      </c>
      <c r="J34" s="63">
        <f t="shared" si="82"/>
        <v>11.89</v>
      </c>
      <c r="K34" s="63">
        <f t="shared" si="82"/>
        <v>11.89</v>
      </c>
      <c r="L34" s="63">
        <f t="shared" si="82"/>
        <v>11.89</v>
      </c>
      <c r="M34" s="63">
        <f t="shared" si="82"/>
        <v>11.89</v>
      </c>
      <c r="N34" s="42">
        <f t="shared" si="72"/>
        <v>11.89</v>
      </c>
      <c r="O34" s="62"/>
      <c r="P34" s="27" t="str">
        <f t="shared" si="73"/>
        <v>Product/Service B</v>
      </c>
      <c r="Q34" s="63">
        <f t="shared" ref="Q34:AB34" si="83">Q13-Q29</f>
        <v>11.89</v>
      </c>
      <c r="R34" s="63">
        <f t="shared" si="83"/>
        <v>11.89</v>
      </c>
      <c r="S34" s="63">
        <f t="shared" si="83"/>
        <v>11.89</v>
      </c>
      <c r="T34" s="63">
        <f t="shared" si="83"/>
        <v>11.89</v>
      </c>
      <c r="U34" s="63">
        <f t="shared" si="83"/>
        <v>11.89</v>
      </c>
      <c r="V34" s="63">
        <f t="shared" si="83"/>
        <v>11.89</v>
      </c>
      <c r="W34" s="63">
        <f t="shared" si="83"/>
        <v>11.89</v>
      </c>
      <c r="X34" s="63">
        <f t="shared" si="83"/>
        <v>11.89</v>
      </c>
      <c r="Y34" s="63">
        <f t="shared" si="83"/>
        <v>11.89</v>
      </c>
      <c r="Z34" s="63">
        <f t="shared" si="83"/>
        <v>12.09</v>
      </c>
      <c r="AA34" s="63">
        <f t="shared" si="83"/>
        <v>12.09</v>
      </c>
      <c r="AB34" s="63">
        <f t="shared" si="83"/>
        <v>12.09</v>
      </c>
      <c r="AC34" s="42">
        <f t="shared" si="75"/>
        <v>11.94</v>
      </c>
      <c r="AD34" s="62"/>
      <c r="AE34" s="27" t="str">
        <f t="shared" si="76"/>
        <v>Product/Service B</v>
      </c>
      <c r="AF34" s="63">
        <f t="shared" ref="AF34:AQ34" si="84">AF13-AF29</f>
        <v>12.09</v>
      </c>
      <c r="AG34" s="63">
        <f t="shared" si="84"/>
        <v>11.89</v>
      </c>
      <c r="AH34" s="63">
        <f t="shared" si="84"/>
        <v>11.89</v>
      </c>
      <c r="AI34" s="63">
        <f t="shared" si="84"/>
        <v>11.89</v>
      </c>
      <c r="AJ34" s="63">
        <f t="shared" si="84"/>
        <v>11.89</v>
      </c>
      <c r="AK34" s="63">
        <f t="shared" si="84"/>
        <v>11.89</v>
      </c>
      <c r="AL34" s="63">
        <f t="shared" si="84"/>
        <v>11.89</v>
      </c>
      <c r="AM34" s="63">
        <f t="shared" si="84"/>
        <v>11.89</v>
      </c>
      <c r="AN34" s="63">
        <f t="shared" si="84"/>
        <v>12.09</v>
      </c>
      <c r="AO34" s="63">
        <f t="shared" si="84"/>
        <v>12.09</v>
      </c>
      <c r="AP34" s="63">
        <f t="shared" si="84"/>
        <v>12.14</v>
      </c>
      <c r="AQ34" s="63">
        <f t="shared" si="84"/>
        <v>12.14</v>
      </c>
      <c r="AR34" s="42">
        <f t="shared" si="78"/>
        <v>11.981666666666669</v>
      </c>
      <c r="AS34" s="62"/>
      <c r="AT34" s="36" t="str">
        <f t="shared" si="79"/>
        <v>Product/Service B</v>
      </c>
      <c r="AU34" s="43">
        <f t="shared" si="80"/>
        <v>4.9999999999998934E-2</v>
      </c>
      <c r="AV34" s="43">
        <f t="shared" si="81"/>
        <v>4.1666666666669627E-2</v>
      </c>
      <c r="AW34" s="62"/>
    </row>
    <row r="35" spans="1:49" ht="15" customHeight="1" x14ac:dyDescent="0.2">
      <c r="A35" s="27" t="str">
        <f t="shared" si="70"/>
        <v>Product/Service C</v>
      </c>
      <c r="B35" s="63">
        <f t="shared" ref="B35:M35" si="85">B14-B30</f>
        <v>48.440000000000005</v>
      </c>
      <c r="C35" s="63">
        <f t="shared" si="85"/>
        <v>48.440000000000005</v>
      </c>
      <c r="D35" s="63">
        <f t="shared" si="85"/>
        <v>48.440000000000005</v>
      </c>
      <c r="E35" s="63">
        <f t="shared" si="85"/>
        <v>48.440000000000005</v>
      </c>
      <c r="F35" s="63">
        <f t="shared" si="85"/>
        <v>48.440000000000005</v>
      </c>
      <c r="G35" s="63">
        <f t="shared" si="85"/>
        <v>48.440000000000005</v>
      </c>
      <c r="H35" s="63">
        <f t="shared" si="85"/>
        <v>48.440000000000005</v>
      </c>
      <c r="I35" s="63">
        <f t="shared" si="85"/>
        <v>48.440000000000005</v>
      </c>
      <c r="J35" s="63">
        <f t="shared" si="85"/>
        <v>48.440000000000005</v>
      </c>
      <c r="K35" s="63">
        <f t="shared" si="85"/>
        <v>48.440000000000005</v>
      </c>
      <c r="L35" s="63">
        <f t="shared" si="85"/>
        <v>48.440000000000005</v>
      </c>
      <c r="M35" s="63">
        <f t="shared" si="85"/>
        <v>48.440000000000005</v>
      </c>
      <c r="N35" s="42">
        <f t="shared" si="72"/>
        <v>48.440000000000005</v>
      </c>
      <c r="O35" s="62"/>
      <c r="P35" s="27" t="str">
        <f t="shared" si="73"/>
        <v>Product/Service C</v>
      </c>
      <c r="Q35" s="63">
        <f t="shared" ref="Q35:AB35" si="86">Q14-Q30</f>
        <v>53.440000000000005</v>
      </c>
      <c r="R35" s="63">
        <f t="shared" si="86"/>
        <v>53.440000000000005</v>
      </c>
      <c r="S35" s="63">
        <f t="shared" si="86"/>
        <v>53.440000000000005</v>
      </c>
      <c r="T35" s="63">
        <f t="shared" si="86"/>
        <v>53.440000000000005</v>
      </c>
      <c r="U35" s="63">
        <f t="shared" si="86"/>
        <v>53.440000000000005</v>
      </c>
      <c r="V35" s="63">
        <f t="shared" si="86"/>
        <v>53.440000000000005</v>
      </c>
      <c r="W35" s="63">
        <f t="shared" si="86"/>
        <v>53.89</v>
      </c>
      <c r="X35" s="63">
        <f t="shared" si="86"/>
        <v>53.440000000000005</v>
      </c>
      <c r="Y35" s="63">
        <f t="shared" si="86"/>
        <v>53.440000000000005</v>
      </c>
      <c r="Z35" s="63">
        <f t="shared" si="86"/>
        <v>53.440000000000005</v>
      </c>
      <c r="AA35" s="63">
        <f t="shared" si="86"/>
        <v>53.440000000000005</v>
      </c>
      <c r="AB35" s="63">
        <f t="shared" si="86"/>
        <v>53.440000000000005</v>
      </c>
      <c r="AC35" s="42">
        <f t="shared" si="75"/>
        <v>53.477500000000013</v>
      </c>
      <c r="AD35" s="62"/>
      <c r="AE35" s="27" t="str">
        <f t="shared" si="76"/>
        <v>Product/Service C</v>
      </c>
      <c r="AF35" s="63">
        <f t="shared" ref="AF35:AQ35" si="87">AF14-AF30</f>
        <v>58.440000000000005</v>
      </c>
      <c r="AG35" s="63">
        <f t="shared" si="87"/>
        <v>58.440000000000005</v>
      </c>
      <c r="AH35" s="63">
        <f t="shared" si="87"/>
        <v>58.440000000000005</v>
      </c>
      <c r="AI35" s="63">
        <f t="shared" si="87"/>
        <v>58.440000000000005</v>
      </c>
      <c r="AJ35" s="63">
        <f t="shared" si="87"/>
        <v>58.89</v>
      </c>
      <c r="AK35" s="63">
        <f t="shared" si="87"/>
        <v>58.89</v>
      </c>
      <c r="AL35" s="63">
        <f t="shared" si="87"/>
        <v>58.89</v>
      </c>
      <c r="AM35" s="63">
        <f t="shared" si="87"/>
        <v>58.89</v>
      </c>
      <c r="AN35" s="63">
        <f t="shared" si="87"/>
        <v>58.89</v>
      </c>
      <c r="AO35" s="63">
        <f t="shared" si="87"/>
        <v>58.440000000000005</v>
      </c>
      <c r="AP35" s="63">
        <f t="shared" si="87"/>
        <v>58.440000000000005</v>
      </c>
      <c r="AQ35" s="63">
        <f t="shared" si="87"/>
        <v>58.440000000000005</v>
      </c>
      <c r="AR35" s="42">
        <f t="shared" si="78"/>
        <v>58.627500000000019</v>
      </c>
      <c r="AS35" s="62"/>
      <c r="AT35" s="36" t="str">
        <f t="shared" si="79"/>
        <v>Product/Service C</v>
      </c>
      <c r="AU35" s="43">
        <f t="shared" si="80"/>
        <v>5.0375000000000085</v>
      </c>
      <c r="AV35" s="43">
        <f t="shared" si="81"/>
        <v>5.1500000000000057</v>
      </c>
      <c r="AW35" s="62"/>
    </row>
    <row r="36" spans="1:49" ht="9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28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28"/>
      <c r="AS36" s="15"/>
      <c r="AT36" s="15"/>
      <c r="AU36" s="28"/>
      <c r="AV36" s="28"/>
      <c r="AW36" s="15"/>
    </row>
    <row r="37" spans="1:49" ht="15" customHeight="1" x14ac:dyDescent="0.2">
      <c r="A37" s="38" t="s">
        <v>35</v>
      </c>
      <c r="B37" s="48" t="s">
        <v>36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7" t="s">
        <v>37</v>
      </c>
      <c r="O37" s="62"/>
      <c r="P37" s="38" t="s">
        <v>35</v>
      </c>
      <c r="Q37" s="48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7" t="s">
        <v>37</v>
      </c>
      <c r="AD37" s="62"/>
      <c r="AE37" s="38" t="s">
        <v>35</v>
      </c>
      <c r="AF37" s="4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7" t="s">
        <v>37</v>
      </c>
      <c r="AS37" s="62"/>
      <c r="AT37" s="38" t="s">
        <v>35</v>
      </c>
      <c r="AU37" s="28" t="s">
        <v>24</v>
      </c>
      <c r="AV37" s="28" t="s">
        <v>24</v>
      </c>
      <c r="AW37" s="62"/>
    </row>
    <row r="38" spans="1:49" ht="15" customHeight="1" x14ac:dyDescent="0.2">
      <c r="A38" s="27" t="str">
        <f t="shared" ref="A38:A40" si="88">A12</f>
        <v>Product/Service A</v>
      </c>
      <c r="B38" s="49">
        <f t="shared" ref="B38:M38" si="89">B7*B33</f>
        <v>7744.9999999999991</v>
      </c>
      <c r="C38" s="49">
        <f t="shared" si="89"/>
        <v>8132.2499999999991</v>
      </c>
      <c r="D38" s="49">
        <f t="shared" si="89"/>
        <v>8519.5</v>
      </c>
      <c r="E38" s="49">
        <f t="shared" si="89"/>
        <v>8906.75</v>
      </c>
      <c r="F38" s="49">
        <f t="shared" si="89"/>
        <v>8519.5</v>
      </c>
      <c r="G38" s="49">
        <f t="shared" si="89"/>
        <v>8132.2499999999991</v>
      </c>
      <c r="H38" s="49">
        <f t="shared" si="89"/>
        <v>8132.2499999999991</v>
      </c>
      <c r="I38" s="49">
        <f t="shared" si="89"/>
        <v>8519.5</v>
      </c>
      <c r="J38" s="49">
        <f t="shared" si="89"/>
        <v>8906.75</v>
      </c>
      <c r="K38" s="49">
        <f t="shared" si="89"/>
        <v>9593.9999999999982</v>
      </c>
      <c r="L38" s="49">
        <f t="shared" si="89"/>
        <v>10393.499999999998</v>
      </c>
      <c r="M38" s="49">
        <f t="shared" si="89"/>
        <v>10393.499999999998</v>
      </c>
      <c r="N38" s="50">
        <f t="shared" ref="N38:N40" si="90">SUM(B38:M38)</f>
        <v>105894.75</v>
      </c>
      <c r="O38" s="62"/>
      <c r="P38" s="27" t="str">
        <f t="shared" ref="P38:P40" si="91">A38</f>
        <v>Product/Service A</v>
      </c>
      <c r="Q38" s="49">
        <f t="shared" ref="Q38:AB38" si="92">Q7*Q33</f>
        <v>9993.7499999999982</v>
      </c>
      <c r="R38" s="49">
        <f t="shared" si="92"/>
        <v>9593.9999999999982</v>
      </c>
      <c r="S38" s="49">
        <f t="shared" si="92"/>
        <v>8906.75</v>
      </c>
      <c r="T38" s="49">
        <f t="shared" si="92"/>
        <v>8519.5</v>
      </c>
      <c r="U38" s="49">
        <f t="shared" si="92"/>
        <v>8906.75</v>
      </c>
      <c r="V38" s="49">
        <f t="shared" si="92"/>
        <v>9593.9999999999982</v>
      </c>
      <c r="W38" s="49">
        <f t="shared" si="92"/>
        <v>9593.9999999999982</v>
      </c>
      <c r="X38" s="49">
        <f t="shared" si="92"/>
        <v>9993.7499999999982</v>
      </c>
      <c r="Y38" s="49">
        <f t="shared" si="92"/>
        <v>10393.499999999998</v>
      </c>
      <c r="Z38" s="49">
        <f t="shared" si="92"/>
        <v>10793.249999999998</v>
      </c>
      <c r="AA38" s="49">
        <f t="shared" si="92"/>
        <v>11367.999999999998</v>
      </c>
      <c r="AB38" s="49">
        <f t="shared" si="92"/>
        <v>11773.999999999998</v>
      </c>
      <c r="AC38" s="50">
        <f t="shared" ref="AC38:AC40" si="93">SUM(Q38:AB38)</f>
        <v>119431.25</v>
      </c>
      <c r="AD38" s="62"/>
      <c r="AE38" s="27" t="str">
        <f t="shared" ref="AE38:AE40" si="94">A38</f>
        <v>Product/Service A</v>
      </c>
      <c r="AF38" s="49">
        <f t="shared" ref="AF38:AQ38" si="95">AF7*AF33</f>
        <v>12179.999999999998</v>
      </c>
      <c r="AG38" s="49">
        <f t="shared" si="95"/>
        <v>11367.999999999998</v>
      </c>
      <c r="AH38" s="49">
        <f t="shared" si="95"/>
        <v>10393.499999999998</v>
      </c>
      <c r="AI38" s="49">
        <f t="shared" si="95"/>
        <v>10393.499999999998</v>
      </c>
      <c r="AJ38" s="49">
        <f t="shared" si="95"/>
        <v>10793.249999999998</v>
      </c>
      <c r="AK38" s="49">
        <f t="shared" si="95"/>
        <v>11367.999999999998</v>
      </c>
      <c r="AL38" s="49">
        <f t="shared" si="95"/>
        <v>11367.999999999998</v>
      </c>
      <c r="AM38" s="49">
        <f t="shared" si="95"/>
        <v>11773.999999999998</v>
      </c>
      <c r="AN38" s="49">
        <f t="shared" si="95"/>
        <v>12179.999999999998</v>
      </c>
      <c r="AO38" s="49">
        <f t="shared" si="95"/>
        <v>13191.999999999998</v>
      </c>
      <c r="AP38" s="49">
        <f t="shared" si="95"/>
        <v>14016.499999999998</v>
      </c>
      <c r="AQ38" s="49">
        <f t="shared" si="95"/>
        <v>14840.999999999998</v>
      </c>
      <c r="AR38" s="50">
        <f t="shared" ref="AR38:AR40" si="96">SUM(AF38:AQ38)</f>
        <v>143867.74999999997</v>
      </c>
      <c r="AS38" s="62"/>
      <c r="AT38" s="36" t="str">
        <f t="shared" ref="AT38:AT40" si="97">A38</f>
        <v>Product/Service A</v>
      </c>
      <c r="AU38" s="51">
        <f t="shared" ref="AU38:AU41" si="98">AC38-N38</f>
        <v>13536.5</v>
      </c>
      <c r="AV38" s="51">
        <f t="shared" ref="AV38:AV41" si="99">AR38-AC38</f>
        <v>24436.499999999971</v>
      </c>
      <c r="AW38" s="62"/>
    </row>
    <row r="39" spans="1:49" ht="15" customHeight="1" x14ac:dyDescent="0.2">
      <c r="A39" s="27" t="str">
        <f t="shared" si="88"/>
        <v>Product/Service B</v>
      </c>
      <c r="B39" s="49">
        <f t="shared" ref="B39:M39" si="100">B8*B34</f>
        <v>17835</v>
      </c>
      <c r="C39" s="49">
        <f t="shared" si="100"/>
        <v>11890</v>
      </c>
      <c r="D39" s="49">
        <f t="shared" si="100"/>
        <v>11890</v>
      </c>
      <c r="E39" s="49">
        <f t="shared" si="100"/>
        <v>14862.5</v>
      </c>
      <c r="F39" s="49">
        <f t="shared" si="100"/>
        <v>14862.5</v>
      </c>
      <c r="G39" s="49">
        <f t="shared" si="100"/>
        <v>17835</v>
      </c>
      <c r="H39" s="49">
        <f t="shared" si="100"/>
        <v>17835</v>
      </c>
      <c r="I39" s="49">
        <f t="shared" si="100"/>
        <v>20807.5</v>
      </c>
      <c r="J39" s="49">
        <f t="shared" si="100"/>
        <v>23780</v>
      </c>
      <c r="K39" s="49">
        <f t="shared" si="100"/>
        <v>29725</v>
      </c>
      <c r="L39" s="49">
        <f t="shared" si="100"/>
        <v>35670</v>
      </c>
      <c r="M39" s="49">
        <f t="shared" si="100"/>
        <v>35670</v>
      </c>
      <c r="N39" s="50">
        <f t="shared" si="90"/>
        <v>252662.5</v>
      </c>
      <c r="O39" s="62"/>
      <c r="P39" s="27" t="str">
        <f t="shared" si="91"/>
        <v>Product/Service B</v>
      </c>
      <c r="Q39" s="49">
        <f t="shared" ref="Q39:AB39" si="101">Q8*Q34</f>
        <v>23780</v>
      </c>
      <c r="R39" s="49">
        <f t="shared" si="101"/>
        <v>17835</v>
      </c>
      <c r="S39" s="49">
        <f t="shared" si="101"/>
        <v>17835</v>
      </c>
      <c r="T39" s="49">
        <f t="shared" si="101"/>
        <v>20807.5</v>
      </c>
      <c r="U39" s="49">
        <f t="shared" si="101"/>
        <v>20807.5</v>
      </c>
      <c r="V39" s="49">
        <f t="shared" si="101"/>
        <v>23780</v>
      </c>
      <c r="W39" s="49">
        <f t="shared" si="101"/>
        <v>23780</v>
      </c>
      <c r="X39" s="49">
        <f t="shared" si="101"/>
        <v>26752.5</v>
      </c>
      <c r="Y39" s="49">
        <f t="shared" si="101"/>
        <v>29725</v>
      </c>
      <c r="Z39" s="49">
        <f t="shared" si="101"/>
        <v>36270</v>
      </c>
      <c r="AA39" s="49">
        <f t="shared" si="101"/>
        <v>42315</v>
      </c>
      <c r="AB39" s="49">
        <f t="shared" si="101"/>
        <v>42315</v>
      </c>
      <c r="AC39" s="50">
        <f t="shared" si="93"/>
        <v>326002.5</v>
      </c>
      <c r="AD39" s="62"/>
      <c r="AE39" s="27" t="str">
        <f t="shared" si="94"/>
        <v>Product/Service B</v>
      </c>
      <c r="AF39" s="49">
        <f t="shared" ref="AF39:AQ39" si="102">AF8*AF34</f>
        <v>36270</v>
      </c>
      <c r="AG39" s="49">
        <f t="shared" si="102"/>
        <v>23780</v>
      </c>
      <c r="AH39" s="49">
        <f t="shared" si="102"/>
        <v>23780</v>
      </c>
      <c r="AI39" s="49">
        <f t="shared" si="102"/>
        <v>26752.5</v>
      </c>
      <c r="AJ39" s="49">
        <f t="shared" si="102"/>
        <v>26752.5</v>
      </c>
      <c r="AK39" s="49">
        <f t="shared" si="102"/>
        <v>29725</v>
      </c>
      <c r="AL39" s="49">
        <f t="shared" si="102"/>
        <v>29725</v>
      </c>
      <c r="AM39" s="49">
        <f t="shared" si="102"/>
        <v>32697.5</v>
      </c>
      <c r="AN39" s="49">
        <f t="shared" si="102"/>
        <v>36270</v>
      </c>
      <c r="AO39" s="49">
        <f t="shared" si="102"/>
        <v>42315</v>
      </c>
      <c r="AP39" s="49">
        <f t="shared" si="102"/>
        <v>48560</v>
      </c>
      <c r="AQ39" s="49">
        <f t="shared" si="102"/>
        <v>48560</v>
      </c>
      <c r="AR39" s="50">
        <f t="shared" si="96"/>
        <v>405187.5</v>
      </c>
      <c r="AS39" s="62"/>
      <c r="AT39" s="36" t="str">
        <f t="shared" si="97"/>
        <v>Product/Service B</v>
      </c>
      <c r="AU39" s="51">
        <f t="shared" si="98"/>
        <v>73340</v>
      </c>
      <c r="AV39" s="51">
        <f t="shared" si="99"/>
        <v>79185</v>
      </c>
      <c r="AW39" s="62"/>
    </row>
    <row r="40" spans="1:49" ht="15" customHeight="1" x14ac:dyDescent="0.2">
      <c r="A40" s="52" t="str">
        <f t="shared" si="88"/>
        <v>Product/Service C</v>
      </c>
      <c r="B40" s="49">
        <f t="shared" ref="B40:M40" si="103">B9*B35</f>
        <v>7266.0000000000009</v>
      </c>
      <c r="C40" s="49">
        <f t="shared" si="103"/>
        <v>9688.0000000000018</v>
      </c>
      <c r="D40" s="49">
        <f t="shared" si="103"/>
        <v>12110.000000000002</v>
      </c>
      <c r="E40" s="49">
        <f t="shared" si="103"/>
        <v>14532.000000000002</v>
      </c>
      <c r="F40" s="49">
        <f t="shared" si="103"/>
        <v>16954</v>
      </c>
      <c r="G40" s="49">
        <f t="shared" si="103"/>
        <v>19376.000000000004</v>
      </c>
      <c r="H40" s="49">
        <f t="shared" si="103"/>
        <v>19376.000000000004</v>
      </c>
      <c r="I40" s="49">
        <f t="shared" si="103"/>
        <v>16954</v>
      </c>
      <c r="J40" s="49">
        <f t="shared" si="103"/>
        <v>16954</v>
      </c>
      <c r="K40" s="49">
        <f t="shared" si="103"/>
        <v>14532.000000000002</v>
      </c>
      <c r="L40" s="49">
        <f t="shared" si="103"/>
        <v>14532.000000000002</v>
      </c>
      <c r="M40" s="49">
        <f t="shared" si="103"/>
        <v>14532.000000000002</v>
      </c>
      <c r="N40" s="53">
        <f t="shared" si="90"/>
        <v>176806</v>
      </c>
      <c r="O40" s="62"/>
      <c r="P40" s="27" t="str">
        <f t="shared" si="91"/>
        <v>Product/Service C</v>
      </c>
      <c r="Q40" s="49">
        <f t="shared" ref="Q40:AB40" si="104">Q9*Q35</f>
        <v>16032.000000000002</v>
      </c>
      <c r="R40" s="49">
        <f t="shared" si="104"/>
        <v>13360.000000000002</v>
      </c>
      <c r="S40" s="49">
        <f t="shared" si="104"/>
        <v>16032.000000000002</v>
      </c>
      <c r="T40" s="49">
        <f t="shared" si="104"/>
        <v>18704</v>
      </c>
      <c r="U40" s="49">
        <f t="shared" si="104"/>
        <v>21376.000000000004</v>
      </c>
      <c r="V40" s="49">
        <f t="shared" si="104"/>
        <v>24048.000000000004</v>
      </c>
      <c r="W40" s="49">
        <f t="shared" si="104"/>
        <v>26945</v>
      </c>
      <c r="X40" s="49">
        <f t="shared" si="104"/>
        <v>21376.000000000004</v>
      </c>
      <c r="Y40" s="49">
        <f t="shared" si="104"/>
        <v>21376.000000000004</v>
      </c>
      <c r="Z40" s="49">
        <f t="shared" si="104"/>
        <v>18704</v>
      </c>
      <c r="AA40" s="49">
        <f t="shared" si="104"/>
        <v>18704</v>
      </c>
      <c r="AB40" s="49">
        <f t="shared" si="104"/>
        <v>17368</v>
      </c>
      <c r="AC40" s="53">
        <f t="shared" si="93"/>
        <v>234025</v>
      </c>
      <c r="AD40" s="62"/>
      <c r="AE40" s="27" t="str">
        <f t="shared" si="94"/>
        <v>Product/Service C</v>
      </c>
      <c r="AF40" s="49">
        <f t="shared" ref="AF40:AQ40" si="105">AF9*AF35</f>
        <v>18993</v>
      </c>
      <c r="AG40" s="49">
        <f t="shared" si="105"/>
        <v>20454</v>
      </c>
      <c r="AH40" s="49">
        <f t="shared" si="105"/>
        <v>23376.000000000004</v>
      </c>
      <c r="AI40" s="49">
        <f t="shared" si="105"/>
        <v>26298.000000000004</v>
      </c>
      <c r="AJ40" s="49">
        <f t="shared" si="105"/>
        <v>29445</v>
      </c>
      <c r="AK40" s="49">
        <f t="shared" si="105"/>
        <v>32389.5</v>
      </c>
      <c r="AL40" s="49">
        <f t="shared" si="105"/>
        <v>35334</v>
      </c>
      <c r="AM40" s="49">
        <f t="shared" si="105"/>
        <v>29445</v>
      </c>
      <c r="AN40" s="49">
        <f t="shared" si="105"/>
        <v>29445</v>
      </c>
      <c r="AO40" s="49">
        <f t="shared" si="105"/>
        <v>26298.000000000004</v>
      </c>
      <c r="AP40" s="49">
        <f t="shared" si="105"/>
        <v>26298.000000000004</v>
      </c>
      <c r="AQ40" s="49">
        <f t="shared" si="105"/>
        <v>24837.000000000004</v>
      </c>
      <c r="AR40" s="53">
        <f t="shared" si="96"/>
        <v>322612.5</v>
      </c>
      <c r="AS40" s="62"/>
      <c r="AT40" s="54" t="str">
        <f t="shared" si="97"/>
        <v>Product/Service C</v>
      </c>
      <c r="AU40" s="55">
        <f t="shared" si="98"/>
        <v>57219</v>
      </c>
      <c r="AV40" s="55">
        <f t="shared" si="99"/>
        <v>88587.5</v>
      </c>
      <c r="AW40" s="62"/>
    </row>
    <row r="41" spans="1:49" ht="15" customHeight="1" x14ac:dyDescent="0.2">
      <c r="A41" s="56" t="s">
        <v>37</v>
      </c>
      <c r="B41" s="57">
        <f t="shared" ref="B41:M41" si="106">SUM(B38:B40)</f>
        <v>32846</v>
      </c>
      <c r="C41" s="58">
        <f t="shared" si="106"/>
        <v>29710.25</v>
      </c>
      <c r="D41" s="58">
        <f t="shared" si="106"/>
        <v>32519.5</v>
      </c>
      <c r="E41" s="58">
        <f t="shared" si="106"/>
        <v>38301.25</v>
      </c>
      <c r="F41" s="58">
        <f t="shared" si="106"/>
        <v>40336</v>
      </c>
      <c r="G41" s="58">
        <f t="shared" si="106"/>
        <v>45343.25</v>
      </c>
      <c r="H41" s="58">
        <f t="shared" si="106"/>
        <v>45343.25</v>
      </c>
      <c r="I41" s="58">
        <f t="shared" si="106"/>
        <v>46281</v>
      </c>
      <c r="J41" s="58">
        <f t="shared" si="106"/>
        <v>49640.75</v>
      </c>
      <c r="K41" s="58">
        <f t="shared" si="106"/>
        <v>53851</v>
      </c>
      <c r="L41" s="58">
        <f t="shared" si="106"/>
        <v>60595.5</v>
      </c>
      <c r="M41" s="59">
        <f t="shared" si="106"/>
        <v>60595.5</v>
      </c>
      <c r="N41" s="60">
        <f>SUM(N37:N40)</f>
        <v>535363.25</v>
      </c>
      <c r="O41" s="15"/>
      <c r="P41" s="56" t="s">
        <v>37</v>
      </c>
      <c r="Q41" s="57">
        <f t="shared" ref="Q41:AB41" si="107">SUM(Q38:Q40)</f>
        <v>49805.75</v>
      </c>
      <c r="R41" s="58">
        <f t="shared" si="107"/>
        <v>40789</v>
      </c>
      <c r="S41" s="58">
        <f t="shared" si="107"/>
        <v>42773.75</v>
      </c>
      <c r="T41" s="58">
        <f t="shared" si="107"/>
        <v>48031</v>
      </c>
      <c r="U41" s="58">
        <f t="shared" si="107"/>
        <v>51090.25</v>
      </c>
      <c r="V41" s="58">
        <f t="shared" si="107"/>
        <v>57422</v>
      </c>
      <c r="W41" s="58">
        <f t="shared" si="107"/>
        <v>60319</v>
      </c>
      <c r="X41" s="58">
        <f t="shared" si="107"/>
        <v>58122.25</v>
      </c>
      <c r="Y41" s="58">
        <f t="shared" si="107"/>
        <v>61494.5</v>
      </c>
      <c r="Z41" s="58">
        <f t="shared" si="107"/>
        <v>65767.25</v>
      </c>
      <c r="AA41" s="58">
        <f t="shared" si="107"/>
        <v>72387</v>
      </c>
      <c r="AB41" s="59">
        <f t="shared" si="107"/>
        <v>71457</v>
      </c>
      <c r="AC41" s="60">
        <f>SUM(AC37:AC40)</f>
        <v>679458.75</v>
      </c>
      <c r="AD41" s="15"/>
      <c r="AE41" s="56" t="s">
        <v>37</v>
      </c>
      <c r="AF41" s="57">
        <f t="shared" ref="AF41:AQ41" si="108">SUM(AF38:AF40)</f>
        <v>67443</v>
      </c>
      <c r="AG41" s="58">
        <f t="shared" si="108"/>
        <v>55602</v>
      </c>
      <c r="AH41" s="58">
        <f t="shared" si="108"/>
        <v>57549.5</v>
      </c>
      <c r="AI41" s="58">
        <f t="shared" si="108"/>
        <v>63444</v>
      </c>
      <c r="AJ41" s="58">
        <f t="shared" si="108"/>
        <v>66990.75</v>
      </c>
      <c r="AK41" s="58">
        <f t="shared" si="108"/>
        <v>73482.5</v>
      </c>
      <c r="AL41" s="58">
        <f t="shared" si="108"/>
        <v>76427</v>
      </c>
      <c r="AM41" s="58">
        <f t="shared" si="108"/>
        <v>73916.5</v>
      </c>
      <c r="AN41" s="58">
        <f t="shared" si="108"/>
        <v>77895</v>
      </c>
      <c r="AO41" s="58">
        <f t="shared" si="108"/>
        <v>81805</v>
      </c>
      <c r="AP41" s="58">
        <f t="shared" si="108"/>
        <v>88874.5</v>
      </c>
      <c r="AQ41" s="59">
        <f t="shared" si="108"/>
        <v>88238</v>
      </c>
      <c r="AR41" s="60">
        <f>SUM(AR37:AR40)</f>
        <v>871667.75</v>
      </c>
      <c r="AS41" s="15"/>
      <c r="AT41" s="56" t="s">
        <v>37</v>
      </c>
      <c r="AU41" s="61">
        <f t="shared" si="98"/>
        <v>144095.5</v>
      </c>
      <c r="AV41" s="61">
        <f t="shared" si="99"/>
        <v>192209</v>
      </c>
      <c r="AW41" s="15"/>
    </row>
    <row r="42" spans="1:49" ht="1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8"/>
      <c r="O42" s="15"/>
      <c r="P42" s="15"/>
      <c r="Q42" s="64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ht="15" customHeight="1" x14ac:dyDescent="0.2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6"/>
      <c r="P43" s="65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5"/>
      <c r="AD43" s="68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2"/>
      <c r="AT43" s="65"/>
      <c r="AU43" s="62"/>
      <c r="AV43" s="62"/>
      <c r="AW43" s="62"/>
    </row>
    <row r="44" spans="1:49" ht="18" customHeight="1" x14ac:dyDescent="0.2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9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70"/>
      <c r="AC44" s="65"/>
      <c r="AD44" s="69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70"/>
      <c r="AR44" s="65"/>
      <c r="AS44" s="62"/>
      <c r="AT44" s="65"/>
      <c r="AU44" s="62"/>
      <c r="AV44" s="62"/>
      <c r="AW44" s="62"/>
    </row>
    <row r="45" spans="1:49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2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</row>
    <row r="46" spans="1:49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2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</row>
    <row r="47" spans="1:49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2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</row>
    <row r="48" spans="1:49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2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</row>
    <row r="49" spans="1:49" ht="18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73"/>
      <c r="O49" s="71"/>
      <c r="P49" s="3"/>
      <c r="Q49" s="74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3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3"/>
      <c r="AU49" s="71"/>
      <c r="AV49" s="71"/>
      <c r="AW49" s="71"/>
    </row>
    <row r="50" spans="1:49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2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</row>
    <row r="51" spans="1:49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2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</row>
    <row r="52" spans="1:49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2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</row>
    <row r="53" spans="1:49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2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</row>
    <row r="54" spans="1:49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2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</row>
    <row r="55" spans="1:49" ht="18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73"/>
      <c r="O55" s="71"/>
      <c r="P55" s="3"/>
      <c r="Q55" s="74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3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3"/>
      <c r="AU55" s="71"/>
      <c r="AV55" s="71"/>
      <c r="AW55" s="71"/>
    </row>
    <row r="56" spans="1:49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2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</row>
    <row r="57" spans="1:49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2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</row>
    <row r="58" spans="1:49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2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</row>
    <row r="59" spans="1:4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2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</row>
    <row r="60" spans="1:4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2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</row>
    <row r="61" spans="1:49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2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</row>
    <row r="62" spans="1:49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2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</row>
    <row r="63" spans="1:49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2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</row>
    <row r="64" spans="1:4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2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</row>
    <row r="65" spans="1:49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2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</row>
    <row r="66" spans="1:49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2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</row>
    <row r="67" spans="1:49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2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</row>
    <row r="68" spans="1:49" ht="12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2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</row>
    <row r="69" spans="1:49" ht="12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2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</row>
    <row r="70" spans="1:49" ht="12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2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</row>
    <row r="71" spans="1:49" ht="12.7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2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</row>
    <row r="72" spans="1:49" ht="12.75" customHeight="1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2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</row>
    <row r="73" spans="1:49" ht="12.75" customHeight="1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2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</row>
    <row r="74" spans="1:49" ht="12.75" customHeight="1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2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</row>
    <row r="75" spans="1:49" ht="12.75" customHeight="1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2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</row>
    <row r="76" spans="1:49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2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</row>
    <row r="77" spans="1:49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2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</row>
    <row r="78" spans="1:49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2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</row>
    <row r="79" spans="1:49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2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</row>
    <row r="80" spans="1:49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2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</row>
    <row r="81" spans="1:49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2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</row>
    <row r="82" spans="1:49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2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</row>
    <row r="83" spans="1:49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2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</row>
    <row r="84" spans="1:49" ht="12.75" customHeight="1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2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</row>
    <row r="85" spans="1:49" ht="12.75" customHeight="1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2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</row>
    <row r="86" spans="1:49" ht="12.75" customHeight="1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2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</row>
    <row r="87" spans="1:49" ht="12.75" customHeight="1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2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</row>
    <row r="88" spans="1:49" ht="12.75" customHeight="1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2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</row>
    <row r="89" spans="1:49" ht="12.75" customHeight="1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2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</row>
    <row r="90" spans="1:49" ht="12.75" customHeight="1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2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</row>
    <row r="91" spans="1:49" ht="12.75" customHeight="1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2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</row>
    <row r="92" spans="1:49" ht="12.75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2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</row>
    <row r="93" spans="1:49" ht="12.75" customHeight="1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2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</row>
    <row r="94" spans="1:49" ht="12.75" customHeight="1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2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</row>
    <row r="95" spans="1:49" ht="12.75" customHeight="1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2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</row>
    <row r="96" spans="1:49" ht="12.75" customHeight="1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2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</row>
    <row r="97" spans="1:49" ht="12.75" customHeight="1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2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</row>
    <row r="98" spans="1:49" ht="12.75" customHeight="1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2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</row>
    <row r="99" spans="1:49" ht="12.75" customHeight="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2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</row>
    <row r="100" spans="1:49" ht="12.75" customHeight="1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2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</row>
    <row r="101" spans="1:49" ht="12.75" customHeight="1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2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</row>
    <row r="102" spans="1:49" ht="12.75" customHeight="1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2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</row>
    <row r="103" spans="1:49" ht="12.75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2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</row>
    <row r="104" spans="1:49" ht="12.7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2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</row>
    <row r="105" spans="1:49" ht="12.75" customHeight="1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2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</row>
    <row r="106" spans="1:49" ht="12.75" customHeight="1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2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</row>
    <row r="107" spans="1:49" ht="12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2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</row>
    <row r="108" spans="1:49" ht="12.75" customHeight="1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2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</row>
    <row r="109" spans="1:49" ht="12.75" customHeight="1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2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</row>
    <row r="110" spans="1:49" ht="12.75" customHeight="1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2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</row>
    <row r="111" spans="1:49" ht="12.75" customHeight="1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2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</row>
    <row r="112" spans="1:49" ht="12.75" customHeight="1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2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</row>
    <row r="113" spans="1:49" ht="12.75" customHeight="1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2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</row>
    <row r="114" spans="1:49" ht="12.75" customHeight="1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2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</row>
    <row r="115" spans="1:49" ht="12.75" customHeight="1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2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</row>
    <row r="116" spans="1:49" ht="12.75" customHeight="1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2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</row>
    <row r="117" spans="1:49" ht="12.75" customHeight="1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2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</row>
    <row r="118" spans="1:49" ht="12.75" customHeight="1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2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</row>
    <row r="119" spans="1:49" ht="12.75" customHeight="1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2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</row>
    <row r="120" spans="1:49" ht="12.75" customHeight="1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2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</row>
    <row r="121" spans="1:49" ht="12.75" customHeight="1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2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</row>
    <row r="122" spans="1:49" ht="12.75" customHeight="1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2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</row>
    <row r="123" spans="1:49" ht="12.75" customHeight="1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2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</row>
    <row r="124" spans="1:49" ht="12.75" customHeight="1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2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</row>
    <row r="125" spans="1:49" ht="12.75" customHeight="1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2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</row>
    <row r="126" spans="1:49" ht="12.75" customHeight="1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2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</row>
    <row r="127" spans="1:49" ht="12.75" customHeight="1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2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</row>
    <row r="128" spans="1:49" ht="12.75" customHeight="1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2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</row>
    <row r="129" spans="1:49" ht="12.75" customHeight="1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2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</row>
    <row r="130" spans="1:49" ht="12.75" customHeight="1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2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</row>
    <row r="131" spans="1:49" ht="12.75" customHeight="1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2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</row>
    <row r="132" spans="1:49" ht="12.7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2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</row>
    <row r="133" spans="1:49" ht="12.75" customHeight="1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2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</row>
    <row r="134" spans="1:49" ht="12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2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</row>
    <row r="135" spans="1:49" ht="12.75" customHeight="1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2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</row>
    <row r="136" spans="1:49" ht="12.75" customHeight="1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2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</row>
    <row r="137" spans="1:49" ht="12.75" customHeight="1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2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</row>
    <row r="138" spans="1:49" ht="12.75" customHeight="1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2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</row>
    <row r="139" spans="1:49" ht="12.75" customHeight="1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2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</row>
    <row r="140" spans="1:49" ht="12.75" customHeight="1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2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</row>
    <row r="141" spans="1:49" ht="12.75" customHeight="1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2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</row>
    <row r="142" spans="1:49" ht="12.75" customHeight="1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2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</row>
    <row r="143" spans="1:49" ht="12.75" customHeight="1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2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</row>
    <row r="144" spans="1:49" ht="12.75" customHeight="1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2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</row>
    <row r="145" spans="1:49" ht="12.75" customHeight="1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2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</row>
    <row r="146" spans="1:49" ht="12.75" customHeight="1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2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</row>
    <row r="147" spans="1:49" ht="12.75" customHeight="1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2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</row>
    <row r="148" spans="1:49" ht="12.75" customHeight="1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2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</row>
    <row r="149" spans="1:49" ht="12.75" customHeight="1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2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</row>
    <row r="150" spans="1:49" ht="12.75" customHeight="1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2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</row>
    <row r="151" spans="1:49" ht="12.75" customHeight="1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2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</row>
    <row r="152" spans="1:49" ht="12.75" customHeight="1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2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</row>
    <row r="153" spans="1:49" ht="12.75" customHeight="1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2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</row>
    <row r="154" spans="1:49" ht="12.7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2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</row>
    <row r="155" spans="1:49" ht="12.75" customHeight="1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2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</row>
    <row r="156" spans="1:49" ht="12.75" customHeight="1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2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</row>
    <row r="157" spans="1:49" ht="12.75" customHeight="1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2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</row>
    <row r="158" spans="1:49" ht="12.75" customHeight="1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2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</row>
    <row r="159" spans="1:49" ht="12.7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2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</row>
    <row r="160" spans="1:49" ht="12.75" customHeight="1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2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</row>
    <row r="161" spans="1:49" ht="12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2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</row>
    <row r="162" spans="1:49" ht="12.75" customHeight="1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2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</row>
    <row r="163" spans="1:49" ht="12.75" customHeight="1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2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</row>
    <row r="164" spans="1:49" ht="12.75" customHeight="1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2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</row>
    <row r="165" spans="1:49" ht="12.75" customHeight="1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2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</row>
    <row r="166" spans="1:49" ht="12.75" customHeight="1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2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</row>
    <row r="167" spans="1:49" ht="12.75" customHeight="1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2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</row>
    <row r="168" spans="1:49" ht="12.75" customHeight="1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2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</row>
    <row r="169" spans="1:49" ht="12.75" customHeight="1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2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</row>
    <row r="170" spans="1:49" ht="12.75" customHeight="1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2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</row>
    <row r="171" spans="1:49" ht="12.75" customHeight="1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2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</row>
    <row r="172" spans="1:49" ht="12.75" customHeight="1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2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</row>
    <row r="173" spans="1:49" ht="12.75" customHeight="1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2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</row>
    <row r="174" spans="1:49" ht="12.75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2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</row>
    <row r="175" spans="1:49" ht="12.75" customHeight="1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2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</row>
    <row r="176" spans="1:49" ht="12.75" customHeight="1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2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</row>
    <row r="177" spans="1:49" ht="12.75" customHeight="1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2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</row>
    <row r="178" spans="1:49" ht="12.75" customHeight="1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2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</row>
    <row r="179" spans="1:49" ht="12.75" customHeight="1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2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</row>
    <row r="180" spans="1:49" ht="12.75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2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</row>
    <row r="181" spans="1:49" ht="12.75" customHeight="1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2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</row>
    <row r="182" spans="1:49" ht="12.75" customHeight="1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2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</row>
    <row r="183" spans="1:49" ht="12.75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2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</row>
    <row r="184" spans="1:49" ht="12.75" customHeight="1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2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</row>
    <row r="185" spans="1:49" ht="12.75" customHeight="1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2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</row>
    <row r="186" spans="1:49" ht="12.75" customHeight="1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2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</row>
    <row r="187" spans="1:49" ht="12.75" customHeight="1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2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</row>
    <row r="188" spans="1:49" ht="12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2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</row>
    <row r="189" spans="1:49" ht="12.75" customHeight="1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2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</row>
    <row r="190" spans="1:49" ht="12.75" customHeight="1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2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</row>
    <row r="191" spans="1:49" ht="12.75" customHeight="1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2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</row>
    <row r="192" spans="1:49" ht="12.75" customHeight="1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2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</row>
    <row r="193" spans="1:49" ht="12.75" customHeight="1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2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</row>
    <row r="194" spans="1:49" ht="12.75" customHeight="1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2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</row>
    <row r="195" spans="1:49" ht="12.75" customHeight="1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2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</row>
    <row r="196" spans="1:49" ht="12.75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2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</row>
    <row r="197" spans="1:49" ht="12.75" customHeight="1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2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</row>
    <row r="198" spans="1:49" ht="12.75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2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</row>
    <row r="199" spans="1:49" ht="12.75" customHeight="1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2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</row>
    <row r="200" spans="1:49" ht="12.75" customHeight="1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2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</row>
    <row r="201" spans="1:49" ht="12.75" customHeight="1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2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</row>
    <row r="202" spans="1:49" ht="12.75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2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</row>
    <row r="203" spans="1:49" ht="12.7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2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</row>
    <row r="204" spans="1:49" ht="12.75" customHeight="1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2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</row>
    <row r="205" spans="1:49" ht="12.75" customHeight="1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2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</row>
    <row r="206" spans="1:49" ht="12.75" customHeight="1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2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</row>
    <row r="207" spans="1:49" ht="12.75" customHeight="1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2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</row>
    <row r="208" spans="1:49" ht="12.75" customHeight="1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2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</row>
    <row r="209" spans="1:49" ht="12.75" customHeight="1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2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</row>
    <row r="210" spans="1:49" ht="12.75" customHeight="1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2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</row>
    <row r="211" spans="1:49" ht="12.75" customHeight="1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2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</row>
    <row r="212" spans="1:49" ht="12.7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2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</row>
    <row r="213" spans="1:49" ht="12.75" customHeight="1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2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</row>
    <row r="214" spans="1:49" ht="12.75" customHeight="1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2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</row>
    <row r="215" spans="1:49" ht="12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2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</row>
    <row r="216" spans="1:49" ht="12.75" customHeight="1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2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</row>
    <row r="217" spans="1:49" ht="12.75" customHeight="1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2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</row>
    <row r="218" spans="1:49" ht="12.75" customHeight="1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2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</row>
    <row r="219" spans="1:49" ht="12.75" customHeight="1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2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</row>
    <row r="220" spans="1:49" ht="12.75" customHeight="1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2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</row>
    <row r="221" spans="1:49" ht="12.7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2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</row>
    <row r="222" spans="1:49" ht="12.75" customHeight="1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2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</row>
    <row r="223" spans="1:49" ht="12.75" customHeight="1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2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</row>
    <row r="224" spans="1:49" ht="12.75" customHeight="1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2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</row>
    <row r="225" spans="1:49" ht="12.75" customHeight="1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2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</row>
    <row r="226" spans="1:49" ht="12.75" customHeight="1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2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</row>
    <row r="227" spans="1:49" ht="12.75" customHeight="1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2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</row>
    <row r="228" spans="1:49" ht="12.75" customHeight="1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2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</row>
    <row r="229" spans="1:49" ht="12.75" customHeight="1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2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</row>
    <row r="230" spans="1:49" ht="12.75" customHeight="1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2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</row>
    <row r="231" spans="1:49" ht="12.7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2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</row>
    <row r="232" spans="1:49" ht="12.75" customHeight="1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2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</row>
    <row r="233" spans="1:49" ht="12.75" customHeight="1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2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</row>
    <row r="234" spans="1:49" ht="12.75" customHeight="1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2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</row>
    <row r="235" spans="1:49" ht="12.75" customHeight="1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2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</row>
    <row r="236" spans="1:49" ht="12.75" customHeight="1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2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</row>
    <row r="237" spans="1:49" ht="12.75" customHeight="1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2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</row>
    <row r="238" spans="1:49" ht="12.75" customHeight="1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2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</row>
    <row r="239" spans="1:49" ht="12.75" customHeight="1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2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</row>
    <row r="240" spans="1:49" ht="12.75" customHeight="1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2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</row>
    <row r="241" spans="1:49" ht="12.7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2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</row>
    <row r="242" spans="1:49" ht="12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2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</row>
    <row r="243" spans="1:49" ht="12.75" customHeight="1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2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</row>
    <row r="244" spans="1:49" ht="12.75" customHeight="1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2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</row>
    <row r="245" spans="1:49" ht="12.7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2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</row>
    <row r="246" spans="1:49" ht="12.75" customHeight="1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2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</row>
    <row r="247" spans="1:49" ht="12.75" customHeight="1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2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</row>
    <row r="248" spans="1:49" ht="12.75" customHeight="1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2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</row>
    <row r="249" spans="1:49" ht="12.75" customHeight="1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2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</row>
    <row r="250" spans="1:49" ht="12.75" customHeight="1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2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</row>
    <row r="251" spans="1:49" ht="12.75" customHeight="1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2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</row>
    <row r="252" spans="1:49" ht="12.75" customHeight="1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2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</row>
    <row r="253" spans="1:49" ht="12.75" customHeight="1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2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</row>
    <row r="254" spans="1:49" ht="12.75" customHeight="1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2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</row>
    <row r="255" spans="1:49" ht="12.75" customHeight="1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2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</row>
    <row r="256" spans="1:49" ht="12.75" customHeight="1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2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</row>
    <row r="257" spans="1:49" ht="12.75" customHeight="1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2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</row>
    <row r="258" spans="1:49" ht="12.75" customHeight="1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2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</row>
    <row r="259" spans="1:49" ht="12.75" customHeight="1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2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</row>
    <row r="260" spans="1:49" ht="12.75" customHeight="1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2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</row>
    <row r="261" spans="1:49" ht="12.75" customHeight="1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2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</row>
    <row r="262" spans="1:49" ht="12.75" customHeight="1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2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</row>
    <row r="263" spans="1:49" ht="12.75" customHeight="1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2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</row>
    <row r="264" spans="1:49" ht="12.75" customHeight="1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2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</row>
    <row r="265" spans="1:49" ht="12.75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2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</row>
    <row r="266" spans="1:49" ht="12.75" customHeight="1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2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</row>
    <row r="267" spans="1:49" ht="12.75" customHeight="1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2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</row>
    <row r="268" spans="1:49" ht="12.75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2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</row>
    <row r="269" spans="1:49" ht="12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2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</row>
    <row r="270" spans="1:49" ht="12.75" customHeight="1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2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</row>
    <row r="271" spans="1:49" ht="12.75" customHeight="1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2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</row>
    <row r="272" spans="1:49" ht="12.75" customHeight="1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2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</row>
    <row r="273" spans="1:49" ht="12.75" customHeight="1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2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</row>
    <row r="274" spans="1:49" ht="12.75" customHeight="1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2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</row>
    <row r="275" spans="1:49" ht="12.75" customHeight="1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2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</row>
    <row r="276" spans="1:49" ht="12.75" customHeight="1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2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</row>
    <row r="277" spans="1:49" ht="12.75" customHeight="1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2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</row>
    <row r="278" spans="1:49" ht="12.75" customHeight="1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2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</row>
    <row r="279" spans="1:49" ht="12.75" customHeight="1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2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</row>
    <row r="280" spans="1:49" ht="12.7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2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</row>
    <row r="281" spans="1:49" ht="12.75" customHeight="1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2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</row>
    <row r="282" spans="1:49" ht="12.75" customHeight="1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2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</row>
    <row r="283" spans="1:49" ht="12.75" customHeight="1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2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</row>
    <row r="284" spans="1:49" ht="12.75" customHeight="1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2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</row>
    <row r="285" spans="1:49" ht="12.75" customHeight="1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2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</row>
    <row r="286" spans="1:49" ht="12.75" customHeight="1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2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</row>
    <row r="287" spans="1:49" ht="12.75" customHeight="1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2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</row>
    <row r="288" spans="1:49" ht="12.75" customHeight="1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2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</row>
    <row r="289" spans="1:49" ht="12.7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2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</row>
    <row r="290" spans="1:49" ht="12.75" customHeight="1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2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</row>
    <row r="291" spans="1:49" ht="12.75" customHeight="1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2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</row>
    <row r="292" spans="1:49" ht="12.75" customHeight="1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2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</row>
    <row r="293" spans="1:49" ht="12.75" customHeight="1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2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</row>
    <row r="294" spans="1:49" ht="12.75" customHeight="1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2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</row>
    <row r="295" spans="1:49" ht="12.75" customHeight="1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2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</row>
    <row r="296" spans="1:49" ht="12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2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</row>
    <row r="297" spans="1:49" ht="12.75" customHeight="1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2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</row>
    <row r="298" spans="1:49" ht="12.75" customHeight="1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2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</row>
    <row r="299" spans="1:49" ht="12.75" customHeight="1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2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</row>
    <row r="300" spans="1:49" ht="12.75" customHeight="1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2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</row>
    <row r="301" spans="1:49" ht="12.75" customHeight="1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2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</row>
    <row r="302" spans="1:49" ht="12.75" customHeight="1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2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</row>
    <row r="303" spans="1:49" ht="12.75" customHeight="1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2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</row>
    <row r="304" spans="1:49" ht="12.75" customHeight="1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2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</row>
    <row r="305" spans="1:49" ht="12.75" customHeight="1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2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</row>
    <row r="306" spans="1:49" ht="12.75" customHeight="1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2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</row>
    <row r="307" spans="1:49" ht="12.75" customHeight="1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2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</row>
    <row r="308" spans="1:49" ht="12.75" customHeight="1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2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</row>
    <row r="309" spans="1:49" ht="12.7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2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</row>
    <row r="310" spans="1:49" ht="12.75" customHeight="1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2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</row>
    <row r="311" spans="1:49" ht="12.75" customHeight="1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2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</row>
    <row r="312" spans="1:49" ht="12.75" customHeight="1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2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</row>
    <row r="313" spans="1:49" ht="12.75" customHeight="1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2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</row>
    <row r="314" spans="1:49" ht="12.75" customHeight="1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2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</row>
    <row r="315" spans="1:49" ht="12.75" customHeight="1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2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</row>
    <row r="316" spans="1:49" ht="12.75" customHeight="1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2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</row>
    <row r="317" spans="1:49" ht="12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2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</row>
    <row r="318" spans="1:49" ht="12.75" customHeight="1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2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</row>
    <row r="319" spans="1:49" ht="12.75" customHeight="1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2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</row>
    <row r="320" spans="1:49" ht="12.75" customHeight="1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2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</row>
    <row r="321" spans="1:49" ht="12.7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2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</row>
    <row r="322" spans="1:49" ht="12.75" customHeight="1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2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</row>
    <row r="323" spans="1:49" ht="12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2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</row>
    <row r="324" spans="1:49" ht="12.75" customHeight="1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2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</row>
    <row r="325" spans="1:49" ht="12.75" customHeight="1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2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</row>
    <row r="326" spans="1:49" ht="12.75" customHeight="1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2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</row>
    <row r="327" spans="1:49" ht="12.75" customHeight="1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2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</row>
    <row r="328" spans="1:49" ht="12.75" customHeight="1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2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</row>
    <row r="329" spans="1:49" ht="12.75" customHeight="1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2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</row>
    <row r="330" spans="1:49" ht="12.75" customHeight="1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2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</row>
    <row r="331" spans="1:49" ht="12.75" customHeight="1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2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</row>
    <row r="332" spans="1:49" ht="12.75" customHeight="1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2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</row>
    <row r="333" spans="1:49" ht="12.75" customHeight="1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2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</row>
    <row r="334" spans="1:49" ht="12.75" customHeight="1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2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</row>
    <row r="335" spans="1:49" ht="12.7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2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</row>
    <row r="336" spans="1:49" ht="12.75" customHeight="1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2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</row>
    <row r="337" spans="1:49" ht="12.75" customHeight="1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2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</row>
    <row r="338" spans="1:49" ht="12.75" customHeight="1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2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</row>
    <row r="339" spans="1:49" ht="12.75" customHeight="1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2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</row>
    <row r="340" spans="1:49" ht="12.75" customHeight="1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2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</row>
    <row r="341" spans="1:49" ht="12.75" customHeight="1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2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</row>
    <row r="342" spans="1:49" ht="12.75" customHeight="1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2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</row>
    <row r="343" spans="1:49" ht="12.75" customHeight="1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2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</row>
    <row r="344" spans="1:49" ht="12.75" customHeight="1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2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</row>
    <row r="345" spans="1:49" ht="12.75" customHeight="1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2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</row>
    <row r="346" spans="1:49" ht="12.75" customHeight="1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2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</row>
    <row r="347" spans="1:49" ht="12.75" customHeight="1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2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</row>
    <row r="348" spans="1:49" ht="12.75" customHeight="1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2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</row>
    <row r="349" spans="1:49" ht="12.75" customHeight="1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2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</row>
    <row r="350" spans="1:49" ht="12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2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</row>
    <row r="351" spans="1:49" ht="12.75" customHeight="1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2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</row>
    <row r="352" spans="1:49" ht="12.75" customHeight="1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2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</row>
    <row r="353" spans="1:49" ht="12.75" customHeight="1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2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</row>
    <row r="354" spans="1:49" ht="12.75" customHeight="1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2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</row>
    <row r="355" spans="1:49" ht="12.75" customHeight="1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2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</row>
    <row r="356" spans="1:49" ht="12.75" customHeight="1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2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</row>
    <row r="357" spans="1:49" ht="12.75" customHeight="1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2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</row>
    <row r="358" spans="1:49" ht="12.7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2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</row>
    <row r="359" spans="1:49" ht="12.75" customHeight="1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2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</row>
    <row r="360" spans="1:49" ht="12.75" customHeight="1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2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</row>
    <row r="361" spans="1:49" ht="12.75" customHeight="1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2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</row>
    <row r="362" spans="1:49" ht="12.75" customHeight="1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2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</row>
    <row r="363" spans="1:49" ht="12.75" customHeight="1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2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</row>
    <row r="364" spans="1:49" ht="12.75" customHeight="1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2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</row>
    <row r="365" spans="1:49" ht="12.75" customHeight="1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2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</row>
    <row r="366" spans="1:49" ht="12.75" customHeight="1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2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</row>
    <row r="367" spans="1:49" ht="12.75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2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</row>
    <row r="368" spans="1:49" ht="12.7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2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</row>
    <row r="369" spans="1:49" ht="12.75" customHeight="1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2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</row>
    <row r="370" spans="1:49" ht="12.75" customHeight="1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2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</row>
    <row r="371" spans="1:49" ht="12.75" customHeight="1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2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</row>
    <row r="372" spans="1:49" ht="12.75" customHeight="1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2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</row>
    <row r="373" spans="1:49" ht="12.75" customHeight="1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2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</row>
    <row r="374" spans="1:49" ht="12.75" customHeight="1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2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</row>
    <row r="375" spans="1:49" ht="12.75" customHeight="1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2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</row>
    <row r="376" spans="1:49" ht="12.75" customHeight="1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2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</row>
    <row r="377" spans="1:49" ht="12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2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</row>
    <row r="378" spans="1:49" ht="12.75" customHeight="1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2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</row>
    <row r="379" spans="1:49" ht="12.75" customHeight="1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2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</row>
    <row r="380" spans="1:49" ht="12.75" customHeight="1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2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</row>
    <row r="381" spans="1:49" ht="12.75" customHeight="1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2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</row>
    <row r="382" spans="1:49" ht="12.75" customHeight="1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2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</row>
    <row r="383" spans="1:49" ht="12.75" customHeight="1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2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</row>
    <row r="384" spans="1:49" ht="12.75" customHeight="1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2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</row>
    <row r="385" spans="1:49" ht="12.75" customHeight="1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2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</row>
    <row r="386" spans="1:49" ht="12.75" customHeight="1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2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</row>
    <row r="387" spans="1:49" ht="12.75" customHeight="1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2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</row>
    <row r="388" spans="1:49" ht="12.75" customHeight="1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2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</row>
    <row r="389" spans="1:49" ht="12.75" customHeight="1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2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</row>
    <row r="390" spans="1:49" ht="12.75" customHeight="1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2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</row>
    <row r="391" spans="1:49" ht="12.75" customHeight="1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2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</row>
    <row r="392" spans="1:49" ht="12.75" customHeight="1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2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</row>
    <row r="393" spans="1:49" ht="12.75" customHeight="1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2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</row>
    <row r="394" spans="1:49" ht="12.75" customHeight="1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2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</row>
    <row r="395" spans="1:49" ht="12.75" customHeight="1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2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</row>
    <row r="396" spans="1:49" ht="12.75" customHeight="1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2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</row>
    <row r="397" spans="1:49" ht="12.75" customHeight="1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2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</row>
    <row r="398" spans="1:49" ht="12.75" customHeight="1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2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</row>
    <row r="399" spans="1:49" ht="12.75" customHeight="1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2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</row>
    <row r="400" spans="1:49" ht="12.75" customHeight="1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2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</row>
    <row r="401" spans="1:49" ht="12.75" customHeight="1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2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</row>
    <row r="402" spans="1:49" ht="12.75" customHeight="1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2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</row>
    <row r="403" spans="1:49" ht="12.75" customHeight="1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2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</row>
    <row r="404" spans="1:49" ht="12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2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</row>
    <row r="405" spans="1:49" ht="12.75" customHeight="1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2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</row>
    <row r="406" spans="1:49" ht="12.75" customHeight="1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2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</row>
    <row r="407" spans="1:49" ht="12.75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2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</row>
    <row r="408" spans="1:49" ht="12.75" customHeight="1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2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</row>
    <row r="409" spans="1:49" ht="12.75" customHeight="1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2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</row>
    <row r="410" spans="1:49" ht="12.75" customHeight="1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2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</row>
    <row r="411" spans="1:49" ht="12.75" customHeight="1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2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</row>
    <row r="412" spans="1:49" ht="12.75" customHeight="1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2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</row>
    <row r="413" spans="1:49" ht="12.75" customHeight="1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2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</row>
    <row r="414" spans="1:49" ht="12.75" customHeight="1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2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</row>
    <row r="415" spans="1:49" ht="12.75" customHeight="1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2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</row>
    <row r="416" spans="1:49" ht="12.75" customHeight="1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2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</row>
    <row r="417" spans="1:49" ht="12.75" customHeight="1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2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</row>
    <row r="418" spans="1:49" ht="12.75" customHeight="1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2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</row>
    <row r="419" spans="1:49" ht="12.75" customHeight="1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2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</row>
    <row r="420" spans="1:49" ht="12.75" customHeight="1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2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</row>
    <row r="421" spans="1:49" ht="12.75" customHeight="1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2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</row>
    <row r="422" spans="1:49" ht="12.75" customHeight="1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2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</row>
    <row r="423" spans="1:49" ht="12.75" customHeight="1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2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</row>
    <row r="424" spans="1:49" ht="12.75" customHeight="1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2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</row>
    <row r="425" spans="1:49" ht="12.75" customHeight="1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2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</row>
    <row r="426" spans="1:49" ht="12.75" customHeight="1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2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</row>
    <row r="427" spans="1:49" ht="12.75" customHeight="1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2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</row>
    <row r="428" spans="1:49" ht="12.75" customHeight="1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2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</row>
    <row r="429" spans="1:49" ht="12.75" customHeight="1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2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</row>
    <row r="430" spans="1:49" ht="12.75" customHeight="1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2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</row>
    <row r="431" spans="1:49" ht="12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2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</row>
    <row r="432" spans="1:49" ht="12.75" customHeight="1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2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</row>
    <row r="433" spans="1:49" ht="12.75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2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</row>
    <row r="434" spans="1:49" ht="12.7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2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</row>
    <row r="435" spans="1:49" ht="12.75" customHeight="1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2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</row>
    <row r="436" spans="1:49" ht="12.75" customHeight="1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2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</row>
    <row r="437" spans="1:49" ht="12.75" customHeight="1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2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</row>
    <row r="438" spans="1:49" ht="12.75" customHeight="1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2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</row>
    <row r="439" spans="1:49" ht="12.75" customHeight="1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2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</row>
    <row r="440" spans="1:49" ht="12.75" customHeight="1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2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</row>
    <row r="441" spans="1:49" ht="12.75" customHeight="1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2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</row>
    <row r="442" spans="1:49" ht="12.75" customHeight="1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2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</row>
    <row r="443" spans="1:49" ht="12.75" customHeight="1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2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</row>
    <row r="444" spans="1:49" ht="12.75" customHeight="1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2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</row>
    <row r="445" spans="1:49" ht="12.7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2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</row>
    <row r="446" spans="1:49" ht="12.75" customHeight="1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2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</row>
    <row r="447" spans="1:49" ht="12.75" customHeight="1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2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</row>
    <row r="448" spans="1:49" ht="12.75" customHeight="1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2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</row>
    <row r="449" spans="1:49" ht="12.75" customHeight="1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2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</row>
    <row r="450" spans="1:49" ht="12.75" customHeight="1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2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</row>
    <row r="451" spans="1:49" ht="12.75" customHeight="1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2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</row>
    <row r="452" spans="1:49" ht="12.75" customHeight="1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2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</row>
    <row r="453" spans="1:49" ht="12.75" customHeight="1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2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</row>
    <row r="454" spans="1:49" ht="12.75" customHeight="1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2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</row>
    <row r="455" spans="1:49" ht="12.75" customHeight="1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2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</row>
    <row r="456" spans="1:49" ht="12.75" customHeight="1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2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</row>
    <row r="457" spans="1:49" ht="12.75" customHeight="1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2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</row>
    <row r="458" spans="1:49" ht="12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2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</row>
    <row r="459" spans="1:49" ht="12.75" customHeight="1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2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</row>
    <row r="460" spans="1:49" ht="12.75" customHeight="1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2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</row>
    <row r="461" spans="1:49" ht="12.75" customHeight="1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2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</row>
    <row r="462" spans="1:49" ht="12.75" customHeight="1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2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</row>
    <row r="463" spans="1:49" ht="12.75" customHeight="1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2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</row>
    <row r="464" spans="1:49" ht="12.75" customHeight="1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2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</row>
    <row r="465" spans="1:49" ht="12.75" customHeight="1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2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</row>
    <row r="466" spans="1:49" ht="12.75" customHeight="1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2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</row>
    <row r="467" spans="1:49" ht="12.75" customHeight="1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2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</row>
    <row r="468" spans="1:49" ht="12.75" customHeight="1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2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</row>
    <row r="469" spans="1:49" ht="12.75" customHeight="1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2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</row>
    <row r="470" spans="1:49" ht="12.75" customHeight="1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2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</row>
    <row r="471" spans="1:49" ht="12.75" customHeight="1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2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</row>
    <row r="472" spans="1:49" ht="12.75" customHeight="1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2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</row>
    <row r="473" spans="1:49" ht="12.75" customHeight="1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2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</row>
    <row r="474" spans="1:49" ht="12.75" customHeight="1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2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</row>
    <row r="475" spans="1:49" ht="12.75" customHeight="1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2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</row>
    <row r="476" spans="1:49" ht="12.75" customHeight="1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2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</row>
    <row r="477" spans="1:49" ht="12.75" customHeight="1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2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</row>
    <row r="478" spans="1:49" ht="12.75" customHeight="1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2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</row>
    <row r="479" spans="1:49" ht="12.75" customHeight="1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2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</row>
    <row r="480" spans="1:49" ht="12.75" customHeight="1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2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</row>
    <row r="481" spans="1:49" ht="12.75" customHeight="1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2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</row>
    <row r="482" spans="1:49" ht="12.75" customHeight="1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2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</row>
    <row r="483" spans="1:49" ht="12.75" customHeight="1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2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</row>
    <row r="484" spans="1:49" ht="12.75" customHeight="1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2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</row>
    <row r="485" spans="1:49" ht="12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2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</row>
    <row r="486" spans="1:49" ht="12.75" customHeight="1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2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</row>
    <row r="487" spans="1:49" ht="12.75" customHeight="1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2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</row>
    <row r="488" spans="1:49" ht="12.75" customHeight="1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2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</row>
    <row r="489" spans="1:49" ht="12.75" customHeight="1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2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</row>
    <row r="490" spans="1:49" ht="12.75" customHeight="1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2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</row>
    <row r="491" spans="1:49" ht="12.75" customHeight="1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2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</row>
    <row r="492" spans="1:49" ht="12.75" customHeight="1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2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</row>
    <row r="493" spans="1:49" ht="12.75" customHeight="1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2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</row>
    <row r="494" spans="1:49" ht="12.75" customHeight="1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2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</row>
    <row r="495" spans="1:49" ht="12.75" customHeight="1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2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</row>
    <row r="496" spans="1:49" ht="12.75" customHeight="1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2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</row>
    <row r="497" spans="1:49" ht="12.75" customHeight="1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2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</row>
    <row r="498" spans="1:49" ht="12.7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2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</row>
    <row r="499" spans="1:49" ht="12.75" customHeight="1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2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</row>
    <row r="500" spans="1:49" ht="12.75" customHeight="1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2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</row>
    <row r="501" spans="1:49" ht="12.75" customHeight="1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2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</row>
    <row r="502" spans="1:49" ht="12.75" customHeight="1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2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</row>
    <row r="503" spans="1:49" ht="12.75" customHeight="1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2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</row>
    <row r="504" spans="1:49" ht="12.75" customHeight="1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2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</row>
    <row r="505" spans="1:49" ht="12.75" customHeight="1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2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</row>
    <row r="506" spans="1:49" ht="12.75" customHeight="1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2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</row>
    <row r="507" spans="1:49" ht="12.75" customHeight="1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2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</row>
    <row r="508" spans="1:49" ht="12.75" customHeight="1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2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</row>
    <row r="509" spans="1:49" ht="12.75" customHeight="1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2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</row>
    <row r="510" spans="1:49" ht="12.75" customHeight="1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2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</row>
    <row r="511" spans="1:49" ht="12.75" customHeight="1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2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</row>
    <row r="512" spans="1:49" ht="12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2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</row>
    <row r="513" spans="1:49" ht="12.75" customHeight="1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2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</row>
    <row r="514" spans="1:49" ht="12.75" customHeight="1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2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</row>
    <row r="515" spans="1:49" ht="12.75" customHeight="1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2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</row>
    <row r="516" spans="1:49" ht="12.75" customHeight="1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2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</row>
    <row r="517" spans="1:49" ht="12.75" customHeight="1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2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</row>
    <row r="518" spans="1:49" ht="12.75" customHeight="1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2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</row>
    <row r="519" spans="1:49" ht="12.75" customHeight="1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2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</row>
    <row r="520" spans="1:49" ht="12.75" customHeight="1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2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</row>
    <row r="521" spans="1:49" ht="12.75" customHeight="1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2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</row>
    <row r="522" spans="1:49" ht="12.75" customHeight="1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2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</row>
    <row r="523" spans="1:49" ht="12.75" customHeight="1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2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</row>
    <row r="524" spans="1:49" ht="12.75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2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</row>
    <row r="525" spans="1:49" ht="12.75" customHeight="1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2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</row>
    <row r="526" spans="1:49" ht="12.75" customHeight="1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2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</row>
    <row r="527" spans="1:49" ht="12.75" customHeight="1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2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</row>
    <row r="528" spans="1:49" ht="12.75" customHeight="1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2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</row>
    <row r="529" spans="1:49" ht="12.75" customHeight="1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2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</row>
    <row r="530" spans="1:49" ht="12.75" customHeight="1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2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</row>
    <row r="531" spans="1:49" ht="12.75" customHeight="1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2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</row>
    <row r="532" spans="1:49" ht="12.75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2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</row>
    <row r="533" spans="1:49" ht="12.7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2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</row>
    <row r="534" spans="1:49" ht="12.75" customHeight="1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2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</row>
    <row r="535" spans="1:49" ht="12.75" customHeight="1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2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</row>
    <row r="536" spans="1:49" ht="12.75" customHeight="1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2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</row>
    <row r="537" spans="1:49" ht="12.7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2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</row>
    <row r="538" spans="1:49" ht="12.75" customHeight="1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2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</row>
    <row r="539" spans="1:49" ht="12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2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</row>
    <row r="540" spans="1:49" ht="12.75" customHeight="1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2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</row>
    <row r="541" spans="1:49" ht="12.75" customHeight="1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2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</row>
    <row r="542" spans="1:49" ht="12.75" customHeight="1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2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</row>
    <row r="543" spans="1:49" ht="12.75" customHeight="1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2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</row>
    <row r="544" spans="1:49" ht="12.75" customHeight="1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2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</row>
    <row r="545" spans="1:49" ht="12.75" customHeight="1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2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</row>
    <row r="546" spans="1:49" ht="12.75" customHeight="1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2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</row>
    <row r="547" spans="1:49" ht="12.75" customHeight="1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2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</row>
    <row r="548" spans="1:49" ht="12.75" customHeight="1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2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</row>
    <row r="549" spans="1:49" ht="12.75" customHeight="1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2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</row>
    <row r="550" spans="1:49" ht="12.75" customHeight="1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2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</row>
    <row r="551" spans="1:49" ht="12.75" customHeight="1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2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</row>
    <row r="552" spans="1:49" ht="12.75" customHeight="1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2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</row>
    <row r="553" spans="1:49" ht="12.75" customHeight="1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2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</row>
    <row r="554" spans="1:49" ht="12.75" customHeight="1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2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</row>
    <row r="555" spans="1:49" ht="12.75" customHeight="1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2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</row>
    <row r="556" spans="1:49" ht="12.75" customHeight="1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2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</row>
    <row r="557" spans="1:49" ht="12.75" customHeight="1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2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</row>
    <row r="558" spans="1:49" ht="12.75" customHeight="1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2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</row>
    <row r="559" spans="1:49" ht="12.75" customHeight="1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2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</row>
    <row r="560" spans="1:49" ht="12.7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2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</row>
    <row r="561" spans="1:49" ht="12.75" customHeight="1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2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</row>
    <row r="562" spans="1:49" ht="12.75" customHeight="1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2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</row>
    <row r="563" spans="1:49" ht="12.75" customHeight="1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2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</row>
    <row r="564" spans="1:49" ht="12.75" customHeight="1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2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</row>
    <row r="565" spans="1:49" ht="12.75" customHeight="1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2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</row>
    <row r="566" spans="1:49" ht="12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2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</row>
    <row r="567" spans="1:49" ht="12.75" customHeight="1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2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</row>
    <row r="568" spans="1:49" ht="12.75" customHeight="1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2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</row>
    <row r="569" spans="1:49" ht="12.75" customHeight="1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2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</row>
    <row r="570" spans="1:49" ht="12.75" customHeight="1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2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</row>
    <row r="571" spans="1:49" ht="12.75" customHeight="1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2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</row>
    <row r="572" spans="1:49" ht="12.75" customHeight="1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2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</row>
    <row r="573" spans="1:49" ht="12.75" customHeight="1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2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</row>
    <row r="574" spans="1:49" ht="12.75" customHeight="1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2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</row>
    <row r="575" spans="1:49" ht="12.75" customHeight="1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2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</row>
    <row r="576" spans="1:49" ht="12.75" customHeight="1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2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</row>
    <row r="577" spans="1:49" ht="12.75" customHeight="1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2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</row>
    <row r="578" spans="1:49" ht="12.75" customHeight="1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2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</row>
    <row r="579" spans="1:49" ht="12.75" customHeight="1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2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</row>
    <row r="580" spans="1:49" ht="12.75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2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</row>
    <row r="581" spans="1:49" ht="12.75" customHeight="1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2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</row>
    <row r="582" spans="1:49" ht="12.75" customHeight="1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2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</row>
    <row r="583" spans="1:49" ht="12.75" customHeight="1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2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</row>
    <row r="584" spans="1:49" ht="12.75" customHeight="1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2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</row>
    <row r="585" spans="1:49" ht="12.75" customHeight="1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2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</row>
    <row r="586" spans="1:49" ht="12.75" customHeight="1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2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</row>
    <row r="587" spans="1:49" ht="12.75" customHeight="1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2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</row>
    <row r="588" spans="1:49" ht="12.75" customHeight="1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2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</row>
    <row r="589" spans="1:49" ht="12.75" customHeight="1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2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</row>
    <row r="590" spans="1:49" ht="12.75" customHeight="1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2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</row>
    <row r="591" spans="1:49" ht="12.75" customHeight="1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2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</row>
    <row r="592" spans="1:49" ht="12.75" customHeight="1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2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</row>
    <row r="593" spans="1:49" ht="12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2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</row>
    <row r="594" spans="1:49" ht="12.75" customHeight="1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2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</row>
    <row r="595" spans="1:49" ht="12.7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2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</row>
    <row r="596" spans="1:49" ht="12.75" customHeight="1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2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</row>
    <row r="597" spans="1:49" ht="12.75" customHeight="1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2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</row>
    <row r="598" spans="1:49" ht="12.75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2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</row>
    <row r="599" spans="1:49" ht="12.7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2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</row>
    <row r="600" spans="1:49" ht="12.75" customHeight="1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2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</row>
    <row r="601" spans="1:49" ht="12.75" customHeight="1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2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</row>
    <row r="602" spans="1:49" ht="12.75" customHeight="1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2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</row>
    <row r="603" spans="1:49" ht="12.75" customHeight="1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2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</row>
    <row r="604" spans="1:49" ht="12.75" customHeight="1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2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</row>
    <row r="605" spans="1:49" ht="12.75" customHeight="1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2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</row>
    <row r="606" spans="1:49" ht="12.75" customHeight="1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2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</row>
    <row r="607" spans="1:49" ht="12.75" customHeight="1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2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</row>
    <row r="608" spans="1:49" ht="12.75" customHeight="1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2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</row>
    <row r="609" spans="1:49" ht="12.75" customHeight="1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2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</row>
    <row r="610" spans="1:49" ht="12.75" customHeight="1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2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</row>
    <row r="611" spans="1:49" ht="12.75" customHeight="1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2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</row>
    <row r="612" spans="1:49" ht="12.75" customHeight="1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2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</row>
    <row r="613" spans="1:49" ht="12.75" customHeight="1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2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</row>
    <row r="614" spans="1:49" ht="12.75" customHeight="1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2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</row>
    <row r="615" spans="1:49" ht="12.75" customHeight="1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2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</row>
    <row r="616" spans="1:49" ht="12.7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2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</row>
    <row r="617" spans="1:49" ht="12.75" customHeight="1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2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</row>
    <row r="618" spans="1:49" ht="12.75" customHeight="1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2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</row>
    <row r="619" spans="1:49" ht="12.75" customHeight="1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2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</row>
    <row r="620" spans="1:49" ht="12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2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</row>
    <row r="621" spans="1:49" ht="12.75" customHeight="1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2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</row>
    <row r="622" spans="1:49" ht="12.75" customHeight="1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2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</row>
    <row r="623" spans="1:49" ht="12.75" customHeight="1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2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</row>
    <row r="624" spans="1:49" ht="12.75" customHeight="1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2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</row>
    <row r="625" spans="1:49" ht="12.75" customHeight="1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2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</row>
    <row r="626" spans="1:49" ht="12.75" customHeight="1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2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</row>
    <row r="627" spans="1:49" ht="12.75" customHeight="1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2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</row>
    <row r="628" spans="1:49" ht="12.75" customHeight="1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2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</row>
    <row r="629" spans="1:49" ht="12.75" customHeight="1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2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</row>
    <row r="630" spans="1:49" ht="12.75" customHeight="1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2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</row>
    <row r="631" spans="1:49" ht="12.75" customHeight="1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2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</row>
    <row r="632" spans="1:49" ht="12.75" customHeight="1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2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</row>
    <row r="633" spans="1:49" ht="12.75" customHeight="1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2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</row>
    <row r="634" spans="1:49" ht="12.75" customHeight="1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2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</row>
    <row r="635" spans="1:49" ht="12.75" customHeight="1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2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</row>
    <row r="636" spans="1:49" ht="12.75" customHeight="1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2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</row>
    <row r="637" spans="1:49" ht="12.75" customHeight="1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2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</row>
    <row r="638" spans="1:49" ht="12.75" customHeight="1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2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</row>
    <row r="639" spans="1:49" ht="12.75" customHeight="1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2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</row>
    <row r="640" spans="1:49" ht="12.75" customHeight="1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2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</row>
    <row r="641" spans="1:49" ht="12.75" customHeight="1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2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</row>
    <row r="642" spans="1:49" ht="12.75" customHeight="1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2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</row>
    <row r="643" spans="1:49" ht="12.75" customHeight="1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2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</row>
    <row r="644" spans="1:49" ht="12.75" customHeight="1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2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</row>
    <row r="645" spans="1:49" ht="12.75" customHeight="1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2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</row>
    <row r="646" spans="1:49" ht="12.75" customHeight="1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2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</row>
    <row r="647" spans="1:49" ht="12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2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</row>
    <row r="648" spans="1:49" ht="12.75" customHeight="1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2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</row>
    <row r="649" spans="1:49" ht="12.75" customHeight="1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2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</row>
    <row r="650" spans="1:49" ht="12.75" customHeight="1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2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</row>
    <row r="651" spans="1:49" ht="12.75" customHeight="1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2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</row>
    <row r="652" spans="1:49" ht="12.75" customHeight="1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2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</row>
    <row r="653" spans="1:49" ht="12.75" customHeight="1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2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</row>
    <row r="654" spans="1:49" ht="12.75" customHeight="1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2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</row>
    <row r="655" spans="1:49" ht="12.75" customHeight="1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2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</row>
    <row r="656" spans="1:49" ht="12.75" customHeight="1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2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</row>
    <row r="657" spans="1:49" ht="12.75" customHeight="1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2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</row>
    <row r="658" spans="1:49" ht="12.75" customHeight="1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2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</row>
    <row r="659" spans="1:49" ht="12.75" customHeight="1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2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</row>
    <row r="660" spans="1:49" ht="12.75" customHeight="1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2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</row>
    <row r="661" spans="1:49" ht="12.75" customHeight="1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2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</row>
    <row r="662" spans="1:49" ht="12.75" customHeight="1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2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</row>
    <row r="663" spans="1:49" ht="12.75" customHeight="1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2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</row>
    <row r="664" spans="1:49" ht="12.75" customHeight="1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2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</row>
    <row r="665" spans="1:49" ht="12.75" customHeight="1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2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</row>
    <row r="666" spans="1:49" ht="12.75" customHeight="1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2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</row>
    <row r="667" spans="1:49" ht="12.75" customHeight="1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2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</row>
    <row r="668" spans="1:49" ht="12.75" customHeight="1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2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</row>
    <row r="669" spans="1:49" ht="12.75" customHeight="1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2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</row>
    <row r="670" spans="1:49" ht="12.75" customHeight="1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2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</row>
    <row r="671" spans="1:49" ht="12.75" customHeight="1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2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</row>
    <row r="672" spans="1:49" ht="12.75" customHeight="1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2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</row>
    <row r="673" spans="1:49" ht="12.75" customHeight="1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2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</row>
    <row r="674" spans="1:49" ht="12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2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</row>
    <row r="675" spans="1:49" ht="12.75" customHeight="1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2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</row>
    <row r="676" spans="1:49" ht="12.75" customHeight="1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2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</row>
    <row r="677" spans="1:49" ht="12.75" customHeight="1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2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</row>
    <row r="678" spans="1:49" ht="12.75" customHeight="1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2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</row>
    <row r="679" spans="1:49" ht="12.75" customHeight="1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2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</row>
    <row r="680" spans="1:49" ht="12.75" customHeight="1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2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</row>
    <row r="681" spans="1:49" ht="12.75" customHeight="1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2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</row>
    <row r="682" spans="1:49" ht="12.75" customHeight="1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2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</row>
    <row r="683" spans="1:49" ht="12.75" customHeight="1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2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</row>
    <row r="684" spans="1:49" ht="12.75" customHeight="1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2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</row>
    <row r="685" spans="1:49" ht="12.75" customHeight="1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2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</row>
    <row r="686" spans="1:49" ht="12.7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2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</row>
    <row r="687" spans="1:49" ht="12.75" customHeight="1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2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</row>
    <row r="688" spans="1:49" ht="12.75" customHeight="1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2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</row>
    <row r="689" spans="1:49" ht="12.75" customHeight="1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2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</row>
    <row r="690" spans="1:49" ht="12.75" customHeight="1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2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</row>
    <row r="691" spans="1:49" ht="12.75" customHeight="1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2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</row>
    <row r="692" spans="1:49" ht="12.75" customHeight="1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2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</row>
    <row r="693" spans="1:49" ht="12.75" customHeight="1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2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</row>
    <row r="694" spans="1:49" ht="12.75" customHeight="1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2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</row>
    <row r="695" spans="1:49" ht="12.75" customHeight="1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2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</row>
    <row r="696" spans="1:49" ht="12.75" customHeight="1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2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</row>
    <row r="697" spans="1:49" ht="12.75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2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</row>
    <row r="698" spans="1:49" ht="12.7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2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</row>
    <row r="699" spans="1:49" ht="12.75" customHeight="1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2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</row>
    <row r="700" spans="1:49" ht="12.75" customHeight="1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2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</row>
    <row r="701" spans="1:49" ht="12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2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</row>
    <row r="702" spans="1:49" ht="12.7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2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</row>
    <row r="703" spans="1:49" ht="12.75" customHeight="1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2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</row>
    <row r="704" spans="1:49" ht="12.75" customHeight="1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2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</row>
    <row r="705" spans="1:49" ht="12.75" customHeight="1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2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</row>
    <row r="706" spans="1:49" ht="12.75" customHeight="1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2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</row>
    <row r="707" spans="1:49" ht="12.75" customHeight="1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2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</row>
    <row r="708" spans="1:49" ht="12.75" customHeight="1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2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</row>
    <row r="709" spans="1:49" ht="12.75" customHeight="1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2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</row>
    <row r="710" spans="1:49" ht="12.75" customHeight="1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2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</row>
    <row r="711" spans="1:49" ht="12.75" customHeight="1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2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</row>
    <row r="712" spans="1:49" ht="12.75" customHeight="1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2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</row>
    <row r="713" spans="1:49" ht="12.75" customHeight="1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2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</row>
    <row r="714" spans="1:49" ht="12.75" customHeight="1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2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</row>
    <row r="715" spans="1:49" ht="12.75" customHeight="1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2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</row>
    <row r="716" spans="1:49" ht="12.75" customHeight="1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2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</row>
    <row r="717" spans="1:49" ht="12.75" customHeight="1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2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</row>
    <row r="718" spans="1:49" ht="12.75" customHeight="1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2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</row>
    <row r="719" spans="1:49" ht="12.75" customHeight="1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2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</row>
    <row r="720" spans="1:49" ht="12.75" customHeight="1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2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</row>
    <row r="721" spans="1:49" ht="12.75" customHeight="1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2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</row>
    <row r="722" spans="1:49" ht="12.75" customHeight="1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2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</row>
    <row r="723" spans="1:49" ht="12.75" customHeight="1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2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</row>
    <row r="724" spans="1:49" ht="12.75" customHeight="1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2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</row>
    <row r="725" spans="1:49" ht="12.75" customHeight="1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2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</row>
    <row r="726" spans="1:49" ht="12.7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2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</row>
    <row r="727" spans="1:49" ht="12.75" customHeight="1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2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</row>
    <row r="728" spans="1:49" ht="12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2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</row>
    <row r="729" spans="1:49" ht="12.75" customHeight="1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2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</row>
    <row r="730" spans="1:49" ht="12.75" customHeight="1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2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</row>
    <row r="731" spans="1:49" ht="12.75" customHeight="1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2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</row>
    <row r="732" spans="1:49" ht="12.75" customHeight="1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2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</row>
    <row r="733" spans="1:49" ht="12.75" customHeight="1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2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</row>
    <row r="734" spans="1:49" ht="12.75" customHeight="1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2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</row>
    <row r="735" spans="1:49" ht="12.75" customHeight="1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2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</row>
    <row r="736" spans="1:49" ht="12.75" customHeight="1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2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</row>
    <row r="737" spans="1:49" ht="12.75" customHeight="1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2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</row>
    <row r="738" spans="1:49" ht="12.75" customHeight="1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2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</row>
    <row r="739" spans="1:49" ht="12.75" customHeight="1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2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</row>
    <row r="740" spans="1:49" ht="12.75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2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</row>
    <row r="741" spans="1:49" ht="12.75" customHeight="1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2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</row>
    <row r="742" spans="1:49" ht="12.75" customHeight="1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2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</row>
    <row r="743" spans="1:49" ht="12.75" customHeight="1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2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</row>
    <row r="744" spans="1:49" ht="12.75" customHeight="1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2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</row>
    <row r="745" spans="1:49" ht="12.75" customHeight="1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2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</row>
    <row r="746" spans="1:49" ht="12.75" customHeight="1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2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</row>
    <row r="747" spans="1:49" ht="12.75" customHeight="1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2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</row>
    <row r="748" spans="1:49" ht="12.75" customHeight="1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2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</row>
    <row r="749" spans="1:49" ht="12.75" customHeight="1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2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</row>
    <row r="750" spans="1:49" ht="12.75" customHeight="1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2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</row>
    <row r="751" spans="1:49" ht="12.75" customHeight="1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2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</row>
    <row r="752" spans="1:49" ht="12.75" customHeight="1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2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</row>
    <row r="753" spans="1:49" ht="12.75" customHeight="1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2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</row>
    <row r="754" spans="1:49" ht="12.75" customHeight="1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2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</row>
    <row r="755" spans="1:49" ht="12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2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</row>
    <row r="756" spans="1:49" ht="12.75" customHeight="1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2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</row>
    <row r="757" spans="1:49" ht="12.75" customHeight="1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2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</row>
    <row r="758" spans="1:49" ht="12.75" customHeight="1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2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</row>
    <row r="759" spans="1:49" ht="12.75" customHeight="1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2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</row>
    <row r="760" spans="1:49" ht="12.75" customHeight="1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2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</row>
    <row r="761" spans="1:49" ht="12.75" customHeight="1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2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</row>
    <row r="762" spans="1:49" ht="12.75" customHeight="1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2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</row>
    <row r="763" spans="1:49" ht="12.75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2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</row>
    <row r="764" spans="1:49" ht="12.7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2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</row>
    <row r="765" spans="1:49" ht="12.75" customHeight="1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2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</row>
    <row r="766" spans="1:49" ht="12.75" customHeight="1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2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</row>
    <row r="767" spans="1:49" ht="12.75" customHeight="1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2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</row>
    <row r="768" spans="1:49" ht="12.75" customHeight="1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2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</row>
    <row r="769" spans="1:49" ht="12.75" customHeight="1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2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</row>
    <row r="770" spans="1:49" ht="12.75" customHeight="1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2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</row>
    <row r="771" spans="1:49" ht="12.75" customHeight="1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2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</row>
    <row r="772" spans="1:49" ht="12.75" customHeight="1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2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</row>
    <row r="773" spans="1:49" ht="12.75" customHeight="1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2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</row>
    <row r="774" spans="1:49" ht="12.75" customHeight="1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2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</row>
    <row r="775" spans="1:49" ht="12.75" customHeight="1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2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</row>
    <row r="776" spans="1:49" ht="12.75" customHeight="1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2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</row>
    <row r="777" spans="1:49" ht="12.7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2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</row>
    <row r="778" spans="1:49" ht="12.75" customHeight="1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2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</row>
    <row r="779" spans="1:49" ht="12.75" customHeight="1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2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</row>
    <row r="780" spans="1:49" ht="12.75" customHeight="1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2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</row>
    <row r="781" spans="1:49" ht="12.75" customHeight="1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2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</row>
    <row r="782" spans="1:49" ht="12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2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</row>
    <row r="783" spans="1:49" ht="12.75" customHeight="1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2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</row>
    <row r="784" spans="1:49" ht="12.75" customHeight="1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2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</row>
    <row r="785" spans="1:49" ht="12.75" customHeight="1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2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</row>
    <row r="786" spans="1:49" ht="12.75" customHeight="1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2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</row>
    <row r="787" spans="1:49" ht="12.75" customHeight="1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2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</row>
    <row r="788" spans="1:49" ht="12.75" customHeight="1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2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</row>
    <row r="789" spans="1:49" ht="12.75" customHeight="1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2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</row>
    <row r="790" spans="1:49" ht="12.75" customHeight="1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2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</row>
    <row r="791" spans="1:49" ht="12.75" customHeight="1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2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</row>
    <row r="792" spans="1:49" ht="12.75" customHeight="1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2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</row>
    <row r="793" spans="1:49" ht="12.75" customHeight="1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2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</row>
    <row r="794" spans="1:49" ht="12.75" customHeight="1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2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</row>
    <row r="795" spans="1:49" ht="12.75" customHeight="1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2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</row>
    <row r="796" spans="1:49" ht="12.75" customHeight="1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2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</row>
    <row r="797" spans="1:49" ht="12.75" customHeight="1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2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</row>
    <row r="798" spans="1:49" ht="12.75" customHeight="1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2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</row>
    <row r="799" spans="1:49" ht="12.75" customHeight="1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2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</row>
    <row r="800" spans="1:49" ht="12.75" customHeight="1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2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</row>
    <row r="801" spans="1:49" ht="12.75" customHeight="1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2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</row>
    <row r="802" spans="1:49" ht="12.75" customHeight="1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2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</row>
    <row r="803" spans="1:49" ht="12.75" customHeight="1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2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</row>
    <row r="804" spans="1:49" ht="12.75" customHeight="1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2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</row>
    <row r="805" spans="1:49" ht="12.75" customHeight="1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2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</row>
    <row r="806" spans="1:49" ht="12.75" customHeight="1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2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</row>
    <row r="807" spans="1:49" ht="12.75" customHeight="1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2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</row>
    <row r="808" spans="1:49" ht="12.75" customHeight="1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2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</row>
    <row r="809" spans="1:49" ht="12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2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</row>
    <row r="810" spans="1:49" ht="12.75" customHeight="1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2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</row>
    <row r="811" spans="1:49" ht="12.75" customHeight="1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2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</row>
    <row r="812" spans="1:49" ht="12.75" customHeight="1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2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</row>
    <row r="813" spans="1:49" ht="12.75" customHeight="1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2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</row>
    <row r="814" spans="1:49" ht="12.75" customHeight="1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2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</row>
    <row r="815" spans="1:49" ht="12.75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2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</row>
    <row r="816" spans="1:49" ht="12.75" customHeight="1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2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</row>
    <row r="817" spans="1:49" ht="12.75" customHeight="1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2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</row>
    <row r="818" spans="1:49" ht="12.75" customHeight="1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2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</row>
    <row r="819" spans="1:49" ht="12.75" customHeight="1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2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</row>
    <row r="820" spans="1:49" ht="12.75" customHeight="1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2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</row>
    <row r="821" spans="1:49" ht="12.75" customHeight="1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2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</row>
    <row r="822" spans="1:49" ht="12.75" customHeight="1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2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</row>
    <row r="823" spans="1:49" ht="12.75" customHeight="1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2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</row>
    <row r="824" spans="1:49" ht="12.75" customHeight="1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2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</row>
    <row r="825" spans="1:49" ht="12.75" customHeight="1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2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</row>
    <row r="826" spans="1:49" ht="12.75" customHeight="1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2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</row>
    <row r="827" spans="1:49" ht="12.75" customHeight="1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2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</row>
    <row r="828" spans="1:49" ht="12.75" customHeight="1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2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</row>
    <row r="829" spans="1:49" ht="12.75" customHeight="1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2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</row>
    <row r="830" spans="1:49" ht="12.75" customHeight="1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2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</row>
    <row r="831" spans="1:49" ht="12.75" customHeight="1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2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</row>
    <row r="832" spans="1:49" ht="12.75" customHeight="1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2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</row>
    <row r="833" spans="1:49" ht="12.75" customHeight="1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2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</row>
    <row r="834" spans="1:49" ht="12.75" customHeight="1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2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</row>
    <row r="835" spans="1:49" ht="12.75" customHeight="1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2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</row>
    <row r="836" spans="1:49" ht="12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2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</row>
    <row r="837" spans="1:49" ht="12.75" customHeight="1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2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</row>
    <row r="838" spans="1:49" ht="12.75" customHeight="1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2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</row>
    <row r="839" spans="1:49" ht="12.75" customHeight="1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2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</row>
    <row r="840" spans="1:49" ht="12.75" customHeight="1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2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</row>
    <row r="841" spans="1:49" ht="12.75" customHeight="1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2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</row>
    <row r="842" spans="1:49" ht="12.75" customHeight="1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2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</row>
    <row r="843" spans="1:49" ht="12.75" customHeight="1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2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</row>
    <row r="844" spans="1:49" ht="12.75" customHeight="1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2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</row>
    <row r="845" spans="1:49" ht="12.75" customHeight="1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2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</row>
    <row r="846" spans="1:49" ht="12.75" customHeight="1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2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</row>
    <row r="847" spans="1:49" ht="12.75" customHeight="1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2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</row>
    <row r="848" spans="1:49" ht="12.75" customHeight="1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2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</row>
    <row r="849" spans="1:49" ht="12.75" customHeight="1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2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</row>
    <row r="850" spans="1:49" ht="12.75" customHeight="1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2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</row>
    <row r="851" spans="1:49" ht="12.75" customHeight="1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2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</row>
    <row r="852" spans="1:49" ht="12.75" customHeight="1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2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</row>
    <row r="853" spans="1:49" ht="12.75" customHeight="1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2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</row>
    <row r="854" spans="1:49" ht="12.75" customHeight="1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2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</row>
    <row r="855" spans="1:49" ht="12.75" customHeight="1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2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</row>
    <row r="856" spans="1:49" ht="12.75" customHeight="1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2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</row>
    <row r="857" spans="1:49" ht="12.75" customHeight="1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2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</row>
    <row r="858" spans="1:49" ht="12.75" customHeight="1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2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</row>
    <row r="859" spans="1:49" ht="12.75" customHeight="1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2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</row>
    <row r="860" spans="1:49" ht="12.75" customHeight="1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2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</row>
    <row r="861" spans="1:49" ht="12.75" customHeight="1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2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</row>
    <row r="862" spans="1:49" ht="12.75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2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</row>
    <row r="863" spans="1:49" ht="12.7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2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</row>
    <row r="864" spans="1:49" ht="12.75" customHeight="1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2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</row>
    <row r="865" spans="1:49" ht="12.75" customHeight="1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2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</row>
    <row r="866" spans="1:49" ht="12.75" customHeight="1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2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</row>
    <row r="867" spans="1:49" ht="12.75" customHeight="1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2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</row>
    <row r="868" spans="1:49" ht="12.75" customHeight="1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2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</row>
    <row r="869" spans="1:49" ht="12.75" customHeight="1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2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</row>
    <row r="870" spans="1:49" ht="12.75" customHeight="1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2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</row>
    <row r="871" spans="1:49" ht="12.75" customHeight="1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2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</row>
    <row r="872" spans="1:49" ht="12.75" customHeight="1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2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</row>
    <row r="873" spans="1:49" ht="12.75" customHeight="1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2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</row>
    <row r="874" spans="1:49" ht="12.75" customHeight="1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2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</row>
    <row r="875" spans="1:49" ht="12.75" customHeight="1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2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</row>
    <row r="876" spans="1:49" ht="12.75" customHeight="1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2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</row>
    <row r="877" spans="1:49" ht="12.75" customHeight="1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2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</row>
    <row r="878" spans="1:49" ht="12.75" customHeight="1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2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</row>
    <row r="879" spans="1:49" ht="12.75" customHeight="1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2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</row>
    <row r="880" spans="1:49" ht="12.75" customHeight="1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2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</row>
    <row r="881" spans="1:49" ht="12.75" customHeight="1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2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</row>
    <row r="882" spans="1:49" ht="12.75" customHeight="1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2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</row>
    <row r="883" spans="1:49" ht="12.75" customHeight="1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2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</row>
    <row r="884" spans="1:49" ht="12.75" customHeight="1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2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</row>
    <row r="885" spans="1:49" ht="12.7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2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</row>
    <row r="886" spans="1:49" ht="12.75" customHeight="1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2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</row>
    <row r="887" spans="1:49" ht="12.75" customHeight="1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2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</row>
    <row r="888" spans="1:49" ht="12.75" customHeight="1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2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</row>
    <row r="889" spans="1:49" ht="12.75" customHeight="1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2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</row>
    <row r="890" spans="1:49" ht="12.75" customHeight="1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2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</row>
    <row r="891" spans="1:49" ht="12.75" customHeight="1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2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</row>
    <row r="892" spans="1:49" ht="12.75" customHeight="1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2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</row>
    <row r="893" spans="1:49" ht="12.75" customHeight="1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2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</row>
    <row r="894" spans="1:49" ht="12.75" customHeight="1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2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</row>
    <row r="895" spans="1:49" ht="12.75" customHeight="1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2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</row>
    <row r="896" spans="1:49" ht="12.75" customHeight="1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2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</row>
    <row r="897" spans="1:49" ht="12.75" customHeight="1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2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</row>
    <row r="898" spans="1:49" ht="12.75" customHeight="1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2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</row>
    <row r="899" spans="1:49" ht="12.75" customHeight="1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2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</row>
    <row r="900" spans="1:49" ht="12.75" customHeight="1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2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</row>
    <row r="901" spans="1:49" ht="12.75" customHeight="1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2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</row>
    <row r="902" spans="1:49" ht="12.75" customHeight="1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2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</row>
    <row r="903" spans="1:49" ht="12.75" customHeight="1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2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</row>
    <row r="904" spans="1:49" ht="12.75" customHeight="1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2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</row>
    <row r="905" spans="1:49" ht="12.75" customHeight="1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2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</row>
    <row r="906" spans="1:49" ht="12.75" customHeight="1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2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</row>
    <row r="907" spans="1:49" ht="12.75" customHeight="1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2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</row>
    <row r="908" spans="1:49" ht="12.75" customHeight="1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2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</row>
    <row r="909" spans="1:49" ht="12.75" customHeight="1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2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</row>
    <row r="910" spans="1:49" ht="12.75" customHeight="1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2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</row>
    <row r="911" spans="1:49" ht="12.75" customHeight="1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2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</row>
    <row r="912" spans="1:49" ht="12.75" customHeight="1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2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</row>
    <row r="913" spans="1:49" ht="12.75" customHeight="1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2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</row>
    <row r="914" spans="1:49" ht="12.75" customHeight="1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2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</row>
    <row r="915" spans="1:49" ht="12.75" customHeight="1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2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</row>
    <row r="916" spans="1:49" ht="12.75" customHeight="1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2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</row>
    <row r="917" spans="1:49" ht="12.75" customHeight="1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2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</row>
    <row r="918" spans="1:49" ht="12.75" customHeight="1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2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</row>
    <row r="919" spans="1:49" ht="12.75" customHeight="1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2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</row>
    <row r="920" spans="1:49" ht="12.75" customHeight="1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2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</row>
    <row r="921" spans="1:49" ht="12.75" customHeight="1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2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</row>
    <row r="922" spans="1:49" ht="12.75" customHeight="1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2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</row>
    <row r="923" spans="1:49" ht="12.75" customHeight="1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2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</row>
    <row r="924" spans="1:49" ht="12.75" customHeight="1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2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</row>
    <row r="925" spans="1:49" ht="12.75" customHeight="1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2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</row>
    <row r="926" spans="1:49" ht="12.75" customHeight="1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2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</row>
    <row r="927" spans="1:49" ht="12.75" customHeight="1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2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</row>
    <row r="928" spans="1:49" ht="12.75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2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</row>
    <row r="929" spans="1:49" ht="12.7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2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</row>
    <row r="930" spans="1:49" ht="12.75" customHeight="1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2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</row>
    <row r="931" spans="1:49" ht="12.75" customHeight="1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2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</row>
    <row r="932" spans="1:49" ht="12.75" customHeight="1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2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</row>
    <row r="933" spans="1:49" ht="12.75" customHeight="1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2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</row>
    <row r="934" spans="1:49" ht="12.75" customHeight="1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2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</row>
    <row r="935" spans="1:49" ht="12.75" customHeight="1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2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</row>
    <row r="936" spans="1:49" ht="12.75" customHeight="1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2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</row>
    <row r="937" spans="1:49" ht="12.75" customHeight="1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2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</row>
    <row r="938" spans="1:49" ht="12.75" customHeight="1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2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</row>
    <row r="939" spans="1:49" ht="12.75" customHeight="1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2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</row>
    <row r="940" spans="1:49" ht="12.75" customHeight="1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2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</row>
    <row r="941" spans="1:49" ht="12.75" customHeight="1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2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</row>
    <row r="942" spans="1:49" ht="12.7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2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</row>
    <row r="943" spans="1:49" ht="12.75" customHeight="1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2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</row>
    <row r="944" spans="1:49" ht="12.75" customHeight="1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2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</row>
    <row r="945" spans="1:49" ht="12.75" customHeight="1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2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</row>
    <row r="946" spans="1:49" ht="12.75" customHeight="1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2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</row>
    <row r="947" spans="1:49" ht="12.75" customHeight="1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2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</row>
    <row r="948" spans="1:49" ht="12.75" customHeight="1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2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</row>
    <row r="949" spans="1:49" ht="12.75" customHeight="1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2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</row>
    <row r="950" spans="1:49" ht="12.75" customHeight="1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2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</row>
    <row r="951" spans="1:49" ht="12.75" customHeight="1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2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</row>
    <row r="952" spans="1:49" ht="12.75" customHeight="1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2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</row>
    <row r="953" spans="1:49" ht="12.75" customHeight="1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2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</row>
    <row r="954" spans="1:49" ht="12.75" customHeight="1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2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</row>
    <row r="955" spans="1:49" ht="12.75" customHeight="1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2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</row>
    <row r="956" spans="1:49" ht="12.75" customHeight="1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2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</row>
    <row r="957" spans="1:49" ht="12.75" customHeight="1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2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</row>
    <row r="958" spans="1:49" ht="12.75" customHeight="1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2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</row>
    <row r="959" spans="1:49" ht="12.75" customHeight="1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2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</row>
    <row r="960" spans="1:49" ht="12.75" customHeight="1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2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</row>
    <row r="961" spans="1:49" ht="12.75" customHeight="1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2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</row>
    <row r="962" spans="1:49" ht="12.75" customHeight="1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2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</row>
    <row r="963" spans="1:49" ht="12.75" customHeight="1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2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</row>
    <row r="964" spans="1:49" ht="12.75" customHeight="1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2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</row>
    <row r="965" spans="1:49" ht="12.75" customHeight="1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2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</row>
    <row r="966" spans="1:49" ht="12.75" customHeight="1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2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</row>
    <row r="967" spans="1:49" ht="12.75" customHeight="1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2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</row>
    <row r="968" spans="1:49" ht="12.75" customHeight="1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2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</row>
    <row r="969" spans="1:49" ht="12.75" customHeight="1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2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</row>
    <row r="970" spans="1:49" ht="12.75" customHeight="1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2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</row>
    <row r="971" spans="1:49" ht="12.75" customHeight="1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2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</row>
    <row r="972" spans="1:49" ht="12.75" customHeight="1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2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</row>
    <row r="973" spans="1:49" ht="12.75" customHeight="1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2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</row>
    <row r="974" spans="1:49" ht="12.75" customHeight="1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2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</row>
    <row r="975" spans="1:49" ht="12.75" customHeight="1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2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</row>
    <row r="976" spans="1:49" ht="12.75" customHeight="1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2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</row>
    <row r="977" spans="1:49" ht="12.75" customHeight="1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2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</row>
    <row r="978" spans="1:49" ht="12.75" customHeight="1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2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</row>
    <row r="979" spans="1:49" ht="12.75" customHeight="1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2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</row>
    <row r="980" spans="1:49" ht="12.75" customHeight="1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2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</row>
    <row r="981" spans="1:49" ht="12.7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2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</row>
    <row r="982" spans="1:49" ht="12.75" customHeight="1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2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</row>
    <row r="983" spans="1:49" ht="12.75" customHeight="1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2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</row>
    <row r="984" spans="1:49" ht="12.75" customHeight="1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2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</row>
    <row r="985" spans="1:49" ht="12.75" customHeight="1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2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</row>
    <row r="986" spans="1:49" ht="12.75" customHeight="1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2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</row>
    <row r="987" spans="1:49" ht="12.75" customHeight="1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2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</row>
    <row r="988" spans="1:49" ht="12.75" customHeight="1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2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</row>
    <row r="989" spans="1:49" ht="12.75" customHeight="1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2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</row>
    <row r="990" spans="1:49" ht="12.75" customHeight="1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2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</row>
    <row r="991" spans="1:49" ht="12.7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2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</row>
    <row r="992" spans="1:49" ht="12.75" customHeight="1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2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</row>
    <row r="993" spans="1:49" ht="12.75" customHeight="1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2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</row>
    <row r="994" spans="1:49" ht="12.75" customHeight="1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2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</row>
    <row r="995" spans="1:49" ht="12.75" customHeight="1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2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</row>
    <row r="996" spans="1:49" ht="12.75" customHeight="1" x14ac:dyDescent="0.2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2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</row>
    <row r="997" spans="1:49" ht="12.75" customHeight="1" x14ac:dyDescent="0.2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2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</row>
    <row r="998" spans="1:49" ht="12.75" customHeight="1" x14ac:dyDescent="0.2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2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</row>
    <row r="999" spans="1:49" ht="12.75" customHeight="1" x14ac:dyDescent="0.2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2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</row>
    <row r="1000" spans="1:49" ht="12.75" customHeight="1" x14ac:dyDescent="0.2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2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</row>
  </sheetData>
  <mergeCells count="1">
    <mergeCell ref="D2:E2"/>
  </mergeCells>
  <printOptions horizontalCentered="1"/>
  <pageMargins left="0.4" right="0.4" top="0.3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000"/>
  <sheetViews>
    <sheetView showGridLines="0" workbookViewId="0"/>
  </sheetViews>
  <sheetFormatPr defaultColWidth="12.625" defaultRowHeight="15" customHeight="1" x14ac:dyDescent="0.2"/>
  <cols>
    <col min="1" max="1" width="2.875" customWidth="1"/>
    <col min="2" max="26" width="8.875" customWidth="1"/>
  </cols>
  <sheetData>
    <row r="1" ht="13.5" customHeight="1" x14ac:dyDescent="0.2"/>
    <row r="2" ht="13.5" customHeight="1" x14ac:dyDescent="0.2"/>
    <row r="3" ht="13.5" customHeight="1" x14ac:dyDescent="0.2"/>
    <row r="4" ht="13.5" customHeight="1" x14ac:dyDescent="0.2"/>
    <row r="5" ht="13.5" customHeight="1" x14ac:dyDescent="0.2"/>
    <row r="6" ht="13.5" customHeight="1" x14ac:dyDescent="0.2"/>
    <row r="7" ht="13.5" customHeight="1" x14ac:dyDescent="0.2"/>
    <row r="8" ht="13.5" customHeight="1" x14ac:dyDescent="0.2"/>
    <row r="9" ht="13.5" customHeight="1" x14ac:dyDescent="0.2"/>
    <row r="10" ht="13.5" customHeight="1" x14ac:dyDescent="0.2"/>
    <row r="11" ht="13.5" customHeight="1" x14ac:dyDescent="0.2"/>
    <row r="12" ht="13.5" customHeight="1" x14ac:dyDescent="0.2"/>
    <row r="13" ht="13.5" customHeight="1" x14ac:dyDescent="0.2"/>
    <row r="14" ht="13.5" customHeight="1" x14ac:dyDescent="0.2"/>
    <row r="15" ht="13.5" customHeight="1" x14ac:dyDescent="0.2"/>
    <row r="16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rintOptions horizontalCentered="1"/>
  <pageMargins left="0.4" right="0.4" top="0.25" bottom="0.4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3-Year Sales Forecast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Vertex42.com</dc:creator>
  <cp:lastModifiedBy>Windows User</cp:lastModifiedBy>
  <dcterms:created xsi:type="dcterms:W3CDTF">2016-03-03T22:41:05Z</dcterms:created>
  <dcterms:modified xsi:type="dcterms:W3CDTF">2023-05-14T18:39:06Z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2016-2021 Vertex42 LLC</vt:lpwstr>
  </property>
  <property fmtid="{D5CDD505-2E9C-101B-9397-08002B2CF9AE}" pid="3" name="Version">
    <vt:lpwstr>1.0.2</vt:lpwstr>
  </property>
  <property fmtid="{D5CDD505-2E9C-101B-9397-08002B2CF9AE}" pid="4" name="Source">
    <vt:lpwstr>https://www.vertex42.com/ExcelTemplates/sales-forecast.html</vt:lpwstr>
  </property>
</Properties>
</file>