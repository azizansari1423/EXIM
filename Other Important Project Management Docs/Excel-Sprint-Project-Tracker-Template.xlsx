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26"/>
  <workbookPr filterPrivacy="1" codeName="ThisWorkbook"/>
  <xr:revisionPtr revIDLastSave="0" documentId="13_ncr:1_{C994C928-EE70-49E7-AF00-A8030272620F}" xr6:coauthVersionLast="47" xr6:coauthVersionMax="47" xr10:uidLastSave="{00000000-0000-0000-0000-000000000000}"/>
  <bookViews>
    <workbookView xWindow="-120" yWindow="-120" windowWidth="29040" windowHeight="15840" xr2:uid="{00000000-000D-0000-FFFF-FFFF00000000}"/>
  </bookViews>
  <sheets>
    <sheet name="Excel Sprint Project Tracker" sheetId="9" r:id="rId1"/>
    <sheet name="Sprint Tracker Instructions" sheetId="10" r:id="rId2"/>
  </sheets>
  <definedNames>
    <definedName name="prevWBS" localSheetId="0">'Excel Sprint Project Tracker'!$C1048576</definedName>
    <definedName name="_xlnm.Print_Area" localSheetId="0">'Excel Sprint Project Tracker'!$C$3:$AN$30</definedName>
    <definedName name="_xlnm.Print_Titles" localSheetId="0">'Excel Sprint Project Tracker'!$6:$8</definedName>
    <definedName name="valuevx">42.314159</definedName>
    <definedName name="vertex42_copyright" hidden="1">"© 2006-2018 Vertex42 LLC"</definedName>
    <definedName name="vertex42_id" hidden="1">"gantt-chart_L2.xlsx"</definedName>
    <definedName name="vertex42_title" hidden="1">"Gantt Chart Template"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0" i="9" l="1"/>
  <c r="G14" i="9" l="1"/>
  <c r="G13" i="9"/>
  <c r="G12" i="9"/>
  <c r="G19" i="9"/>
  <c r="G18" i="9"/>
  <c r="G17" i="9"/>
  <c r="G24" i="9"/>
  <c r="G23" i="9"/>
  <c r="G22" i="9"/>
  <c r="G29" i="9"/>
  <c r="G28" i="9"/>
  <c r="G27" i="9"/>
  <c r="E26" i="9"/>
  <c r="F26" i="9"/>
  <c r="G26" i="9" l="1"/>
  <c r="F11" i="9"/>
  <c r="E11" i="9"/>
  <c r="F16" i="9"/>
  <c r="E16" i="9"/>
  <c r="F21" i="9"/>
  <c r="E21" i="9"/>
  <c r="G21" i="9" l="1"/>
  <c r="G16" i="9"/>
  <c r="G11" i="9"/>
  <c r="F10" i="9"/>
  <c r="E10" i="9"/>
  <c r="G10" i="9" l="1"/>
  <c r="K5" i="9"/>
  <c r="O8" i="9" s="1"/>
  <c r="N8" i="9" s="1"/>
  <c r="M8" i="9" s="1"/>
  <c r="L8" i="9" s="1"/>
  <c r="K8" i="9" s="1"/>
  <c r="K9" i="9" l="1"/>
  <c r="N9" i="9"/>
  <c r="O9" i="9"/>
  <c r="M9" i="9"/>
  <c r="L9" i="9"/>
  <c r="P5" i="9"/>
  <c r="U5" i="9" s="1"/>
  <c r="Z5" i="9" s="1"/>
  <c r="AE5" i="9" s="1"/>
  <c r="AJ5" i="9" s="1"/>
  <c r="P8" i="9"/>
  <c r="Q8" i="9" l="1"/>
  <c r="P9" i="9"/>
  <c r="R8" i="9" l="1"/>
  <c r="Q9" i="9"/>
  <c r="S8" i="9" l="1"/>
  <c r="R9" i="9"/>
  <c r="T8" i="9" l="1"/>
  <c r="U8" i="9" s="1"/>
  <c r="V8" i="9" s="1"/>
  <c r="W8" i="9" s="1"/>
  <c r="X8" i="9" s="1"/>
  <c r="Y8" i="9" s="1"/>
  <c r="Z8" i="9" s="1"/>
  <c r="AA8" i="9" s="1"/>
  <c r="AB8" i="9" s="1"/>
  <c r="AC8" i="9" s="1"/>
  <c r="AD8" i="9" s="1"/>
  <c r="AE8" i="9" s="1"/>
  <c r="S9" i="9"/>
  <c r="AF8" i="9" l="1"/>
  <c r="AE9" i="9"/>
  <c r="T9" i="9"/>
  <c r="AG8" i="9" l="1"/>
  <c r="AF9" i="9"/>
  <c r="U9" i="9"/>
  <c r="AH8" i="9" l="1"/>
  <c r="AG9" i="9"/>
  <c r="V9" i="9"/>
  <c r="AI8" i="9" l="1"/>
  <c r="AH9" i="9"/>
  <c r="W9" i="9"/>
  <c r="AJ8" i="9" l="1"/>
  <c r="AI9" i="9"/>
  <c r="X9" i="9"/>
  <c r="AK8" i="9" l="1"/>
  <c r="AJ9" i="9"/>
  <c r="Y9" i="9"/>
  <c r="AL8" i="9" l="1"/>
  <c r="AK9" i="9"/>
  <c r="AM8" i="9" l="1"/>
  <c r="AL9" i="9"/>
  <c r="AN8" i="9" l="1"/>
  <c r="AM9" i="9"/>
  <c r="Z9" i="9"/>
  <c r="AN9" i="9" l="1"/>
  <c r="AA9" i="9"/>
  <c r="AB9" i="9" l="1"/>
  <c r="AC9" i="9" l="1"/>
  <c r="AD9" i="9" l="1"/>
</calcChain>
</file>

<file path=xl/sharedStrings.xml><?xml version="1.0" encoding="utf-8"?>
<sst xmlns="http://schemas.openxmlformats.org/spreadsheetml/2006/main" count="56" uniqueCount="29">
  <si>
    <t>Project Summary</t>
  </si>
  <si>
    <t>PROJECT START DATE</t>
  </si>
  <si>
    <t>Sprint 1</t>
  </si>
  <si>
    <t>Sprint 2</t>
  </si>
  <si>
    <t>Sprint 3</t>
  </si>
  <si>
    <t>Sprint 4</t>
  </si>
  <si>
    <t>Sprint</t>
  </si>
  <si>
    <t>Priority</t>
  </si>
  <si>
    <t>Start</t>
  </si>
  <si>
    <t>Finish</t>
  </si>
  <si>
    <t>Duration</t>
  </si>
  <si>
    <t>Status</t>
  </si>
  <si>
    <t>% 
Complete</t>
  </si>
  <si>
    <t>Feature 1</t>
  </si>
  <si>
    <t>Feature 2</t>
  </si>
  <si>
    <t>Feature 3</t>
  </si>
  <si>
    <t>Sprint Project Tracker</t>
  </si>
  <si>
    <t>Task Completed</t>
  </si>
  <si>
    <t>Red</t>
  </si>
  <si>
    <t>Yellow</t>
  </si>
  <si>
    <t>Green</t>
  </si>
  <si>
    <t>Low</t>
  </si>
  <si>
    <t>Medium</t>
  </si>
  <si>
    <t>High</t>
  </si>
  <si>
    <t>SCROLL TO WEEK #</t>
  </si>
  <si>
    <t>Make beautiful timelines in PowerPoint for important meetings.</t>
  </si>
  <si>
    <t>Instantly turn Excel data into PowerPoint slides with the Office Timeline add-in for PowerPoint.</t>
  </si>
  <si>
    <t>www.officetimeline.com</t>
  </si>
  <si>
    <t>Task in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</si>
</sst>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d"/>
    <numFmt numFmtId="165" formatCode="mmm\-d"/>
    <numFmt numFmtId="166" formatCode="[$-F800]dddd\,\ mmmm\ dd\,\ yyyy"/>
    <numFmt numFmtId="167" formatCode="[$-409]d\-mmm\-yy;@"/>
  </numFmts>
  <fonts count="61" x14ac:knownFonts="1">
    <font>
      <sz val="10"/>
      <name val="Arial"/>
    </font>
    <font>
      <u/>
      <sz val="10"/>
      <color indexed="12"/>
      <name val="Arial"/>
      <family val="2"/>
    </font>
    <font>
      <sz val="8"/>
      <name val="Arial"/>
      <family val="2"/>
    </font>
    <font>
      <sz val="10"/>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0"/>
      <name val="Arial"/>
      <family val="2"/>
    </font>
    <font>
      <sz val="10"/>
      <name val="Century Gothic"/>
      <family val="2"/>
    </font>
    <font>
      <b/>
      <sz val="10"/>
      <color theme="0"/>
      <name val="Century Gothic"/>
      <family val="2"/>
    </font>
    <font>
      <b/>
      <i/>
      <sz val="8"/>
      <color theme="0"/>
      <name val="Century Gothic"/>
      <family val="2"/>
    </font>
    <font>
      <i/>
      <sz val="10"/>
      <color theme="0"/>
      <name val="Century Gothic"/>
      <family val="2"/>
    </font>
    <font>
      <sz val="12"/>
      <name val="Century Gothic"/>
      <family val="2"/>
    </font>
    <font>
      <b/>
      <sz val="8"/>
      <color theme="4" tint="-0.249977111117893"/>
      <name val="Century Gothic"/>
      <family val="2"/>
    </font>
    <font>
      <b/>
      <sz val="8"/>
      <color theme="4" tint="-0.499984740745262"/>
      <name val="Century Gothic"/>
      <family val="2"/>
    </font>
    <font>
      <b/>
      <u/>
      <sz val="8"/>
      <color theme="4" tint="-0.499984740745262"/>
      <name val="Century Gothic"/>
      <family val="2"/>
    </font>
    <font>
      <sz val="8"/>
      <color theme="4" tint="-0.499984740745262"/>
      <name val="Century Gothic"/>
      <family val="2"/>
    </font>
    <font>
      <sz val="8"/>
      <name val="Century Gothic"/>
      <family val="2"/>
    </font>
    <font>
      <sz val="8"/>
      <color theme="0"/>
      <name val="Century Gothic"/>
      <family val="2"/>
    </font>
    <font>
      <sz val="11"/>
      <color theme="4" tint="-0.249977111117893"/>
      <name val="Century Gothic"/>
      <family val="2"/>
    </font>
    <font>
      <sz val="10"/>
      <color theme="4" tint="-0.249977111117893"/>
      <name val="Century Gothic"/>
      <family val="2"/>
    </font>
    <font>
      <sz val="9"/>
      <name val="Century Gothic"/>
      <family val="2"/>
    </font>
    <font>
      <sz val="14"/>
      <name val="Century Gothic"/>
      <family val="2"/>
    </font>
    <font>
      <sz val="9"/>
      <color rgb="FF000000"/>
      <name val="Century Gothic"/>
      <family val="2"/>
    </font>
    <font>
      <sz val="14"/>
      <color rgb="FF000000"/>
      <name val="Century Gothic"/>
      <family val="2"/>
    </font>
    <font>
      <b/>
      <sz val="10"/>
      <color theme="1" tint="0.34998626667073579"/>
      <name val="Century Gothic"/>
      <family val="2"/>
    </font>
    <font>
      <sz val="8"/>
      <color theme="1" tint="0.249977111117893"/>
      <name val="Century Gothic"/>
      <family val="2"/>
    </font>
    <font>
      <b/>
      <sz val="9"/>
      <color theme="1" tint="0.249977111117893"/>
      <name val="Century Gothic"/>
      <family val="2"/>
    </font>
    <font>
      <b/>
      <sz val="9"/>
      <name val="Century Gothic"/>
      <family val="2"/>
    </font>
    <font>
      <b/>
      <sz val="9"/>
      <color theme="0"/>
      <name val="Century Gothic"/>
      <family val="2"/>
    </font>
    <font>
      <b/>
      <i/>
      <sz val="8"/>
      <color theme="1" tint="0.249977111117893"/>
      <name val="Century Gothic"/>
      <family val="2"/>
    </font>
    <font>
      <b/>
      <sz val="9"/>
      <color theme="1" tint="0.34998626667073579"/>
      <name val="Century Gothic"/>
      <family val="2"/>
    </font>
    <font>
      <b/>
      <sz val="9"/>
      <color theme="1"/>
      <name val="Century Gothic"/>
      <family val="2"/>
    </font>
    <font>
      <sz val="9"/>
      <color theme="1"/>
      <name val="Century Gothic"/>
      <family val="2"/>
    </font>
    <font>
      <sz val="10"/>
      <color theme="1" tint="0.249977111117893"/>
      <name val="Century Gothic"/>
      <family val="2"/>
    </font>
    <font>
      <b/>
      <sz val="8"/>
      <color theme="1" tint="0.34998626667073579"/>
      <name val="Century Gothic"/>
      <family val="2"/>
    </font>
    <font>
      <sz val="22"/>
      <color theme="1" tint="0.34998626667073579"/>
      <name val="Century Gothic"/>
      <family val="2"/>
    </font>
    <font>
      <sz val="11"/>
      <color theme="1" tint="0.24994659260841701"/>
      <name val="Century Gothic"/>
      <family val="2"/>
    </font>
    <font>
      <sz val="9"/>
      <color theme="0" tint="-4.9989318521683403E-2"/>
      <name val="Century Gothic"/>
      <family val="2"/>
    </font>
    <font>
      <sz val="12"/>
      <color theme="0"/>
      <name val="Century Gothic"/>
      <family val="2"/>
    </font>
    <font>
      <sz val="8"/>
      <color theme="1" tint="0.24994659260841701"/>
      <name val="Century Gothic"/>
      <family val="2"/>
    </font>
    <font>
      <b/>
      <sz val="13"/>
      <color theme="1" tint="0.24994659260841701"/>
      <name val="Arial"/>
      <family val="2"/>
      <scheme val="major"/>
    </font>
    <font>
      <sz val="13"/>
      <color theme="1" tint="0.24994659260841701"/>
      <name val="Century Gothic"/>
      <family val="2"/>
    </font>
    <font>
      <u/>
      <sz val="12"/>
      <color theme="0"/>
      <name val="Segoe UI"/>
      <family val="2"/>
    </font>
    <font>
      <sz val="12"/>
      <color theme="0"/>
      <name val="Century Gothic"/>
      <family val="2"/>
      <charset val="238"/>
    </font>
    <font>
      <sz val="11"/>
      <color theme="0"/>
      <name val="Century Gothic"/>
      <family val="2"/>
    </font>
    <font>
      <u/>
      <sz val="11"/>
      <color theme="0"/>
      <name val="Segoe UI"/>
      <family val="2"/>
    </font>
  </fonts>
  <fills count="29">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0" tint="-0.14999847407452621"/>
        <bgColor indexed="64"/>
      </patternFill>
    </fill>
    <fill>
      <patternFill patternType="solid">
        <fgColor theme="0"/>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theme="1" tint="0.499984740745262"/>
        <bgColor indexed="64"/>
      </patternFill>
    </fill>
    <fill>
      <patternFill patternType="solid">
        <fgColor rgb="FF0070C0"/>
        <bgColor indexed="64"/>
      </patternFill>
    </fill>
    <fill>
      <patternFill patternType="solid">
        <fgColor theme="9" tint="-0.249977111117893"/>
        <bgColor indexed="64"/>
      </patternFill>
    </fill>
    <fill>
      <patternFill patternType="solid">
        <fgColor rgb="FFD24726"/>
        <bgColor rgb="FF000000"/>
      </patternFill>
    </fill>
    <fill>
      <patternFill patternType="solid">
        <fgColor rgb="FF52B161"/>
        <bgColor indexed="64"/>
      </patternFill>
    </fill>
  </fills>
  <borders count="3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style="thin">
        <color rgb="FFEFEFEF"/>
      </top>
      <bottom style="thin">
        <color rgb="FFEFEFEF"/>
      </bottom>
      <diagonal/>
    </border>
    <border>
      <left/>
      <right/>
      <top/>
      <bottom style="thin">
        <color indexed="22"/>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right style="thin">
        <color theme="0" tint="-0.14999847407452621"/>
      </right>
      <top style="thin">
        <color theme="0" tint="-0.14999847407452621"/>
      </top>
      <bottom/>
      <diagonal/>
    </border>
    <border>
      <left/>
      <right/>
      <top/>
      <bottom style="thin">
        <color theme="0" tint="-0.14999847407452621"/>
      </bottom>
      <diagonal/>
    </border>
    <border>
      <left style="thin">
        <color theme="0" tint="-0.34998626667073579"/>
      </left>
      <right/>
      <top style="thin">
        <color theme="0" tint="-0.34998626667073579"/>
      </top>
      <bottom style="thin">
        <color theme="0" tint="-0.34998626667073579"/>
      </bottom>
      <diagonal/>
    </border>
    <border>
      <left style="medium">
        <color theme="6" tint="-0.499984740745262"/>
      </left>
      <right/>
      <top style="medium">
        <color theme="6" tint="-0.499984740745262"/>
      </top>
      <bottom style="medium">
        <color theme="6" tint="-0.499984740745262"/>
      </bottom>
      <diagonal/>
    </border>
    <border>
      <left/>
      <right/>
      <top style="medium">
        <color theme="6" tint="-0.499984740745262"/>
      </top>
      <bottom style="medium">
        <color theme="6" tint="-0.499984740745262"/>
      </bottom>
      <diagonal/>
    </border>
    <border>
      <left/>
      <right style="medium">
        <color theme="6" tint="-0.499984740745262"/>
      </right>
      <top style="medium">
        <color theme="6" tint="-0.499984740745262"/>
      </top>
      <bottom style="medium">
        <color theme="6" tint="-0.499984740745262"/>
      </bottom>
      <diagonal/>
    </border>
    <border>
      <left style="medium">
        <color rgb="FFC00000"/>
      </left>
      <right/>
      <top style="medium">
        <color rgb="FFC00000"/>
      </top>
      <bottom style="medium">
        <color rgb="FFC00000"/>
      </bottom>
      <diagonal/>
    </border>
    <border>
      <left/>
      <right/>
      <top style="medium">
        <color rgb="FFC00000"/>
      </top>
      <bottom style="medium">
        <color rgb="FFC00000"/>
      </bottom>
      <diagonal/>
    </border>
    <border>
      <left/>
      <right style="medium">
        <color rgb="FFC00000"/>
      </right>
      <top style="medium">
        <color rgb="FFC00000"/>
      </top>
      <bottom style="medium">
        <color rgb="FFC00000"/>
      </bottom>
      <diagonal/>
    </border>
    <border>
      <left/>
      <right/>
      <top style="medium">
        <color rgb="FFC00000"/>
      </top>
      <bottom/>
      <diagonal/>
    </border>
    <border>
      <left/>
      <right/>
      <top style="medium">
        <color theme="6" tint="-0.499984740745262"/>
      </top>
      <bottom/>
      <diagonal/>
    </border>
    <border>
      <left style="thin">
        <color theme="0"/>
      </left>
      <right style="thin">
        <color theme="0"/>
      </right>
      <top style="thin">
        <color theme="0"/>
      </top>
      <bottom style="thin">
        <color theme="0"/>
      </bottom>
      <diagonal/>
    </border>
  </borders>
  <cellStyleXfs count="47">
    <xf numFmtId="0" fontId="0" fillId="0" borderId="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2"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6"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8"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0"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6" fillId="16" borderId="0" applyNumberFormat="0" applyBorder="0" applyAlignment="0" applyProtection="0"/>
    <xf numFmtId="0" fontId="7" fillId="17" borderId="1" applyNumberFormat="0" applyAlignment="0" applyProtection="0"/>
    <xf numFmtId="0" fontId="8" fillId="18" borderId="2" applyNumberFormat="0" applyAlignment="0" applyProtection="0"/>
    <xf numFmtId="0" fontId="9" fillId="0" borderId="0" applyNumberFormat="0" applyFill="0" applyBorder="0" applyAlignment="0" applyProtection="0"/>
    <xf numFmtId="0" fontId="10" fillId="19" borderId="0" applyNumberFormat="0" applyBorder="0" applyAlignment="0" applyProtection="0"/>
    <xf numFmtId="0" fontId="11" fillId="0" borderId="3" applyNumberFormat="0" applyFill="0" applyAlignment="0" applyProtection="0"/>
    <xf numFmtId="0" fontId="12" fillId="0" borderId="4" applyNumberFormat="0" applyFill="0" applyAlignment="0" applyProtection="0"/>
    <xf numFmtId="0" fontId="13" fillId="0" borderId="5" applyNumberFormat="0" applyFill="0" applyAlignment="0" applyProtection="0"/>
    <xf numFmtId="0" fontId="13" fillId="0" borderId="0" applyNumberFormat="0" applyFill="0" applyBorder="0" applyAlignment="0" applyProtection="0"/>
    <xf numFmtId="0" fontId="1" fillId="0" borderId="0" applyNumberFormat="0" applyFill="0" applyBorder="0" applyAlignment="0" applyProtection="0">
      <alignment vertical="top"/>
      <protection locked="0"/>
    </xf>
    <xf numFmtId="0" fontId="14" fillId="11" borderId="1" applyNumberFormat="0" applyAlignment="0" applyProtection="0"/>
    <xf numFmtId="0" fontId="15" fillId="0" borderId="6" applyNumberFormat="0" applyFill="0" applyAlignment="0" applyProtection="0"/>
    <xf numFmtId="0" fontId="16" fillId="5" borderId="0" applyNumberFormat="0" applyBorder="0" applyAlignment="0" applyProtection="0"/>
    <xf numFmtId="0" fontId="3" fillId="5" borderId="7" applyNumberFormat="0" applyFont="0" applyAlignment="0" applyProtection="0"/>
    <xf numFmtId="0" fontId="17" fillId="17" borderId="8" applyNumberFormat="0" applyAlignment="0" applyProtection="0"/>
    <xf numFmtId="0" fontId="18" fillId="0" borderId="0" applyNumberFormat="0" applyFill="0" applyBorder="0" applyAlignment="0" applyProtection="0"/>
    <xf numFmtId="0" fontId="19" fillId="0" borderId="9" applyNumberFormat="0" applyFill="0" applyAlignment="0" applyProtection="0"/>
    <xf numFmtId="0" fontId="20" fillId="0" borderId="0" applyNumberFormat="0" applyFill="0" applyBorder="0" applyAlignment="0" applyProtection="0"/>
    <xf numFmtId="44" fontId="21" fillId="0" borderId="0" applyFont="0" applyFill="0" applyBorder="0" applyAlignment="0" applyProtection="0"/>
    <xf numFmtId="9" fontId="21" fillId="0" borderId="0" applyFont="0" applyFill="0" applyBorder="0" applyAlignment="0" applyProtection="0"/>
    <xf numFmtId="167" fontId="55" fillId="0" borderId="0" applyFill="0" applyBorder="0" applyProtection="0">
      <alignment horizontal="left"/>
    </xf>
    <xf numFmtId="0" fontId="57" fillId="0" borderId="0" applyNumberFormat="0" applyFill="0" applyBorder="0" applyAlignment="0" applyProtection="0"/>
  </cellStyleXfs>
  <cellXfs count="91">
    <xf numFmtId="0" fontId="0" fillId="0" borderId="0" xfId="0"/>
    <xf numFmtId="0" fontId="22" fillId="23" borderId="0" xfId="0" applyFont="1" applyFill="1"/>
    <xf numFmtId="0" fontId="22" fillId="23" borderId="0" xfId="0" applyNumberFormat="1" applyFont="1" applyFill="1" applyBorder="1" applyProtection="1"/>
    <xf numFmtId="0" fontId="22" fillId="23" borderId="0" xfId="0" applyFont="1" applyFill="1" applyProtection="1"/>
    <xf numFmtId="0" fontId="22" fillId="23" borderId="0" xfId="0" applyNumberFormat="1" applyFont="1" applyFill="1" applyProtection="1"/>
    <xf numFmtId="0" fontId="22" fillId="21" borderId="0" xfId="0" applyFont="1" applyFill="1"/>
    <xf numFmtId="0" fontId="22" fillId="21" borderId="0" xfId="0" applyNumberFormat="1" applyFont="1" applyFill="1" applyBorder="1" applyProtection="1"/>
    <xf numFmtId="0" fontId="22" fillId="21" borderId="0" xfId="0" applyFont="1" applyFill="1" applyProtection="1"/>
    <xf numFmtId="0" fontId="22" fillId="21" borderId="0" xfId="0" applyNumberFormat="1" applyFont="1" applyFill="1" applyProtection="1"/>
    <xf numFmtId="0" fontId="23" fillId="21" borderId="0" xfId="0" applyFont="1" applyFill="1" applyProtection="1"/>
    <xf numFmtId="0" fontId="24" fillId="21" borderId="0" xfId="0" applyFont="1" applyFill="1" applyBorder="1" applyAlignment="1">
      <alignment vertical="center"/>
    </xf>
    <xf numFmtId="0" fontId="26" fillId="21" borderId="0" xfId="0" applyFont="1" applyFill="1" applyBorder="1" applyAlignment="1" applyProtection="1">
      <alignment vertical="center"/>
    </xf>
    <xf numFmtId="15" fontId="35" fillId="21" borderId="11" xfId="0" applyNumberFormat="1" applyFont="1" applyFill="1" applyBorder="1" applyAlignment="1" applyProtection="1">
      <alignment horizontal="center" vertical="center"/>
    </xf>
    <xf numFmtId="0" fontId="35" fillId="21" borderId="10" xfId="0" applyFont="1" applyFill="1" applyBorder="1" applyAlignment="1" applyProtection="1">
      <alignment horizontal="left" vertical="center" wrapText="1" indent="1"/>
    </xf>
    <xf numFmtId="0" fontId="35" fillId="21" borderId="10" xfId="0" applyFont="1" applyFill="1" applyBorder="1" applyAlignment="1" applyProtection="1">
      <alignment vertical="center"/>
    </xf>
    <xf numFmtId="0" fontId="35" fillId="21" borderId="10" xfId="0" applyFont="1" applyFill="1" applyBorder="1" applyAlignment="1" applyProtection="1">
      <alignment horizontal="center" vertical="center"/>
    </xf>
    <xf numFmtId="14" fontId="35" fillId="21" borderId="11" xfId="0" applyNumberFormat="1" applyFont="1" applyFill="1" applyBorder="1" applyAlignment="1" applyProtection="1">
      <alignment horizontal="center" vertical="center"/>
    </xf>
    <xf numFmtId="0" fontId="22" fillId="21" borderId="0" xfId="0" applyNumberFormat="1" applyFont="1" applyFill="1" applyBorder="1" applyProtection="1">
      <protection locked="0"/>
    </xf>
    <xf numFmtId="0" fontId="22" fillId="21" borderId="0" xfId="0" applyFont="1" applyFill="1" applyProtection="1">
      <protection locked="0"/>
    </xf>
    <xf numFmtId="14" fontId="22" fillId="21" borderId="0" xfId="0" applyNumberFormat="1" applyFont="1" applyFill="1" applyProtection="1">
      <protection locked="0"/>
    </xf>
    <xf numFmtId="0" fontId="27" fillId="22" borderId="0" xfId="0" applyNumberFormat="1" applyFont="1" applyFill="1" applyBorder="1" applyProtection="1"/>
    <xf numFmtId="0" fontId="28" fillId="22" borderId="0" xfId="0" applyNumberFormat="1" applyFont="1" applyFill="1" applyBorder="1" applyAlignment="1" applyProtection="1">
      <alignment vertical="center"/>
      <protection locked="0"/>
    </xf>
    <xf numFmtId="0" fontId="29" fillId="22" borderId="0" xfId="34" applyNumberFormat="1" applyFont="1" applyFill="1" applyBorder="1" applyAlignment="1" applyProtection="1">
      <alignment horizontal="right" vertical="center"/>
      <protection locked="0"/>
    </xf>
    <xf numFmtId="0" fontId="28" fillId="22" borderId="0" xfId="0" applyFont="1" applyFill="1" applyBorder="1" applyAlignment="1" applyProtection="1">
      <alignment vertical="center"/>
      <protection locked="0"/>
    </xf>
    <xf numFmtId="0" fontId="30" fillId="22" borderId="0" xfId="0" applyFont="1" applyFill="1" applyBorder="1" applyAlignment="1" applyProtection="1">
      <alignment vertical="center"/>
      <protection locked="0"/>
    </xf>
    <xf numFmtId="0" fontId="34" fillId="22" borderId="0" xfId="0" applyFont="1" applyFill="1" applyAlignment="1" applyProtection="1">
      <alignment vertical="center"/>
    </xf>
    <xf numFmtId="0" fontId="34" fillId="22" borderId="0" xfId="0" applyNumberFormat="1" applyFont="1" applyFill="1" applyBorder="1" applyAlignment="1" applyProtection="1">
      <alignment vertical="center"/>
    </xf>
    <xf numFmtId="0" fontId="33" fillId="22" borderId="0" xfId="0" applyFont="1" applyFill="1" applyBorder="1" applyAlignment="1" applyProtection="1">
      <alignment horizontal="right" vertical="center" indent="1"/>
    </xf>
    <xf numFmtId="0" fontId="31" fillId="23" borderId="0" xfId="0" applyFont="1" applyFill="1" applyBorder="1" applyAlignment="1" applyProtection="1">
      <alignment vertical="center"/>
    </xf>
    <xf numFmtId="0" fontId="32" fillId="23" borderId="0" xfId="0" applyFont="1" applyFill="1" applyBorder="1" applyAlignment="1" applyProtection="1">
      <alignment horizontal="center" vertical="center" wrapText="1"/>
    </xf>
    <xf numFmtId="1" fontId="36" fillId="23" borderId="0" xfId="0" applyNumberFormat="1" applyFont="1" applyFill="1" applyBorder="1" applyAlignment="1" applyProtection="1">
      <alignment horizontal="center" vertical="center"/>
    </xf>
    <xf numFmtId="1" fontId="38" fillId="23" borderId="0" xfId="0" applyNumberFormat="1" applyFont="1" applyFill="1" applyBorder="1" applyAlignment="1" applyProtection="1">
      <alignment horizontal="center" vertical="center"/>
    </xf>
    <xf numFmtId="0" fontId="22" fillId="23" borderId="0" xfId="0" applyFont="1" applyFill="1" applyProtection="1">
      <protection locked="0"/>
    </xf>
    <xf numFmtId="164" fontId="40" fillId="20" borderId="15" xfId="0" applyNumberFormat="1" applyFont="1" applyFill="1" applyBorder="1" applyAlignment="1" applyProtection="1">
      <alignment horizontal="center" vertical="center" shrinkToFit="1"/>
    </xf>
    <xf numFmtId="164" fontId="40" fillId="20" borderId="14" xfId="0" applyNumberFormat="1" applyFont="1" applyFill="1" applyBorder="1" applyAlignment="1" applyProtection="1">
      <alignment horizontal="center" vertical="center" shrinkToFit="1"/>
    </xf>
    <xf numFmtId="164" fontId="40" fillId="22" borderId="17" xfId="0" applyNumberFormat="1" applyFont="1" applyFill="1" applyBorder="1" applyAlignment="1" applyProtection="1">
      <alignment horizontal="center" vertical="center" shrinkToFit="1"/>
    </xf>
    <xf numFmtId="0" fontId="35" fillId="20" borderId="12" xfId="0" applyFont="1" applyFill="1" applyBorder="1" applyAlignment="1" applyProtection="1">
      <alignment vertical="center"/>
    </xf>
    <xf numFmtId="164" fontId="40" fillId="22" borderId="18" xfId="0" applyNumberFormat="1" applyFont="1" applyFill="1" applyBorder="1" applyAlignment="1" applyProtection="1">
      <alignment horizontal="center" vertical="center" shrinkToFit="1"/>
    </xf>
    <xf numFmtId="0" fontId="34" fillId="23" borderId="0" xfId="0" applyFont="1" applyFill="1" applyBorder="1" applyAlignment="1" applyProtection="1">
      <alignment vertical="center"/>
    </xf>
    <xf numFmtId="15" fontId="41" fillId="20" borderId="11" xfId="0" applyNumberFormat="1" applyFont="1" applyFill="1" applyBorder="1" applyAlignment="1" applyProtection="1">
      <alignment horizontal="center" vertical="center"/>
    </xf>
    <xf numFmtId="0" fontId="35" fillId="20" borderId="10" xfId="0" applyFont="1" applyFill="1" applyBorder="1" applyAlignment="1" applyProtection="1">
      <alignment horizontal="center" vertical="center"/>
    </xf>
    <xf numFmtId="0" fontId="35" fillId="23" borderId="10" xfId="0" applyFont="1" applyFill="1" applyBorder="1" applyAlignment="1" applyProtection="1">
      <alignment horizontal="center" vertical="center"/>
    </xf>
    <xf numFmtId="0" fontId="42" fillId="20" borderId="12" xfId="0" applyFont="1" applyFill="1" applyBorder="1" applyAlignment="1" applyProtection="1">
      <alignment horizontal="left" vertical="center" indent="1"/>
    </xf>
    <xf numFmtId="0" fontId="43" fillId="23" borderId="0" xfId="0" applyFont="1" applyFill="1" applyBorder="1" applyAlignment="1" applyProtection="1">
      <alignment horizontal="left" vertical="center" indent="1"/>
    </xf>
    <xf numFmtId="0" fontId="43" fillId="23" borderId="0" xfId="0" applyFont="1" applyFill="1" applyBorder="1" applyAlignment="1" applyProtection="1">
      <alignment horizontal="center" vertical="center" wrapText="1"/>
    </xf>
    <xf numFmtId="15" fontId="43" fillId="23" borderId="0" xfId="0" applyNumberFormat="1" applyFont="1" applyFill="1" applyBorder="1" applyAlignment="1" applyProtection="1">
      <alignment horizontal="center" vertical="center" wrapText="1"/>
    </xf>
    <xf numFmtId="0" fontId="24" fillId="21" borderId="19" xfId="0" applyFont="1" applyFill="1" applyBorder="1" applyAlignment="1">
      <alignment vertical="center"/>
    </xf>
    <xf numFmtId="166" fontId="44" fillId="21" borderId="0" xfId="0" applyNumberFormat="1" applyFont="1" applyFill="1" applyBorder="1" applyAlignment="1">
      <alignment vertical="center"/>
    </xf>
    <xf numFmtId="0" fontId="43" fillId="23" borderId="14" xfId="0" applyFont="1" applyFill="1" applyBorder="1" applyAlignment="1" applyProtection="1">
      <alignment horizontal="left" vertical="center" indent="1"/>
    </xf>
    <xf numFmtId="0" fontId="43" fillId="23" borderId="14" xfId="0" applyFont="1" applyFill="1" applyBorder="1" applyAlignment="1" applyProtection="1">
      <alignment horizontal="left" vertical="center" wrapText="1" indent="1"/>
    </xf>
    <xf numFmtId="0" fontId="43" fillId="23" borderId="14" xfId="0" applyFont="1" applyFill="1" applyBorder="1" applyAlignment="1" applyProtection="1">
      <alignment horizontal="center" vertical="center" wrapText="1"/>
    </xf>
    <xf numFmtId="0" fontId="41" fillId="21" borderId="0" xfId="0" applyFont="1" applyFill="1" applyAlignment="1" applyProtection="1">
      <alignment horizontal="center" vertical="center"/>
    </xf>
    <xf numFmtId="0" fontId="43" fillId="23" borderId="0" xfId="0" applyNumberFormat="1" applyFont="1" applyFill="1" applyBorder="1" applyAlignment="1" applyProtection="1">
      <alignment horizontal="center" vertical="center"/>
    </xf>
    <xf numFmtId="0" fontId="41" fillId="20" borderId="12" xfId="43" applyNumberFormat="1" applyFont="1" applyFill="1" applyBorder="1" applyAlignment="1" applyProtection="1">
      <alignment horizontal="center" vertical="center"/>
    </xf>
    <xf numFmtId="0" fontId="37" fillId="21" borderId="11" xfId="0" applyNumberFormat="1" applyFont="1" applyFill="1" applyBorder="1" applyAlignment="1" applyProtection="1">
      <alignment horizontal="center" vertical="center"/>
    </xf>
    <xf numFmtId="0" fontId="35" fillId="21" borderId="12" xfId="43" applyNumberFormat="1" applyFont="1" applyFill="1" applyBorder="1" applyAlignment="1" applyProtection="1">
      <alignment horizontal="center" vertical="center"/>
    </xf>
    <xf numFmtId="0" fontId="43" fillId="24" borderId="12" xfId="43" applyNumberFormat="1" applyFont="1" applyFill="1" applyBorder="1" applyAlignment="1" applyProtection="1">
      <alignment horizontal="center" vertical="center"/>
    </xf>
    <xf numFmtId="9" fontId="43" fillId="23" borderId="0" xfId="44" applyFont="1" applyFill="1" applyBorder="1" applyAlignment="1" applyProtection="1">
      <alignment horizontal="center" vertical="center"/>
    </xf>
    <xf numFmtId="9" fontId="46" fillId="20" borderId="12" xfId="44" applyFont="1" applyFill="1" applyBorder="1" applyAlignment="1" applyProtection="1">
      <alignment horizontal="center" vertical="center"/>
    </xf>
    <xf numFmtId="9" fontId="47" fillId="21" borderId="11" xfId="44" applyFont="1" applyFill="1" applyBorder="1" applyAlignment="1" applyProtection="1">
      <alignment horizontal="center" vertical="center"/>
    </xf>
    <xf numFmtId="0" fontId="25" fillId="21" borderId="0" xfId="34" applyFont="1" applyFill="1" applyAlignment="1" applyProtection="1">
      <alignment vertical="center"/>
    </xf>
    <xf numFmtId="0" fontId="24" fillId="25" borderId="0" xfId="0" applyFont="1" applyFill="1" applyBorder="1" applyAlignment="1">
      <alignment vertical="center"/>
    </xf>
    <xf numFmtId="0" fontId="48" fillId="21" borderId="0" xfId="0" applyFont="1" applyFill="1" applyBorder="1" applyAlignment="1">
      <alignment horizontal="left" vertical="center" indent="1"/>
    </xf>
    <xf numFmtId="0" fontId="24" fillId="26" borderId="0" xfId="0" applyFont="1" applyFill="1" applyBorder="1" applyAlignment="1">
      <alignment vertical="center"/>
    </xf>
    <xf numFmtId="0" fontId="22" fillId="22" borderId="0" xfId="0" applyFont="1" applyFill="1" applyProtection="1"/>
    <xf numFmtId="0" fontId="43" fillId="23" borderId="20" xfId="0" applyFont="1" applyFill="1" applyBorder="1" applyAlignment="1" applyProtection="1">
      <alignment horizontal="center" vertical="center" wrapText="1"/>
    </xf>
    <xf numFmtId="0" fontId="49" fillId="22" borderId="0" xfId="0" applyFont="1" applyFill="1" applyBorder="1" applyAlignment="1" applyProtection="1">
      <alignment horizontal="center" vertical="center"/>
    </xf>
    <xf numFmtId="0" fontId="51" fillId="23" borderId="0" xfId="0" applyFont="1" applyFill="1" applyAlignment="1">
      <alignment vertical="center"/>
    </xf>
    <xf numFmtId="0" fontId="52" fillId="23" borderId="0" xfId="0" applyFont="1" applyFill="1" applyAlignment="1">
      <alignment vertical="center"/>
    </xf>
    <xf numFmtId="0" fontId="54" fillId="23" borderId="0" xfId="0" applyFont="1" applyFill="1" applyAlignment="1">
      <alignment vertical="center"/>
    </xf>
    <xf numFmtId="167" fontId="56" fillId="23" borderId="0" xfId="45" applyFont="1" applyFill="1">
      <alignment horizontal="left"/>
    </xf>
    <xf numFmtId="0" fontId="51" fillId="23" borderId="0" xfId="0" applyFont="1" applyFill="1" applyAlignment="1">
      <alignment horizontal="center"/>
    </xf>
    <xf numFmtId="0" fontId="53" fillId="23" borderId="0" xfId="34" applyFont="1" applyFill="1" applyBorder="1" applyAlignment="1" applyProtection="1">
      <alignment vertical="center"/>
    </xf>
    <xf numFmtId="0" fontId="0" fillId="0" borderId="29" xfId="0" applyBorder="1"/>
    <xf numFmtId="0" fontId="59" fillId="23" borderId="0" xfId="0" applyFont="1" applyFill="1" applyAlignment="1">
      <alignment vertical="center"/>
    </xf>
    <xf numFmtId="0" fontId="59" fillId="23" borderId="0" xfId="0" applyFont="1" applyFill="1" applyAlignment="1">
      <alignment horizontal="center" vertical="center"/>
    </xf>
    <xf numFmtId="0" fontId="58" fillId="23" borderId="27" xfId="34" applyFont="1" applyFill="1" applyBorder="1" applyAlignment="1" applyProtection="1">
      <alignment horizontal="center" vertical="center"/>
    </xf>
    <xf numFmtId="0" fontId="58" fillId="23" borderId="0" xfId="34" applyFont="1" applyFill="1" applyBorder="1" applyAlignment="1" applyProtection="1">
      <alignment horizontal="center" vertical="center"/>
    </xf>
    <xf numFmtId="0" fontId="53" fillId="23" borderId="28" xfId="34" applyFont="1" applyFill="1" applyBorder="1" applyAlignment="1" applyProtection="1">
      <alignment horizontal="center" vertical="center"/>
    </xf>
    <xf numFmtId="0" fontId="50" fillId="21" borderId="0" xfId="0" applyNumberFormat="1" applyFont="1" applyFill="1" applyBorder="1" applyAlignment="1" applyProtection="1">
      <alignment horizontal="left" vertical="top"/>
      <protection locked="0"/>
    </xf>
    <xf numFmtId="15" fontId="41" fillId="21" borderId="0" xfId="0" applyNumberFormat="1" applyFont="1" applyFill="1" applyBorder="1" applyAlignment="1" applyProtection="1">
      <alignment horizontal="center" vertical="center" shrinkToFit="1"/>
      <protection locked="0"/>
    </xf>
    <xf numFmtId="165" fontId="41" fillId="22" borderId="13" xfId="0" applyNumberFormat="1" applyFont="1" applyFill="1" applyBorder="1" applyAlignment="1" applyProtection="1">
      <alignment horizontal="center" vertical="center" shrinkToFit="1"/>
    </xf>
    <xf numFmtId="165" fontId="41" fillId="22" borderId="16" xfId="0" applyNumberFormat="1" applyFont="1" applyFill="1" applyBorder="1" applyAlignment="1" applyProtection="1">
      <alignment horizontal="center" vertical="center" shrinkToFit="1"/>
    </xf>
    <xf numFmtId="0" fontId="39" fillId="22" borderId="0" xfId="0" applyFont="1" applyFill="1" applyBorder="1" applyAlignment="1" applyProtection="1">
      <alignment horizontal="right" vertical="center" indent="1"/>
    </xf>
    <xf numFmtId="0" fontId="45" fillId="22" borderId="0" xfId="0" applyFont="1" applyFill="1" applyBorder="1" applyAlignment="1" applyProtection="1">
      <alignment horizontal="center" vertical="center"/>
    </xf>
    <xf numFmtId="0" fontId="60" fillId="28" borderId="21" xfId="34" applyFont="1" applyFill="1" applyBorder="1" applyAlignment="1" applyProtection="1">
      <alignment horizontal="center" vertical="center"/>
    </xf>
    <xf numFmtId="0" fontId="60" fillId="28" borderId="22" xfId="34" applyFont="1" applyFill="1" applyBorder="1" applyAlignment="1" applyProtection="1">
      <alignment horizontal="center" vertical="center"/>
    </xf>
    <xf numFmtId="0" fontId="60" fillId="28" borderId="23" xfId="34" applyFont="1" applyFill="1" applyBorder="1" applyAlignment="1" applyProtection="1">
      <alignment horizontal="center" vertical="center"/>
    </xf>
    <xf numFmtId="0" fontId="60" fillId="27" borderId="24" xfId="34" applyNumberFormat="1" applyFont="1" applyFill="1" applyBorder="1" applyAlignment="1" applyProtection="1">
      <alignment horizontal="center" vertical="center" wrapText="1"/>
    </xf>
    <xf numFmtId="0" fontId="60" fillId="27" borderId="25" xfId="34" applyNumberFormat="1" applyFont="1" applyFill="1" applyBorder="1" applyAlignment="1" applyProtection="1">
      <alignment horizontal="center" vertical="center" wrapText="1"/>
    </xf>
    <xf numFmtId="0" fontId="60" fillId="27" borderId="26" xfId="34" applyNumberFormat="1" applyFont="1" applyFill="1" applyBorder="1" applyAlignment="1" applyProtection="1">
      <alignment horizontal="center" vertical="center" wrapText="1"/>
    </xf>
  </cellXfs>
  <cellStyles count="47">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Activity" xfId="45" xr:uid="{00000000-0005-0000-0000-000018000000}"/>
    <cellStyle name="Bad" xfId="25" builtinId="27" customBuiltin="1"/>
    <cellStyle name="Calculation" xfId="26" builtinId="22" customBuiltin="1"/>
    <cellStyle name="Check Cell" xfId="27" builtinId="23" customBuiltin="1"/>
    <cellStyle name="Currency" xfId="43" builtinId="4"/>
    <cellStyle name="Explanatory Text" xfId="28" builtinId="53" customBuiltin="1"/>
    <cellStyle name="Followed Hyperlink" xfId="46" builtinId="9"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4" builtinId="5"/>
    <cellStyle name="Title" xfId="40" builtinId="15" customBuiltin="1"/>
    <cellStyle name="Total" xfId="41" builtinId="25" customBuiltin="1"/>
    <cellStyle name="Warning Text" xfId="42" builtinId="11" customBuiltin="1"/>
  </cellStyles>
  <dxfs count="6">
    <dxf>
      <fill>
        <patternFill>
          <bgColor theme="4"/>
        </patternFill>
      </fill>
    </dxf>
    <dxf>
      <fill>
        <patternFill>
          <bgColor theme="9" tint="-0.24994659260841701"/>
        </patternFill>
      </fill>
    </dxf>
    <dxf>
      <fill>
        <patternFill>
          <bgColor rgb="FFFF0000"/>
        </patternFill>
      </fill>
    </dxf>
    <dxf>
      <fill>
        <patternFill>
          <bgColor theme="3"/>
        </patternFill>
      </fill>
    </dxf>
    <dxf>
      <fill>
        <patternFill>
          <bgColor rgb="FFFFC000"/>
        </patternFill>
      </fill>
    </dxf>
    <dxf>
      <font>
        <color theme="0"/>
      </font>
      <fill>
        <patternFill>
          <bgColor theme="9" tint="-0.24994659260841701"/>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www.officetimeline.com/office-timeline/14-days-trial?source=Excel-Sprint-Project-Tracker-Template"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41</xdr:row>
      <xdr:rowOff>59531</xdr:rowOff>
    </xdr:from>
    <xdr:to>
      <xdr:col>10</xdr:col>
      <xdr:colOff>23812</xdr:colOff>
      <xdr:row>55</xdr:row>
      <xdr:rowOff>90737</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5250" y="7739062"/>
          <a:ext cx="6346031" cy="3412581"/>
        </a:xfrm>
        <a:prstGeom prst="rect">
          <a:avLst/>
        </a:prstGeom>
      </xdr:spPr>
    </xdr:pic>
    <xdr:clientData/>
  </xdr:twoCellAnchor>
  <xdr:twoCellAnchor editAs="absolute">
    <xdr:from>
      <xdr:col>7</xdr:col>
      <xdr:colOff>250825</xdr:colOff>
      <xdr:row>7</xdr:row>
      <xdr:rowOff>1587</xdr:rowOff>
    </xdr:from>
    <xdr:to>
      <xdr:col>18</xdr:col>
      <xdr:colOff>82550</xdr:colOff>
      <xdr:row>11</xdr:row>
      <xdr:rowOff>3175</xdr:rowOff>
    </xdr:to>
    <xdr:sp macro="" textlink="">
      <xdr:nvSpPr>
        <xdr:cNvPr id="8236" name="Text Box 44" hidden="1">
          <a:extLst>
            <a:ext uri="{FF2B5EF4-FFF2-40B4-BE49-F238E27FC236}">
              <a16:creationId xmlns:a16="http://schemas.microsoft.com/office/drawing/2014/main" id="{00000000-0008-0000-00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xdr:from>
      <xdr:col>0</xdr:col>
      <xdr:colOff>208490</xdr:colOff>
      <xdr:row>34</xdr:row>
      <xdr:rowOff>19050</xdr:rowOff>
    </xdr:from>
    <xdr:to>
      <xdr:col>8</xdr:col>
      <xdr:colOff>952499</xdr:colOff>
      <xdr:row>40</xdr:row>
      <xdr:rowOff>114300</xdr:rowOff>
    </xdr:to>
    <xdr:sp macro="" textlink="">
      <xdr:nvSpPr>
        <xdr:cNvPr id="4" name="Timeline Tips" descr="The role of the Position values in the Project Details table is to prevent the Milestone labels from overlapping each other on the timeline. Use positive numbers to position labels above the timeline and negative numbers to position them below.&#10;&#10;To add additional Milestones, either insert new rows within the table or start typing below the last table entry and the table will automatically expand to accommodate your newly added data.  " title="Project Timeline Tips">
          <a:hlinkClick xmlns:r="http://schemas.openxmlformats.org/officeDocument/2006/relationships" r:id="rId2"/>
          <a:extLst>
            <a:ext uri="{FF2B5EF4-FFF2-40B4-BE49-F238E27FC236}">
              <a16:creationId xmlns:a16="http://schemas.microsoft.com/office/drawing/2014/main" id="{00000000-0008-0000-0000-000004000000}"/>
            </a:ext>
          </a:extLst>
        </xdr:cNvPr>
        <xdr:cNvSpPr txBox="1"/>
      </xdr:nvSpPr>
      <xdr:spPr>
        <a:xfrm>
          <a:off x="208490" y="6198394"/>
          <a:ext cx="6137540" cy="1381125"/>
        </a:xfrm>
        <a:prstGeom prst="wedgeRectCallout">
          <a:avLst>
            <a:gd name="adj1" fmla="val 25207"/>
            <a:gd name="adj2" fmla="val 81786"/>
          </a:avLst>
        </a:prstGeom>
        <a:solidFill>
          <a:schemeClr val="bg1">
            <a:lumMod val="95000"/>
          </a:schemeClr>
        </a:solidFill>
        <a:ln w="9525" cmpd="sng">
          <a:solidFill>
            <a:schemeClr val="tx1">
              <a:lumMod val="65000"/>
              <a:lumOff val="3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2880" rtlCol="0" anchor="ctr"/>
        <a:lstStyle/>
        <a:p>
          <a:r>
            <a:rPr lang="en-US" sz="1100" b="1" spc="30" baseline="0">
              <a:solidFill>
                <a:srgbClr val="30966D"/>
              </a:solidFill>
              <a:effectLst/>
              <a:latin typeface="Century Gothic" panose="020B0502020202020204" pitchFamily="34" charset="0"/>
              <a:ea typeface="+mn-ea"/>
              <a:cs typeface="+mn-cs"/>
            </a:rPr>
            <a:t>3 Easy steps to instantly turn Excel data into a PowerPoint slide </a:t>
          </a:r>
        </a:p>
        <a:p>
          <a:endParaRPr lang="en-US" sz="900">
            <a:solidFill>
              <a:schemeClr val="tx1">
                <a:lumMod val="50000"/>
                <a:lumOff val="50000"/>
              </a:schemeClr>
            </a:solidFill>
            <a:effectLst/>
            <a:latin typeface="Century Gothic" panose="020B0502020202020204" pitchFamily="34" charset="0"/>
            <a:ea typeface="+mn-ea"/>
            <a:cs typeface="+mn-cs"/>
          </a:endParaRPr>
        </a:p>
        <a:p>
          <a:pPr marL="0" indent="0">
            <a:buClr>
              <a:schemeClr val="accent1"/>
            </a:buClr>
            <a:buFontTx/>
            <a:buNone/>
          </a:pPr>
          <a:r>
            <a:rPr lang="en-US" sz="900" spc="20" baseline="0">
              <a:solidFill>
                <a:schemeClr val="tx1">
                  <a:lumMod val="50000"/>
                  <a:lumOff val="50000"/>
                </a:schemeClr>
              </a:solidFill>
              <a:effectLst/>
              <a:latin typeface="Century Gothic" panose="020B0502020202020204" pitchFamily="34" charset="0"/>
              <a:ea typeface="+mn-ea"/>
              <a:cs typeface="+mn-cs"/>
            </a:rPr>
            <a:t>1. </a:t>
          </a:r>
          <a:r>
            <a:rPr lang="en-US" sz="900" u="sng" spc="20" baseline="0">
              <a:solidFill>
                <a:srgbClr val="D24626"/>
              </a:solidFill>
              <a:effectLst/>
              <a:latin typeface="Century Gothic" panose="020B0502020202020204" pitchFamily="34" charset="0"/>
              <a:ea typeface="+mn-ea"/>
              <a:cs typeface="+mn-cs"/>
            </a:rPr>
            <a:t>Download the Free Office Timeline plug-in for PowerPoint - 14-day Trial Edition.</a:t>
          </a:r>
          <a:br>
            <a:rPr lang="en-US" sz="900" spc="20" baseline="0">
              <a:solidFill>
                <a:schemeClr val="tx1">
                  <a:lumMod val="50000"/>
                  <a:lumOff val="50000"/>
                </a:schemeClr>
              </a:solidFill>
              <a:effectLst/>
              <a:latin typeface="Century Gothic" panose="020B0502020202020204" pitchFamily="34" charset="0"/>
              <a:ea typeface="+mn-ea"/>
              <a:cs typeface="+mn-cs"/>
            </a:rPr>
          </a:br>
          <a:endParaRPr lang="en-US" sz="900" spc="20" baseline="0">
            <a:solidFill>
              <a:schemeClr val="tx1">
                <a:lumMod val="50000"/>
                <a:lumOff val="50000"/>
              </a:schemeClr>
            </a:solidFill>
            <a:effectLst/>
            <a:latin typeface="Century Gothic" panose="020B0502020202020204" pitchFamily="34" charset="0"/>
            <a:ea typeface="+mn-ea"/>
            <a:cs typeface="+mn-cs"/>
          </a:endParaRPr>
        </a:p>
        <a:p>
          <a:pPr marL="0" indent="0">
            <a:buClr>
              <a:schemeClr val="accent1"/>
            </a:buClr>
            <a:buFontTx/>
            <a:buNone/>
          </a:pPr>
          <a:r>
            <a:rPr lang="en-US" sz="900" spc="20" baseline="0">
              <a:solidFill>
                <a:schemeClr val="tx1">
                  <a:lumMod val="50000"/>
                  <a:lumOff val="50000"/>
                </a:schemeClr>
              </a:solidFill>
              <a:effectLst/>
              <a:latin typeface="Century Gothic" panose="020B0502020202020204" pitchFamily="34" charset="0"/>
              <a:ea typeface="+mn-ea"/>
              <a:cs typeface="+mn-cs"/>
            </a:rPr>
            <a:t>2. Open PowerPoint and click on NEW Timeline from the Office Timeline tab inside of PowerPoint.  </a:t>
          </a:r>
        </a:p>
        <a:p>
          <a:pPr marL="0" indent="0">
            <a:buClr>
              <a:schemeClr val="accent1"/>
            </a:buClr>
            <a:buFontTx/>
            <a:buNone/>
          </a:pPr>
          <a:r>
            <a:rPr lang="en-US" sz="900" spc="20" baseline="0">
              <a:solidFill>
                <a:schemeClr val="tx1">
                  <a:lumMod val="50000"/>
                  <a:lumOff val="50000"/>
                </a:schemeClr>
              </a:solidFill>
              <a:effectLst/>
              <a:latin typeface="Century Gothic" panose="020B0502020202020204" pitchFamily="34" charset="0"/>
              <a:ea typeface="+mn-ea"/>
              <a:cs typeface="+mn-cs"/>
            </a:rPr>
            <a:t>    Copy your Sprint Project Tracker table and paste it into Office Timeline with the PASTE button.  </a:t>
          </a:r>
        </a:p>
        <a:p>
          <a:pPr marL="0" indent="0">
            <a:buClr>
              <a:schemeClr val="accent1"/>
            </a:buClr>
            <a:buFontTx/>
            <a:buNone/>
          </a:pPr>
          <a:endParaRPr lang="en-US" sz="900" spc="20" baseline="0">
            <a:solidFill>
              <a:schemeClr val="tx1">
                <a:lumMod val="50000"/>
                <a:lumOff val="50000"/>
              </a:schemeClr>
            </a:solidFill>
            <a:effectLst/>
            <a:latin typeface="Century Gothic" panose="020B0502020202020204" pitchFamily="34" charset="0"/>
            <a:ea typeface="+mn-ea"/>
            <a:cs typeface="+mn-cs"/>
          </a:endParaRPr>
        </a:p>
        <a:p>
          <a:pPr marL="0" indent="0">
            <a:buClr>
              <a:schemeClr val="accent1"/>
            </a:buClr>
            <a:buFontTx/>
            <a:buNone/>
          </a:pPr>
          <a:r>
            <a:rPr lang="en-US" sz="900" spc="20" baseline="0">
              <a:solidFill>
                <a:schemeClr val="tx1">
                  <a:lumMod val="50000"/>
                  <a:lumOff val="50000"/>
                </a:schemeClr>
              </a:solidFill>
              <a:effectLst/>
              <a:latin typeface="Century Gothic" panose="020B0502020202020204" pitchFamily="34" charset="0"/>
              <a:ea typeface="+mn-ea"/>
              <a:cs typeface="+mn-cs"/>
            </a:rPr>
            <a:t>3. Click the green SAVE button to instantly produce your Sprint Project slide.  </a:t>
          </a:r>
        </a:p>
      </xdr:txBody>
    </xdr:sp>
    <xdr:clientData fPrintsWithSheet="0"/>
  </xdr:twoCellAnchor>
  <xdr:twoCellAnchor editAs="oneCell">
    <xdr:from>
      <xdr:col>8</xdr:col>
      <xdr:colOff>881064</xdr:colOff>
      <xdr:row>38</xdr:row>
      <xdr:rowOff>166688</xdr:rowOff>
    </xdr:from>
    <xdr:to>
      <xdr:col>41</xdr:col>
      <xdr:colOff>142874</xdr:colOff>
      <xdr:row>55</xdr:row>
      <xdr:rowOff>124786</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274595" y="7203282"/>
          <a:ext cx="7405685" cy="39824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609598</xdr:colOff>
      <xdr:row>2</xdr:row>
      <xdr:rowOff>0</xdr:rowOff>
    </xdr:from>
    <xdr:to>
      <xdr:col>12</xdr:col>
      <xdr:colOff>9525</xdr:colOff>
      <xdr:row>31</xdr:row>
      <xdr:rowOff>57150</xdr:rowOff>
    </xdr:to>
    <xdr:sp macro="" textlink="">
      <xdr:nvSpPr>
        <xdr:cNvPr id="2" name="Timeline Tips" descr="Enter your dates and milestone descriptions inside the Project Details table, and Excel will automatically update the timeline in the Project Review Form sheet. &#10;&#10;We'd recommend arranging your milestone data in chronological order to ensure the timeline is generated correctly - otherwise, errors may occur in displaying the milestones.&#10;&#10;The role of the Position values in the Project Details table is to prevent the Milestone labels from overlapping each other on the Project Review timeline. Use positive numbers to display labels above the timeline and negative numbers to position them below.&#10;&#10;To add extra milestones, either insert new rows within the table or start typing below the last table entry, and the table will automatically expand to accommodate your newly added data.&#10;&#10;To change a milestone's color to fit your project's RAG status, double-click the desired milestone shape to select it and then right-click on it. Next, go to Format Data Point -&gt; Fill &amp; Line -&gt; Marker and select you preferred Border color. &#10;&#10;To recolor a connector line, double-click to select it and, from the Font section of the Home tab on the ribbon, click on the Fill Color icon to choose the desired shade.&#10;" title="Excel Project Review Template - Guidance and Tips:">
          <a:extLst>
            <a:ext uri="{FF2B5EF4-FFF2-40B4-BE49-F238E27FC236}">
              <a16:creationId xmlns:a16="http://schemas.microsoft.com/office/drawing/2014/main" id="{00000000-0008-0000-0100-000002000000}"/>
            </a:ext>
          </a:extLst>
        </xdr:cNvPr>
        <xdr:cNvSpPr txBox="1"/>
      </xdr:nvSpPr>
      <xdr:spPr>
        <a:xfrm>
          <a:off x="609598" y="323850"/>
          <a:ext cx="6715127" cy="4752975"/>
        </a:xfrm>
        <a:prstGeom prst="wedgeRectCallout">
          <a:avLst>
            <a:gd name="adj1" fmla="val 49548"/>
            <a:gd name="adj2" fmla="val -20845"/>
          </a:avLst>
        </a:prstGeom>
        <a:solidFill>
          <a:srgbClr val="E7E6E6"/>
        </a:solidFill>
        <a:ln w="9525" cmpd="sng">
          <a:solidFill>
            <a:sysClr val="window" lastClr="FFFFFF">
              <a:shade val="50000"/>
            </a:sysClr>
          </a:solidFill>
        </a:ln>
        <a:effectLst/>
      </xdr:spPr>
      <xdr:txBody>
        <a:bodyPr vertOverflow="clip" horzOverflow="clip" wrap="square" lIns="182880"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400" b="1" i="0" u="none" strike="noStrike" kern="0" cap="none" spc="30" normalizeH="0" baseline="0" noProof="0">
              <a:ln>
                <a:noFill/>
              </a:ln>
              <a:solidFill>
                <a:srgbClr val="44546A"/>
              </a:solidFill>
              <a:effectLst/>
              <a:uLnTx/>
              <a:uFillTx/>
              <a:latin typeface="Calibri" panose="020F0502020204030204"/>
              <a:ea typeface="+mn-ea"/>
              <a:cs typeface="+mn-cs"/>
            </a:rPr>
            <a:t>Excel Sprint Project Tracker - Guidance and Tips</a:t>
          </a:r>
          <a:r>
            <a:rPr kumimoji="0" lang="en-US" sz="1400" b="0" i="0" u="none" strike="noStrike" kern="0" cap="none" spc="0" normalizeH="0" baseline="0" noProof="0">
              <a:ln>
                <a:noFill/>
              </a:ln>
              <a:solidFill>
                <a:srgbClr val="44546A"/>
              </a:solidFill>
              <a:effectLst/>
              <a:uLnTx/>
              <a:uFillTx/>
              <a:latin typeface="Calibri" panose="020F0502020204030204"/>
              <a:ea typeface="+mn-ea"/>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400" b="0" i="0" u="none" strike="noStrike" kern="0" cap="none" spc="0" normalizeH="0" baseline="0" noProof="0">
            <a:ln>
              <a:noFill/>
            </a:ln>
            <a:solidFill>
              <a:srgbClr val="5B9BD5"/>
            </a:solidFill>
            <a:effectLst/>
            <a:uLnTx/>
            <a:uFillTx/>
            <a:latin typeface="Calibri" panose="020F0502020204030204"/>
            <a:ea typeface="+mn-ea"/>
            <a:cs typeface="+mn-cs"/>
          </a:endParaRPr>
        </a:p>
        <a:p>
          <a:pPr marL="171450" marR="0" lvl="0" indent="-171450" algn="l" defTabSz="914400" eaLnBrk="1" fontAlgn="auto" latinLnBrk="0" hangingPunct="1">
            <a:lnSpc>
              <a:spcPct val="100000"/>
            </a:lnSpc>
            <a:spcBef>
              <a:spcPts val="0"/>
            </a:spcBef>
            <a:spcAft>
              <a:spcPts val="0"/>
            </a:spcAft>
            <a:buClr>
              <a:srgbClr val="44546A"/>
            </a:buClr>
            <a:buSzTx/>
            <a:buFont typeface="Arial" pitchFamily="34" charset="0"/>
            <a:buChar char="•"/>
            <a:tabLst/>
            <a:defRPr/>
          </a:pPr>
          <a:r>
            <a:rPr kumimoji="0" lang="en-US" sz="1100" b="0" i="0" u="none" strike="noStrike" kern="0" cap="none" spc="20" normalizeH="0" baseline="0" noProof="0">
              <a:ln>
                <a:noFill/>
              </a:ln>
              <a:solidFill>
                <a:prstClr val="black">
                  <a:lumMod val="50000"/>
                  <a:lumOff val="50000"/>
                </a:prstClr>
              </a:solidFill>
              <a:effectLst/>
              <a:uLnTx/>
              <a:uFillTx/>
              <a:latin typeface="Calibri" panose="020F0502020204030204"/>
              <a:ea typeface="+mn-ea"/>
              <a:cs typeface="+mn-cs"/>
            </a:rPr>
            <a:t>Type your own feature or task names and dates for each Sprint inside the table on the Excel Sprint Project Tracker sheet. The template's functions will </a:t>
          </a:r>
          <a:r>
            <a:rPr kumimoji="0" lang="en-US" sz="1100" b="1" i="0" u="none" strike="noStrike" kern="0" cap="none" spc="20" normalizeH="0" baseline="0" noProof="0">
              <a:ln>
                <a:noFill/>
              </a:ln>
              <a:solidFill>
                <a:prstClr val="black">
                  <a:lumMod val="50000"/>
                  <a:lumOff val="50000"/>
                </a:prstClr>
              </a:solidFill>
              <a:effectLst/>
              <a:uLnTx/>
              <a:uFillTx/>
              <a:latin typeface="Calibri" panose="020F0502020204030204"/>
              <a:ea typeface="+mn-ea"/>
              <a:cs typeface="+mn-cs"/>
            </a:rPr>
            <a:t>automatically calculate the duration of each task </a:t>
          </a:r>
          <a:r>
            <a:rPr kumimoji="0" lang="en-US" sz="1100" b="0" i="0" u="none" strike="noStrike" kern="0" cap="none" spc="20" normalizeH="0" baseline="0" noProof="0">
              <a:ln>
                <a:noFill/>
              </a:ln>
              <a:solidFill>
                <a:prstClr val="black">
                  <a:lumMod val="50000"/>
                  <a:lumOff val="50000"/>
                </a:prstClr>
              </a:solidFill>
              <a:effectLst/>
              <a:uLnTx/>
              <a:uFillTx/>
              <a:latin typeface="Calibri" panose="020F0502020204030204"/>
              <a:ea typeface="+mn-ea"/>
              <a:cs typeface="+mn-cs"/>
            </a:rPr>
            <a:t>and estimate how much each sprint will take to accomplish your goals.</a:t>
          </a:r>
          <a:endParaRPr kumimoji="0" lang="en-US" sz="1100" b="1" i="0" u="none" strike="noStrike" kern="0" cap="none" spc="20" normalizeH="0" baseline="0" noProof="0">
            <a:ln>
              <a:noFill/>
            </a:ln>
            <a:solidFill>
              <a:prstClr val="black">
                <a:lumMod val="50000"/>
                <a:lumOff val="50000"/>
              </a:prstClr>
            </a:solidFill>
            <a:effectLst/>
            <a:uLnTx/>
            <a:uFillTx/>
            <a:latin typeface="Calibri" panose="020F0502020204030204"/>
            <a:ea typeface="+mn-ea"/>
            <a:cs typeface="+mn-cs"/>
          </a:endParaRPr>
        </a:p>
        <a:p>
          <a:pPr marL="171450" marR="0" lvl="0" indent="-171450" algn="l" defTabSz="914400" eaLnBrk="1" fontAlgn="auto" latinLnBrk="0" hangingPunct="1">
            <a:lnSpc>
              <a:spcPct val="100000"/>
            </a:lnSpc>
            <a:spcBef>
              <a:spcPts val="0"/>
            </a:spcBef>
            <a:spcAft>
              <a:spcPts val="0"/>
            </a:spcAft>
            <a:buClr>
              <a:srgbClr val="44546A"/>
            </a:buClr>
            <a:buSzTx/>
            <a:buFont typeface="Arial" pitchFamily="34" charset="0"/>
            <a:buChar char="•"/>
            <a:tabLst/>
            <a:defRPr/>
          </a:pPr>
          <a:endParaRPr kumimoji="0" lang="en-US" sz="1100" b="0" i="0" u="none" strike="noStrike" kern="0" cap="none" spc="20" normalizeH="0" baseline="0" noProof="0">
            <a:ln>
              <a:noFill/>
            </a:ln>
            <a:solidFill>
              <a:prstClr val="black">
                <a:lumMod val="50000"/>
                <a:lumOff val="50000"/>
              </a:prstClr>
            </a:solidFill>
            <a:effectLst/>
            <a:uLnTx/>
            <a:uFillTx/>
            <a:latin typeface="Calibri" panose="020F0502020204030204"/>
            <a:ea typeface="+mn-ea"/>
            <a:cs typeface="+mn-cs"/>
          </a:endParaRPr>
        </a:p>
        <a:p>
          <a:pPr marL="171450" marR="0" lvl="0" indent="-171450" algn="l" defTabSz="914400" eaLnBrk="1" fontAlgn="auto" latinLnBrk="0" hangingPunct="1">
            <a:lnSpc>
              <a:spcPct val="100000"/>
            </a:lnSpc>
            <a:spcBef>
              <a:spcPts val="0"/>
            </a:spcBef>
            <a:spcAft>
              <a:spcPts val="0"/>
            </a:spcAft>
            <a:buClr>
              <a:srgbClr val="44546A"/>
            </a:buClr>
            <a:buSzTx/>
            <a:buFont typeface="Arial" pitchFamily="34" charset="0"/>
            <a:buChar char="•"/>
            <a:tabLst/>
            <a:defRPr/>
          </a:pPr>
          <a:r>
            <a:rPr kumimoji="0" lang="en-US" sz="1100" b="0" i="0" u="none" strike="noStrike" kern="0" cap="none" spc="20" normalizeH="0" baseline="0" noProof="0">
              <a:ln>
                <a:noFill/>
              </a:ln>
              <a:solidFill>
                <a:prstClr val="black">
                  <a:lumMod val="50000"/>
                  <a:lumOff val="50000"/>
                </a:prstClr>
              </a:solidFill>
              <a:effectLst/>
              <a:uLnTx/>
              <a:uFillTx/>
              <a:latin typeface="Calibri" panose="020F0502020204030204"/>
              <a:ea typeface="+mn-ea"/>
              <a:cs typeface="+mn-cs"/>
            </a:rPr>
            <a:t>The Gantt chart to the right of the </a:t>
          </a:r>
          <a:r>
            <a:rPr kumimoji="0" lang="en-US" sz="1100" b="1" i="0" u="none" strike="noStrike" kern="0" cap="none" spc="20" normalizeH="0" baseline="0" noProof="0">
              <a:ln>
                <a:noFill/>
              </a:ln>
              <a:solidFill>
                <a:prstClr val="black">
                  <a:lumMod val="50000"/>
                  <a:lumOff val="50000"/>
                </a:prstClr>
              </a:solidFill>
              <a:effectLst/>
              <a:uLnTx/>
              <a:uFillTx/>
              <a:latin typeface="Calibri" panose="020F0502020204030204"/>
              <a:ea typeface="+mn-ea"/>
              <a:cs typeface="+mn-cs"/>
            </a:rPr>
            <a:t>Sprint Project tracker will auto-update </a:t>
          </a:r>
          <a:r>
            <a:rPr kumimoji="0" lang="en-US" sz="1100" b="0" i="0" u="none" strike="noStrike" kern="0" cap="none" spc="20" normalizeH="0" baseline="0" noProof="0">
              <a:ln>
                <a:noFill/>
              </a:ln>
              <a:solidFill>
                <a:prstClr val="black">
                  <a:lumMod val="50000"/>
                  <a:lumOff val="50000"/>
                </a:prstClr>
              </a:solidFill>
              <a:effectLst/>
              <a:uLnTx/>
              <a:uFillTx/>
              <a:latin typeface="Calibri" panose="020F0502020204030204"/>
              <a:ea typeface="+mn-ea"/>
              <a:cs typeface="+mn-cs"/>
            </a:rPr>
            <a:t>whenever you change your tasks' dates or % Complete, or when you enter more items in the table.</a:t>
          </a:r>
        </a:p>
        <a:p>
          <a:pPr marL="171450" marR="0" lvl="0" indent="-171450" algn="l" defTabSz="914400" eaLnBrk="1" fontAlgn="auto" latinLnBrk="0" hangingPunct="1">
            <a:lnSpc>
              <a:spcPct val="100000"/>
            </a:lnSpc>
            <a:spcBef>
              <a:spcPts val="0"/>
            </a:spcBef>
            <a:spcAft>
              <a:spcPts val="0"/>
            </a:spcAft>
            <a:buClr>
              <a:srgbClr val="44546A"/>
            </a:buClr>
            <a:buSzTx/>
            <a:buFont typeface="Arial" pitchFamily="34" charset="0"/>
            <a:buChar char="•"/>
            <a:tabLst/>
            <a:defRPr/>
          </a:pPr>
          <a:endParaRPr kumimoji="0" lang="en-US" sz="1100" b="0" i="0" u="none" strike="noStrike" kern="0" cap="none" spc="20" normalizeH="0" baseline="0" noProof="0">
            <a:ln>
              <a:noFill/>
            </a:ln>
            <a:solidFill>
              <a:prstClr val="black">
                <a:lumMod val="50000"/>
                <a:lumOff val="50000"/>
              </a:prstClr>
            </a:solidFill>
            <a:effectLst/>
            <a:uLnTx/>
            <a:uFillTx/>
            <a:latin typeface="Calibri" panose="020F0502020204030204"/>
            <a:ea typeface="+mn-ea"/>
            <a:cs typeface="+mn-cs"/>
          </a:endParaRPr>
        </a:p>
        <a:p>
          <a:pPr marL="171450" marR="0" lvl="0" indent="-171450" algn="l" defTabSz="914400" eaLnBrk="1" fontAlgn="auto" latinLnBrk="0" hangingPunct="1">
            <a:lnSpc>
              <a:spcPct val="100000"/>
            </a:lnSpc>
            <a:spcBef>
              <a:spcPts val="0"/>
            </a:spcBef>
            <a:spcAft>
              <a:spcPts val="0"/>
            </a:spcAft>
            <a:buClr>
              <a:srgbClr val="44546A"/>
            </a:buClr>
            <a:buSzTx/>
            <a:buFont typeface="Arial" pitchFamily="34" charset="0"/>
            <a:buChar char="•"/>
            <a:tabLst/>
            <a:defRPr/>
          </a:pPr>
          <a:r>
            <a:rPr kumimoji="0" lang="en-US" sz="1100" b="0" i="0" u="none" strike="noStrike" kern="0" cap="none" spc="20" normalizeH="0" baseline="0" noProof="0">
              <a:ln>
                <a:noFill/>
              </a:ln>
              <a:solidFill>
                <a:prstClr val="black">
                  <a:lumMod val="50000"/>
                  <a:lumOff val="50000"/>
                </a:prstClr>
              </a:solidFill>
              <a:effectLst/>
              <a:uLnTx/>
              <a:uFillTx/>
              <a:latin typeface="Calibri" panose="020F0502020204030204"/>
              <a:ea typeface="+mn-ea"/>
              <a:cs typeface="+mn-cs"/>
            </a:rPr>
            <a:t>To </a:t>
          </a:r>
          <a:r>
            <a:rPr kumimoji="0" lang="en-US" sz="1100" b="1" i="0" u="none" strike="noStrike" kern="0" cap="none" spc="20" normalizeH="0" baseline="0" noProof="0">
              <a:ln>
                <a:noFill/>
              </a:ln>
              <a:solidFill>
                <a:prstClr val="black">
                  <a:lumMod val="50000"/>
                  <a:lumOff val="50000"/>
                </a:prstClr>
              </a:solidFill>
              <a:effectLst/>
              <a:uLnTx/>
              <a:uFillTx/>
              <a:latin typeface="Calibri" panose="020F0502020204030204"/>
              <a:ea typeface="+mn-ea"/>
              <a:cs typeface="+mn-cs"/>
            </a:rPr>
            <a:t>display a different time period </a:t>
          </a:r>
          <a:r>
            <a:rPr kumimoji="0" lang="en-US" sz="1100" b="0" i="0" u="none" strike="noStrike" kern="0" cap="none" spc="20" normalizeH="0" baseline="0" noProof="0">
              <a:ln>
                <a:noFill/>
              </a:ln>
              <a:solidFill>
                <a:prstClr val="black">
                  <a:lumMod val="50000"/>
                  <a:lumOff val="50000"/>
                </a:prstClr>
              </a:solidFill>
              <a:effectLst/>
              <a:uLnTx/>
              <a:uFillTx/>
              <a:latin typeface="Calibri" panose="020F0502020204030204"/>
              <a:ea typeface="+mn-ea"/>
              <a:cs typeface="+mn-cs"/>
            </a:rPr>
            <a:t>on the timeline, change the numer next to </a:t>
          </a:r>
          <a:r>
            <a:rPr kumimoji="0" lang="en-US" sz="1100" b="1" i="0" u="none" strike="noStrike" kern="0" cap="none" spc="20" normalizeH="0" baseline="0" noProof="0">
              <a:ln>
                <a:noFill/>
              </a:ln>
              <a:solidFill>
                <a:prstClr val="black">
                  <a:lumMod val="50000"/>
                  <a:lumOff val="50000"/>
                </a:prstClr>
              </a:solidFill>
              <a:effectLst/>
              <a:uLnTx/>
              <a:uFillTx/>
              <a:latin typeface="Calibri" panose="020F0502020204030204"/>
              <a:ea typeface="+mn-ea"/>
              <a:cs typeface="+mn-cs"/>
            </a:rPr>
            <a:t>SCROLL TO WEEK </a:t>
          </a:r>
          <a:r>
            <a:rPr kumimoji="0" lang="en-US" sz="1100" b="0" i="0" u="none" strike="noStrike" kern="0" cap="none" spc="20" normalizeH="0" baseline="0" noProof="0">
              <a:ln>
                <a:noFill/>
              </a:ln>
              <a:solidFill>
                <a:prstClr val="black">
                  <a:lumMod val="50000"/>
                  <a:lumOff val="50000"/>
                </a:prstClr>
              </a:solidFill>
              <a:effectLst/>
              <a:uLnTx/>
              <a:uFillTx/>
              <a:latin typeface="Calibri" panose="020F0502020204030204"/>
              <a:ea typeface="+mn-ea"/>
              <a:cs typeface="+mn-cs"/>
            </a:rPr>
            <a:t>in the table.</a:t>
          </a:r>
          <a:endParaRPr kumimoji="0" lang="en-US" sz="1600" b="0" i="0" u="none" strike="noStrike" kern="0" cap="none" spc="0" normalizeH="0" baseline="0" noProof="0">
            <a:ln>
              <a:noFill/>
            </a:ln>
            <a:solidFill>
              <a:srgbClr val="5B9BD5"/>
            </a:solidFill>
            <a:effectLst/>
            <a:uLnTx/>
            <a:uFillTx/>
            <a:latin typeface="Calibri" panose="020F0502020204030204"/>
            <a:ea typeface="+mn-ea"/>
            <a:cs typeface="+mn-cs"/>
          </a:endParaRPr>
        </a:p>
        <a:p>
          <a:pPr marL="171450" marR="0" lvl="0" indent="-171450" defTabSz="914400" eaLnBrk="1" fontAlgn="auto" latinLnBrk="0" hangingPunct="1">
            <a:lnSpc>
              <a:spcPct val="100000"/>
            </a:lnSpc>
            <a:spcBef>
              <a:spcPts val="0"/>
            </a:spcBef>
            <a:spcAft>
              <a:spcPts val="0"/>
            </a:spcAft>
            <a:buClr>
              <a:srgbClr val="44546A"/>
            </a:buClr>
            <a:buSzTx/>
            <a:buFont typeface="Arial" panose="020B0604020202020204" pitchFamily="34" charset="0"/>
            <a:buChar char="•"/>
            <a:tabLst/>
            <a:defRPr/>
          </a:pPr>
          <a:endParaRPr kumimoji="0" lang="en-US" sz="1100" b="0" i="0" u="none" strike="noStrike" kern="0" cap="none" spc="20" normalizeH="0" baseline="0" noProof="0">
            <a:ln>
              <a:noFill/>
            </a:ln>
            <a:solidFill>
              <a:sysClr val="windowText" lastClr="000000">
                <a:lumMod val="50000"/>
                <a:lumOff val="50000"/>
              </a:sysClr>
            </a:solidFill>
            <a:effectLst/>
            <a:uLnTx/>
            <a:uFillTx/>
            <a:latin typeface="Calibri" panose="020F0502020204030204"/>
            <a:ea typeface="+mn-ea"/>
            <a:cs typeface="+mn-cs"/>
          </a:endParaRPr>
        </a:p>
        <a:p>
          <a:pPr marL="171450" marR="0" lvl="0" indent="-171450" defTabSz="914400" eaLnBrk="1" fontAlgn="auto" latinLnBrk="0" hangingPunct="1">
            <a:lnSpc>
              <a:spcPct val="100000"/>
            </a:lnSpc>
            <a:spcBef>
              <a:spcPts val="0"/>
            </a:spcBef>
            <a:spcAft>
              <a:spcPts val="0"/>
            </a:spcAft>
            <a:buClr>
              <a:srgbClr val="44546A"/>
            </a:buClr>
            <a:buSzTx/>
            <a:buFont typeface="Arial" panose="020B0604020202020204" pitchFamily="34" charset="0"/>
            <a:buChar char="•"/>
            <a:tabLst/>
            <a:defRPr/>
          </a:pPr>
          <a:r>
            <a:rPr kumimoji="0" lang="en-US" sz="1100" b="0" i="0" u="none" strike="noStrike" kern="0" cap="none" spc="20" normalizeH="0" baseline="0" noProof="0">
              <a:ln>
                <a:noFill/>
              </a:ln>
              <a:solidFill>
                <a:sysClr val="windowText" lastClr="000000">
                  <a:lumMod val="50000"/>
                  <a:lumOff val="50000"/>
                </a:sysClr>
              </a:solidFill>
              <a:effectLst/>
              <a:uLnTx/>
              <a:uFillTx/>
              <a:latin typeface="Calibri" panose="020F0502020204030204"/>
              <a:ea typeface="+mn-ea"/>
              <a:cs typeface="+mn-cs"/>
            </a:rPr>
            <a:t>To </a:t>
          </a:r>
          <a:r>
            <a:rPr kumimoji="0" lang="en-US" sz="1100" b="1" i="0" u="none" strike="noStrike" kern="0" cap="none" spc="20" normalizeH="0" baseline="0" noProof="0">
              <a:ln>
                <a:noFill/>
              </a:ln>
              <a:solidFill>
                <a:sysClr val="windowText" lastClr="000000">
                  <a:lumMod val="50000"/>
                  <a:lumOff val="50000"/>
                </a:sysClr>
              </a:solidFill>
              <a:effectLst/>
              <a:uLnTx/>
              <a:uFillTx/>
              <a:latin typeface="Calibri" panose="020F0502020204030204"/>
              <a:ea typeface="+mn-ea"/>
              <a:cs typeface="+mn-cs"/>
            </a:rPr>
            <a:t>enter additional features or tasks</a:t>
          </a:r>
          <a:r>
            <a:rPr kumimoji="0" lang="en-US" sz="1100" b="0" i="0" u="none" strike="noStrike" kern="0" cap="none" spc="20" normalizeH="0" baseline="0" noProof="0">
              <a:ln>
                <a:noFill/>
              </a:ln>
              <a:solidFill>
                <a:sysClr val="windowText" lastClr="000000">
                  <a:lumMod val="50000"/>
                  <a:lumOff val="50000"/>
                </a:sysClr>
              </a:solidFill>
              <a:effectLst/>
              <a:uLnTx/>
              <a:uFillTx/>
              <a:latin typeface="Calibri" panose="020F0502020204030204"/>
              <a:ea typeface="+mn-ea"/>
              <a:cs typeface="+mn-cs"/>
            </a:rPr>
            <a:t>, simply insert new rows within the table and type in your data. </a:t>
          </a:r>
        </a:p>
        <a:p>
          <a:pPr marL="171450" marR="0" lvl="0" indent="-171450" defTabSz="914400" eaLnBrk="1" fontAlgn="auto" latinLnBrk="0" hangingPunct="1">
            <a:lnSpc>
              <a:spcPct val="100000"/>
            </a:lnSpc>
            <a:spcBef>
              <a:spcPts val="0"/>
            </a:spcBef>
            <a:spcAft>
              <a:spcPts val="0"/>
            </a:spcAft>
            <a:buClr>
              <a:srgbClr val="44546A"/>
            </a:buClr>
            <a:buSzTx/>
            <a:buFont typeface="Arial" panose="020B0604020202020204" pitchFamily="34" charset="0"/>
            <a:buChar char="•"/>
            <a:tabLst/>
            <a:defRPr/>
          </a:pPr>
          <a:endParaRPr kumimoji="0" lang="en-US" sz="1100" b="0" i="0" u="none" strike="noStrike" kern="0" cap="none" spc="20" normalizeH="0" baseline="0" noProof="0">
            <a:ln>
              <a:noFill/>
            </a:ln>
            <a:solidFill>
              <a:sysClr val="windowText" lastClr="000000">
                <a:lumMod val="50000"/>
                <a:lumOff val="50000"/>
              </a:sysClr>
            </a:solidFill>
            <a:effectLst/>
            <a:uLnTx/>
            <a:uFillTx/>
            <a:latin typeface="Calibri" panose="020F0502020204030204"/>
            <a:ea typeface="+mn-ea"/>
            <a:cs typeface="+mn-cs"/>
          </a:endParaRPr>
        </a:p>
        <a:p>
          <a:pPr marL="171450" marR="0" lvl="0" indent="-171450" defTabSz="914400" eaLnBrk="1" fontAlgn="auto" latinLnBrk="0" hangingPunct="1">
            <a:lnSpc>
              <a:spcPct val="100000"/>
            </a:lnSpc>
            <a:spcBef>
              <a:spcPts val="0"/>
            </a:spcBef>
            <a:spcAft>
              <a:spcPts val="0"/>
            </a:spcAft>
            <a:buClr>
              <a:srgbClr val="44546A"/>
            </a:buClr>
            <a:buSzTx/>
            <a:buFont typeface="Arial" panose="020B0604020202020204" pitchFamily="34" charset="0"/>
            <a:buChar char="•"/>
            <a:tabLst/>
            <a:defRPr/>
          </a:pPr>
          <a:r>
            <a:rPr kumimoji="0" lang="en-US" sz="1100" b="0" i="0" u="none" strike="noStrike" kern="0" cap="none" spc="20" normalizeH="0" baseline="0" noProof="0">
              <a:ln>
                <a:noFill/>
              </a:ln>
              <a:solidFill>
                <a:sysClr val="windowText" lastClr="000000">
                  <a:lumMod val="50000"/>
                  <a:lumOff val="50000"/>
                </a:sysClr>
              </a:solidFill>
              <a:effectLst/>
              <a:uLnTx/>
              <a:uFillTx/>
              <a:latin typeface="Calibri" panose="020F0502020204030204"/>
              <a:ea typeface="+mn-ea"/>
              <a:cs typeface="+mn-cs"/>
            </a:rPr>
            <a:t>The Excel Sprint Project Tracker lets you quickly </a:t>
          </a:r>
          <a:r>
            <a:rPr kumimoji="0" lang="en-US" sz="1100" b="1" i="0" u="none" strike="noStrike" kern="0" cap="none" spc="20" normalizeH="0" baseline="0" noProof="0">
              <a:ln>
                <a:noFill/>
              </a:ln>
              <a:solidFill>
                <a:sysClr val="windowText" lastClr="000000">
                  <a:lumMod val="50000"/>
                  <a:lumOff val="50000"/>
                </a:sysClr>
              </a:solidFill>
              <a:effectLst/>
              <a:uLnTx/>
              <a:uFillTx/>
              <a:latin typeface="Calibri" panose="020F0502020204030204"/>
              <a:ea typeface="+mn-ea"/>
              <a:cs typeface="+mn-cs"/>
            </a:rPr>
            <a:t>add extra Sprints</a:t>
          </a:r>
          <a:r>
            <a:rPr kumimoji="0" lang="en-US" sz="1100" b="0" i="0" u="none" strike="noStrike" kern="0" cap="none" spc="20" normalizeH="0" baseline="0" noProof="0">
              <a:ln>
                <a:noFill/>
              </a:ln>
              <a:solidFill>
                <a:sysClr val="windowText" lastClr="000000">
                  <a:lumMod val="50000"/>
                  <a:lumOff val="50000"/>
                </a:sysClr>
              </a:solidFill>
              <a:effectLst/>
              <a:uLnTx/>
              <a:uFillTx/>
              <a:latin typeface="Calibri" panose="020F0502020204030204"/>
              <a:ea typeface="+mn-ea"/>
              <a:cs typeface="+mn-cs"/>
            </a:rPr>
            <a:t>, complete with the functions that automate calculations and graphic updates. To do so, select and copy all rows correspoding to an existing Sprint section, right-click on the row where you want to include your new section, and then select </a:t>
          </a:r>
          <a:r>
            <a:rPr kumimoji="0" lang="en-US" sz="1100" b="1" i="0" u="none" strike="noStrike" kern="0" cap="none" spc="20" normalizeH="0" baseline="0" noProof="0">
              <a:ln>
                <a:noFill/>
              </a:ln>
              <a:solidFill>
                <a:sysClr val="windowText" lastClr="000000">
                  <a:lumMod val="50000"/>
                  <a:lumOff val="50000"/>
                </a:sysClr>
              </a:solidFill>
              <a:effectLst/>
              <a:uLnTx/>
              <a:uFillTx/>
              <a:latin typeface="Calibri" panose="020F0502020204030204"/>
              <a:ea typeface="+mn-ea"/>
              <a:cs typeface="+mn-cs"/>
            </a:rPr>
            <a:t>Insert Copied Cells </a:t>
          </a:r>
          <a:r>
            <a:rPr kumimoji="0" lang="en-US" sz="1100" b="0" i="0" u="none" strike="noStrike" kern="0" cap="none" spc="20" normalizeH="0" baseline="0" noProof="0">
              <a:ln>
                <a:noFill/>
              </a:ln>
              <a:solidFill>
                <a:sysClr val="windowText" lastClr="000000">
                  <a:lumMod val="50000"/>
                  <a:lumOff val="50000"/>
                </a:sysClr>
              </a:solidFill>
              <a:effectLst/>
              <a:uLnTx/>
              <a:uFillTx/>
              <a:latin typeface="Calibri" panose="020F0502020204030204"/>
              <a:ea typeface="+mn-ea"/>
              <a:cs typeface="+mn-cs"/>
            </a:rPr>
            <a:t>from the pop-up. Then, just replace the duplicated data with new information.</a:t>
          </a:r>
        </a:p>
        <a:p>
          <a:pPr marL="171450" marR="0" lvl="0" indent="-171450" defTabSz="914400" eaLnBrk="1" fontAlgn="auto" latinLnBrk="0" hangingPunct="1">
            <a:lnSpc>
              <a:spcPct val="100000"/>
            </a:lnSpc>
            <a:spcBef>
              <a:spcPts val="0"/>
            </a:spcBef>
            <a:spcAft>
              <a:spcPts val="0"/>
            </a:spcAft>
            <a:buClr>
              <a:srgbClr val="44546A"/>
            </a:buClr>
            <a:buSzTx/>
            <a:buFont typeface="Arial" panose="020B0604020202020204" pitchFamily="34" charset="0"/>
            <a:buChar char="•"/>
            <a:tabLst/>
            <a:defRPr/>
          </a:pPr>
          <a:endParaRPr kumimoji="0" lang="en-US" sz="1100" b="0" i="0" u="none" strike="noStrike" kern="0" cap="none" spc="20" normalizeH="0" baseline="0" noProof="0">
            <a:ln>
              <a:noFill/>
            </a:ln>
            <a:solidFill>
              <a:prstClr val="black">
                <a:lumMod val="50000"/>
                <a:lumOff val="50000"/>
              </a:prstClr>
            </a:solidFill>
            <a:effectLst/>
            <a:uLnTx/>
            <a:uFillTx/>
            <a:latin typeface="Calibri" panose="020F0502020204030204"/>
            <a:ea typeface="+mn-ea"/>
            <a:cs typeface="+mn-cs"/>
          </a:endParaRPr>
        </a:p>
        <a:p>
          <a:pPr marL="171450" marR="0" lvl="0" indent="-171450" defTabSz="914400" eaLnBrk="1" fontAlgn="auto" latinLnBrk="0" hangingPunct="1">
            <a:lnSpc>
              <a:spcPct val="100000"/>
            </a:lnSpc>
            <a:spcBef>
              <a:spcPts val="0"/>
            </a:spcBef>
            <a:spcAft>
              <a:spcPts val="0"/>
            </a:spcAft>
            <a:buClr>
              <a:srgbClr val="44546A"/>
            </a:buClr>
            <a:buSzTx/>
            <a:buFont typeface="Arial" panose="020B0604020202020204" pitchFamily="34" charset="0"/>
            <a:buChar char="•"/>
            <a:tabLst/>
            <a:defRPr/>
          </a:pPr>
          <a:r>
            <a:rPr kumimoji="0" lang="en-US" sz="1100" b="0" i="0" u="none" strike="noStrike" kern="0" cap="none" spc="20" normalizeH="0" baseline="0" noProof="0">
              <a:ln>
                <a:noFill/>
              </a:ln>
              <a:solidFill>
                <a:prstClr val="black">
                  <a:lumMod val="50000"/>
                  <a:lumOff val="50000"/>
                </a:prstClr>
              </a:solidFill>
              <a:effectLst/>
              <a:uLnTx/>
              <a:uFillTx/>
              <a:latin typeface="Calibri" panose="020F0502020204030204"/>
              <a:ea typeface="+mn-ea"/>
              <a:cs typeface="+mn-cs"/>
            </a:rPr>
            <a:t>The color of </a:t>
          </a:r>
          <a:r>
            <a:rPr kumimoji="0" lang="en-US" sz="1100" b="1" i="0" u="none" strike="noStrike" kern="0" cap="none" spc="20" normalizeH="0" baseline="0" noProof="0">
              <a:ln>
                <a:noFill/>
              </a:ln>
              <a:solidFill>
                <a:prstClr val="black">
                  <a:lumMod val="50000"/>
                  <a:lumOff val="50000"/>
                </a:prstClr>
              </a:solidFill>
              <a:effectLst/>
              <a:uLnTx/>
              <a:uFillTx/>
              <a:latin typeface="Calibri" panose="020F0502020204030204"/>
              <a:ea typeface="+mn-ea"/>
              <a:cs typeface="+mn-cs"/>
            </a:rPr>
            <a:t>the Gantt chart task bars</a:t>
          </a:r>
          <a:r>
            <a:rPr kumimoji="0" lang="en-US" sz="1100" b="0" i="0" u="none" strike="noStrike" kern="0" cap="none" spc="20" normalizeH="0" baseline="0" noProof="0">
              <a:ln>
                <a:noFill/>
              </a:ln>
              <a:solidFill>
                <a:prstClr val="black">
                  <a:lumMod val="50000"/>
                  <a:lumOff val="50000"/>
                </a:prstClr>
              </a:solidFill>
              <a:effectLst/>
              <a:uLnTx/>
              <a:uFillTx/>
              <a:latin typeface="Calibri" panose="020F0502020204030204"/>
              <a:ea typeface="+mn-ea"/>
              <a:cs typeface="+mn-cs"/>
            </a:rPr>
            <a:t> can also be changed, by using Conditional Formatting. Select all cells corresponding to the Gantt chart, click the </a:t>
          </a:r>
          <a:r>
            <a:rPr kumimoji="0" lang="en-US" sz="1100" b="1" i="0" u="none" strike="noStrike" kern="0" cap="none" spc="20" normalizeH="0" baseline="0" noProof="0">
              <a:ln>
                <a:noFill/>
              </a:ln>
              <a:solidFill>
                <a:prstClr val="black">
                  <a:lumMod val="50000"/>
                  <a:lumOff val="50000"/>
                </a:prstClr>
              </a:solidFill>
              <a:effectLst/>
              <a:uLnTx/>
              <a:uFillTx/>
              <a:latin typeface="Calibri" panose="020F0502020204030204"/>
              <a:ea typeface="+mn-ea"/>
              <a:cs typeface="+mn-cs"/>
            </a:rPr>
            <a:t>Conditional Formatting</a:t>
          </a:r>
          <a:r>
            <a:rPr kumimoji="0" lang="en-US" sz="1100" b="0" i="0" u="none" strike="noStrike" kern="0" cap="none" spc="20" normalizeH="0" baseline="0" noProof="0">
              <a:ln>
                <a:noFill/>
              </a:ln>
              <a:solidFill>
                <a:prstClr val="black">
                  <a:lumMod val="50000"/>
                  <a:lumOff val="50000"/>
                </a:prstClr>
              </a:solidFill>
              <a:effectLst/>
              <a:uLnTx/>
              <a:uFillTx/>
              <a:latin typeface="Calibri" panose="020F0502020204030204"/>
              <a:ea typeface="+mn-ea"/>
              <a:cs typeface="+mn-cs"/>
            </a:rPr>
            <a:t> button on the Home tab, and then select </a:t>
          </a:r>
          <a:r>
            <a:rPr kumimoji="0" lang="en-US" sz="1100" b="1" i="0" u="none" strike="noStrike" kern="0" cap="none" spc="20" normalizeH="0" baseline="0" noProof="0">
              <a:ln>
                <a:noFill/>
              </a:ln>
              <a:solidFill>
                <a:prstClr val="black">
                  <a:lumMod val="50000"/>
                  <a:lumOff val="50000"/>
                </a:prstClr>
              </a:solidFill>
              <a:effectLst/>
              <a:uLnTx/>
              <a:uFillTx/>
              <a:latin typeface="Calibri" panose="020F0502020204030204"/>
              <a:ea typeface="+mn-ea"/>
              <a:cs typeface="+mn-cs"/>
            </a:rPr>
            <a:t>Manage Rules</a:t>
          </a:r>
          <a:r>
            <a:rPr kumimoji="0" lang="en-US" sz="1100" b="0" i="0" u="none" strike="noStrike" kern="0" cap="none" spc="20" normalizeH="0" baseline="0" noProof="0">
              <a:ln>
                <a:noFill/>
              </a:ln>
              <a:solidFill>
                <a:prstClr val="black">
                  <a:lumMod val="50000"/>
                  <a:lumOff val="50000"/>
                </a:prstClr>
              </a:solidFill>
              <a:effectLst/>
              <a:uLnTx/>
              <a:uFillTx/>
              <a:latin typeface="Calibri" panose="020F0502020204030204"/>
              <a:ea typeface="+mn-ea"/>
              <a:cs typeface="+mn-cs"/>
            </a:rPr>
            <a:t>. Here, choose the formula you wish to customize (Blue for Completed Tasks, Orange for Tasks in Progress), and then click on </a:t>
          </a:r>
          <a:r>
            <a:rPr kumimoji="0" lang="en-US" sz="1100" b="1" i="0" u="none" strike="noStrike" kern="0" cap="none" spc="20" normalizeH="0" baseline="0" noProof="0">
              <a:ln>
                <a:noFill/>
              </a:ln>
              <a:solidFill>
                <a:prstClr val="black">
                  <a:lumMod val="50000"/>
                  <a:lumOff val="50000"/>
                </a:prstClr>
              </a:solidFill>
              <a:effectLst/>
              <a:uLnTx/>
              <a:uFillTx/>
              <a:latin typeface="Calibri" panose="020F0502020204030204"/>
              <a:ea typeface="+mn-ea"/>
              <a:cs typeface="+mn-cs"/>
            </a:rPr>
            <a:t>Edit Rule</a:t>
          </a:r>
          <a:r>
            <a:rPr kumimoji="0" lang="en-US" sz="1100" b="0" i="0" u="none" strike="noStrike" kern="0" cap="none" spc="20" normalizeH="0" baseline="0" noProof="0">
              <a:ln>
                <a:noFill/>
              </a:ln>
              <a:solidFill>
                <a:prstClr val="black">
                  <a:lumMod val="50000"/>
                  <a:lumOff val="50000"/>
                </a:prstClr>
              </a:solidFill>
              <a:effectLst/>
              <a:uLnTx/>
              <a:uFillTx/>
              <a:latin typeface="Calibri" panose="020F0502020204030204"/>
              <a:ea typeface="+mn-ea"/>
              <a:cs typeface="+mn-cs"/>
            </a:rPr>
            <a:t>. This is where you'll find all customization options for the task bar formulas, including the option to change the Orange or Blue </a:t>
          </a:r>
          <a:r>
            <a:rPr kumimoji="0" lang="en-US" sz="1100" b="1" i="0" u="none" strike="noStrike" kern="0" cap="none" spc="20" normalizeH="0" baseline="0" noProof="0">
              <a:ln>
                <a:noFill/>
              </a:ln>
              <a:solidFill>
                <a:prstClr val="black">
                  <a:lumMod val="50000"/>
                  <a:lumOff val="50000"/>
                </a:prstClr>
              </a:solidFill>
              <a:effectLst/>
              <a:uLnTx/>
              <a:uFillTx/>
              <a:latin typeface="Calibri" panose="020F0502020204030204"/>
              <a:ea typeface="+mn-ea"/>
              <a:cs typeface="+mn-cs"/>
            </a:rPr>
            <a:t>Fill</a:t>
          </a:r>
          <a:r>
            <a:rPr kumimoji="0" lang="en-US" sz="1100" b="0" i="0" u="none" strike="noStrike" kern="0" cap="none" spc="20" normalizeH="0" baseline="0" noProof="0">
              <a:ln>
                <a:noFill/>
              </a:ln>
              <a:solidFill>
                <a:prstClr val="black">
                  <a:lumMod val="50000"/>
                  <a:lumOff val="50000"/>
                </a:prstClr>
              </a:solidFill>
              <a:effectLst/>
              <a:uLnTx/>
              <a:uFillTx/>
              <a:latin typeface="Calibri" panose="020F0502020204030204"/>
              <a:ea typeface="+mn-ea"/>
              <a:cs typeface="+mn-cs"/>
            </a:rPr>
            <a:t> color.</a:t>
          </a:r>
          <a:endParaRPr kumimoji="0" lang="en-US" sz="1400" b="0" i="0" u="none" strike="noStrike" kern="0" cap="none" spc="20" normalizeH="0" baseline="0" noProof="0">
            <a:ln>
              <a:noFill/>
            </a:ln>
            <a:solidFill>
              <a:sysClr val="windowText" lastClr="000000"/>
            </a:solidFill>
            <a:effectLst/>
            <a:uLnTx/>
            <a:uFillTx/>
            <a:latin typeface="Calibri" panose="020F0502020204030204"/>
            <a:ea typeface="+mn-ea"/>
            <a:cs typeface="+mn-cs"/>
          </a:endParaRPr>
        </a:p>
      </xdr:txBody>
    </xdr:sp>
    <xdr:clientData fPrintsWithSheet="0"/>
  </xdr:twoCellAnchor>
  <xdr:twoCellAnchor>
    <xdr:from>
      <xdr:col>0</xdr:col>
      <xdr:colOff>609599</xdr:colOff>
      <xdr:row>33</xdr:row>
      <xdr:rowOff>66675</xdr:rowOff>
    </xdr:from>
    <xdr:to>
      <xdr:col>12</xdr:col>
      <xdr:colOff>9524</xdr:colOff>
      <xdr:row>57</xdr:row>
      <xdr:rowOff>137583</xdr:rowOff>
    </xdr:to>
    <xdr:sp macro="" textlink="">
      <xdr:nvSpPr>
        <xdr:cNvPr id="3" name="Timeline Tips" descr="The role of the Position values in the Project Details table is to prevent the Milestone labels from overlapping each other on the timeline. Use positive numbers to position labels above the timeline and negative numbers to position them below.&#10;&#10;To add additional Milestones, either insert new rows within the table or start typing below the last table entry and the table will automatically expand to accommodate your newly added data.  " title="Project Timeline Tips">
          <a:extLst>
            <a:ext uri="{FF2B5EF4-FFF2-40B4-BE49-F238E27FC236}">
              <a16:creationId xmlns:a16="http://schemas.microsoft.com/office/drawing/2014/main" id="{00000000-0008-0000-0100-000003000000}"/>
            </a:ext>
          </a:extLst>
        </xdr:cNvPr>
        <xdr:cNvSpPr txBox="1"/>
      </xdr:nvSpPr>
      <xdr:spPr>
        <a:xfrm>
          <a:off x="609599" y="5305425"/>
          <a:ext cx="6765925" cy="3880908"/>
        </a:xfrm>
        <a:prstGeom prst="wedgeRectCallout">
          <a:avLst>
            <a:gd name="adj1" fmla="val 20026"/>
            <a:gd name="adj2" fmla="val -64739"/>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82880"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1000" b="1" i="0" u="none" strike="noStrike" kern="0" cap="none" spc="30" normalizeH="0" baseline="0" noProof="0">
            <a:ln>
              <a:noFill/>
            </a:ln>
            <a:solidFill>
              <a:srgbClr val="44546A"/>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400" b="1" i="0" u="none" strike="noStrike" kern="0" cap="none" spc="30" normalizeH="0" baseline="0" noProof="0">
              <a:ln>
                <a:noFill/>
              </a:ln>
              <a:solidFill>
                <a:srgbClr val="44546A"/>
              </a:solidFill>
              <a:effectLst/>
              <a:uLnTx/>
              <a:uFillTx/>
              <a:latin typeface="Calibri" panose="020F0502020204030204"/>
              <a:ea typeface="+mn-ea"/>
              <a:cs typeface="+mn-cs"/>
            </a:rPr>
            <a:t>Changing Task Colors</a:t>
          </a:r>
          <a:endParaRPr kumimoji="0" lang="en-US" sz="1400" b="0" i="0" u="none" strike="noStrike" kern="0" cap="none" spc="0" normalizeH="0" baseline="0" noProof="0">
            <a:ln>
              <a:noFill/>
            </a:ln>
            <a:solidFill>
              <a:srgbClr val="44546A"/>
            </a:solidFill>
            <a:effectLst/>
            <a:uLnTx/>
            <a:uFillTx/>
            <a:latin typeface="Calibri" panose="020F0502020204030204"/>
            <a:ea typeface="+mn-ea"/>
            <a:cs typeface="+mn-cs"/>
          </a:endParaRPr>
        </a:p>
        <a:p>
          <a:endParaRPr lang="en-US" sz="1100" spc="20" baseline="0">
            <a:solidFill>
              <a:schemeClr val="dk1"/>
            </a:solidFill>
            <a:effectLst/>
            <a:latin typeface="+mn-lt"/>
            <a:ea typeface="+mn-ea"/>
            <a:cs typeface="+mn-cs"/>
          </a:endParaRPr>
        </a:p>
      </xdr:txBody>
    </xdr:sp>
    <xdr:clientData fPrintsWithSheet="0"/>
  </xdr:twoCellAnchor>
  <xdr:twoCellAnchor editAs="oneCell">
    <xdr:from>
      <xdr:col>1</xdr:col>
      <xdr:colOff>361950</xdr:colOff>
      <xdr:row>38</xdr:row>
      <xdr:rowOff>39159</xdr:rowOff>
    </xdr:from>
    <xdr:to>
      <xdr:col>11</xdr:col>
      <xdr:colOff>247650</xdr:colOff>
      <xdr:row>55</xdr:row>
      <xdr:rowOff>143934</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75783" y="6071659"/>
          <a:ext cx="6024034" cy="2803525"/>
        </a:xfrm>
        <a:prstGeom prst="rect">
          <a:avLst/>
        </a:prstGeom>
      </xdr:spPr>
    </xdr:pic>
    <xdr:clientData/>
  </xdr:twoCellAnchor>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officetimeline.com/?source=excel-sprint-project-tracker-template" TargetMode="External"/><Relationship Id="rId2" Type="http://schemas.openxmlformats.org/officeDocument/2006/relationships/hyperlink" Target="http://www.officetimeline.com/" TargetMode="External"/><Relationship Id="rId1" Type="http://schemas.openxmlformats.org/officeDocument/2006/relationships/hyperlink" Target="https://www.officetimeline.com/office-timeline/14-days-trial/?source=Excel-Sprint-Project-Tracker-Template"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www.officetimeline.com/office-timeline/14-days-trial/?source=Excel-Sprint-Project-Tracker-Template"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outlinePr summaryBelow="0"/>
    <pageSetUpPr fitToPage="1"/>
  </sheetPr>
  <dimension ref="B1:BY54"/>
  <sheetViews>
    <sheetView showGridLines="0" tabSelected="1" topLeftCell="A7" zoomScale="90" zoomScaleNormal="90" workbookViewId="0">
      <selection activeCell="K33" sqref="K33:AO33"/>
    </sheetView>
  </sheetViews>
  <sheetFormatPr defaultColWidth="9.28515625" defaultRowHeight="13.5" outlineLevelRow="1" x14ac:dyDescent="0.25"/>
  <cols>
    <col min="1" max="1" width="3.42578125" style="1" customWidth="1"/>
    <col min="2" max="2" width="3" style="1" customWidth="1"/>
    <col min="3" max="3" width="20.28515625" style="2" customWidth="1"/>
    <col min="4" max="4" width="10.140625" style="3" customWidth="1"/>
    <col min="5" max="5" width="10.7109375" style="4" customWidth="1"/>
    <col min="6" max="6" width="10.7109375" style="3" customWidth="1"/>
    <col min="7" max="7" width="12" style="3" customWidth="1"/>
    <col min="8" max="8" width="10.5703125" style="3" customWidth="1"/>
    <col min="9" max="9" width="14.28515625" style="3" customWidth="1"/>
    <col min="10" max="10" width="1.140625" style="3" customWidth="1"/>
    <col min="11" max="30" width="3.5703125" style="3" customWidth="1"/>
    <col min="31" max="40" width="3.28515625" style="3" customWidth="1"/>
    <col min="41" max="53" width="3.140625" style="1" customWidth="1"/>
    <col min="54" max="16384" width="9.28515625" style="1"/>
  </cols>
  <sheetData>
    <row r="1" spans="2:41" ht="16.899999999999999" customHeight="1" x14ac:dyDescent="0.25"/>
    <row r="2" spans="2:41" ht="17.649999999999999" customHeight="1" x14ac:dyDescent="0.25">
      <c r="B2" s="5"/>
      <c r="C2" s="6"/>
      <c r="D2" s="7"/>
      <c r="E2" s="8"/>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5"/>
    </row>
    <row r="3" spans="2:41" ht="18" customHeight="1" x14ac:dyDescent="0.25">
      <c r="B3" s="5"/>
      <c r="C3" s="79" t="s">
        <v>16</v>
      </c>
      <c r="D3" s="79"/>
      <c r="E3" s="79"/>
      <c r="F3" s="79"/>
      <c r="G3" s="79"/>
      <c r="H3" s="79"/>
      <c r="I3" s="79"/>
      <c r="J3" s="9"/>
      <c r="K3" s="61"/>
      <c r="L3" s="62" t="s">
        <v>28</v>
      </c>
      <c r="M3" s="10"/>
      <c r="N3" s="10"/>
      <c r="O3" s="47"/>
      <c r="P3" s="10"/>
      <c r="Q3" s="63"/>
      <c r="R3" s="62" t="s">
        <v>17</v>
      </c>
      <c r="S3" s="10"/>
      <c r="T3" s="10"/>
      <c r="U3" s="10"/>
      <c r="V3" s="9"/>
      <c r="W3" s="9"/>
      <c r="X3" s="9"/>
      <c r="Y3" s="9"/>
      <c r="Z3" s="9"/>
      <c r="AA3" s="9"/>
      <c r="AB3" s="9"/>
      <c r="AC3" s="9"/>
      <c r="AD3" s="9"/>
      <c r="AE3" s="9"/>
      <c r="AF3" s="9"/>
      <c r="AG3" s="60"/>
      <c r="AH3" s="60"/>
      <c r="AI3" s="60"/>
      <c r="AJ3" s="60"/>
      <c r="AK3" s="60"/>
      <c r="AL3" s="60"/>
      <c r="AM3" s="60"/>
      <c r="AN3" s="60"/>
      <c r="AO3" s="5"/>
    </row>
    <row r="4" spans="2:41" ht="23.65" customHeight="1" x14ac:dyDescent="0.25">
      <c r="B4" s="5"/>
      <c r="C4" s="79"/>
      <c r="D4" s="79"/>
      <c r="E4" s="79"/>
      <c r="F4" s="79"/>
      <c r="G4" s="79"/>
      <c r="H4" s="79"/>
      <c r="I4" s="79"/>
      <c r="J4" s="11"/>
      <c r="K4" s="46"/>
      <c r="L4" s="46"/>
      <c r="M4" s="46"/>
      <c r="N4" s="46"/>
      <c r="O4" s="46"/>
      <c r="P4" s="11"/>
      <c r="Q4" s="11"/>
      <c r="R4" s="11"/>
      <c r="S4" s="11"/>
      <c r="T4" s="11"/>
      <c r="U4" s="11"/>
      <c r="V4" s="11"/>
      <c r="W4" s="11"/>
      <c r="X4" s="11"/>
      <c r="Y4" s="11"/>
      <c r="Z4" s="11"/>
      <c r="AA4" s="11"/>
      <c r="AB4" s="11"/>
      <c r="AC4" s="11"/>
      <c r="AD4" s="11"/>
      <c r="AE4" s="11"/>
      <c r="AF4" s="11"/>
      <c r="AG4" s="11"/>
      <c r="AH4" s="11"/>
      <c r="AI4" s="11"/>
      <c r="AJ4" s="11"/>
      <c r="AK4" s="11"/>
      <c r="AL4" s="11"/>
      <c r="AM4" s="11"/>
      <c r="AN4" s="11"/>
      <c r="AO4" s="5"/>
    </row>
    <row r="5" spans="2:41" ht="6.75" customHeight="1" x14ac:dyDescent="0.25">
      <c r="B5" s="5"/>
      <c r="C5" s="20"/>
      <c r="D5" s="21"/>
      <c r="E5" s="22"/>
      <c r="F5" s="23"/>
      <c r="G5" s="24"/>
      <c r="H5" s="24"/>
      <c r="I5" s="24"/>
      <c r="J5" s="28"/>
      <c r="K5" s="81">
        <f>CHOOSE(WEEKDAY(D6+(H6-1)*7),5,4,3,2,1,0,6)+D6+(H6-1)*7</f>
        <v>43259</v>
      </c>
      <c r="L5" s="81"/>
      <c r="M5" s="81"/>
      <c r="N5" s="81"/>
      <c r="O5" s="81"/>
      <c r="P5" s="81">
        <f>K5+7</f>
        <v>43266</v>
      </c>
      <c r="Q5" s="81"/>
      <c r="R5" s="81"/>
      <c r="S5" s="81"/>
      <c r="T5" s="81"/>
      <c r="U5" s="81">
        <f>P5+7</f>
        <v>43273</v>
      </c>
      <c r="V5" s="81"/>
      <c r="W5" s="81"/>
      <c r="X5" s="81"/>
      <c r="Y5" s="81"/>
      <c r="Z5" s="81">
        <f>U5+7</f>
        <v>43280</v>
      </c>
      <c r="AA5" s="81"/>
      <c r="AB5" s="81"/>
      <c r="AC5" s="81"/>
      <c r="AD5" s="81"/>
      <c r="AE5" s="81">
        <f>Z5+7</f>
        <v>43287</v>
      </c>
      <c r="AF5" s="81"/>
      <c r="AG5" s="81"/>
      <c r="AH5" s="81"/>
      <c r="AI5" s="81"/>
      <c r="AJ5" s="81">
        <f>AE5+7</f>
        <v>43294</v>
      </c>
      <c r="AK5" s="81"/>
      <c r="AL5" s="81"/>
      <c r="AM5" s="81"/>
      <c r="AN5" s="81"/>
      <c r="AO5" s="5"/>
    </row>
    <row r="6" spans="2:41" ht="19.5" customHeight="1" x14ac:dyDescent="0.25">
      <c r="B6" s="5"/>
      <c r="C6" s="66" t="s">
        <v>1</v>
      </c>
      <c r="D6" s="80">
        <v>43246</v>
      </c>
      <c r="E6" s="80"/>
      <c r="F6" s="83" t="s">
        <v>24</v>
      </c>
      <c r="G6" s="83"/>
      <c r="H6" s="51">
        <v>2</v>
      </c>
      <c r="I6" s="64"/>
      <c r="J6" s="38"/>
      <c r="K6" s="82"/>
      <c r="L6" s="81"/>
      <c r="M6" s="81"/>
      <c r="N6" s="81"/>
      <c r="O6" s="81"/>
      <c r="P6" s="81"/>
      <c r="Q6" s="81"/>
      <c r="R6" s="81"/>
      <c r="S6" s="81"/>
      <c r="T6" s="81"/>
      <c r="U6" s="81"/>
      <c r="V6" s="81"/>
      <c r="W6" s="81"/>
      <c r="X6" s="81"/>
      <c r="Y6" s="81"/>
      <c r="Z6" s="81"/>
      <c r="AA6" s="81"/>
      <c r="AB6" s="81"/>
      <c r="AC6" s="81"/>
      <c r="AD6" s="81"/>
      <c r="AE6" s="81"/>
      <c r="AF6" s="81"/>
      <c r="AG6" s="81"/>
      <c r="AH6" s="81"/>
      <c r="AI6" s="81"/>
      <c r="AJ6" s="81"/>
      <c r="AK6" s="81"/>
      <c r="AL6" s="81"/>
      <c r="AM6" s="81"/>
      <c r="AN6" s="81"/>
      <c r="AO6" s="5"/>
    </row>
    <row r="7" spans="2:41" ht="6.4" customHeight="1" x14ac:dyDescent="0.25">
      <c r="B7" s="5"/>
      <c r="C7" s="26"/>
      <c r="D7" s="27"/>
      <c r="E7" s="27"/>
      <c r="F7" s="27"/>
      <c r="G7" s="25"/>
      <c r="H7" s="25"/>
      <c r="I7" s="25"/>
      <c r="J7" s="38"/>
      <c r="K7" s="82"/>
      <c r="L7" s="81"/>
      <c r="M7" s="81"/>
      <c r="N7" s="81"/>
      <c r="O7" s="81"/>
      <c r="P7" s="81"/>
      <c r="Q7" s="81"/>
      <c r="R7" s="81"/>
      <c r="S7" s="81"/>
      <c r="T7" s="81"/>
      <c r="U7" s="81"/>
      <c r="V7" s="81"/>
      <c r="W7" s="81"/>
      <c r="X7" s="81"/>
      <c r="Y7" s="81"/>
      <c r="Z7" s="81"/>
      <c r="AA7" s="81"/>
      <c r="AB7" s="81"/>
      <c r="AC7" s="81"/>
      <c r="AD7" s="81"/>
      <c r="AE7" s="81"/>
      <c r="AF7" s="81"/>
      <c r="AG7" s="81"/>
      <c r="AH7" s="81"/>
      <c r="AI7" s="81"/>
      <c r="AJ7" s="81"/>
      <c r="AK7" s="81"/>
      <c r="AL7" s="81"/>
      <c r="AM7" s="81"/>
      <c r="AN7" s="81"/>
      <c r="AO7" s="5"/>
    </row>
    <row r="8" spans="2:41" ht="30" customHeight="1" x14ac:dyDescent="0.25">
      <c r="B8" s="5"/>
      <c r="C8" s="48" t="s">
        <v>6</v>
      </c>
      <c r="D8" s="49" t="s">
        <v>7</v>
      </c>
      <c r="E8" s="50" t="s">
        <v>8</v>
      </c>
      <c r="F8" s="50" t="s">
        <v>9</v>
      </c>
      <c r="G8" s="65" t="s">
        <v>10</v>
      </c>
      <c r="H8" s="50" t="s">
        <v>11</v>
      </c>
      <c r="I8" s="44" t="s">
        <v>12</v>
      </c>
      <c r="J8" s="29"/>
      <c r="K8" s="37">
        <f t="shared" ref="K8:N8" si="0">L8-1</f>
        <v>43255</v>
      </c>
      <c r="L8" s="35">
        <f t="shared" si="0"/>
        <v>43256</v>
      </c>
      <c r="M8" s="35">
        <f t="shared" si="0"/>
        <v>43257</v>
      </c>
      <c r="N8" s="35">
        <f t="shared" si="0"/>
        <v>43258</v>
      </c>
      <c r="O8" s="35">
        <f>K5</f>
        <v>43259</v>
      </c>
      <c r="P8" s="35">
        <f>WORKDAY(O8,1)</f>
        <v>43262</v>
      </c>
      <c r="Q8" s="35">
        <f t="shared" ref="Q8:AN8" si="1">WORKDAY(P8,1)</f>
        <v>43263</v>
      </c>
      <c r="R8" s="35">
        <f t="shared" si="1"/>
        <v>43264</v>
      </c>
      <c r="S8" s="35">
        <f t="shared" si="1"/>
        <v>43265</v>
      </c>
      <c r="T8" s="35">
        <f t="shared" si="1"/>
        <v>43266</v>
      </c>
      <c r="U8" s="35">
        <f t="shared" si="1"/>
        <v>43269</v>
      </c>
      <c r="V8" s="35">
        <f t="shared" si="1"/>
        <v>43270</v>
      </c>
      <c r="W8" s="35">
        <f t="shared" si="1"/>
        <v>43271</v>
      </c>
      <c r="X8" s="35">
        <f t="shared" si="1"/>
        <v>43272</v>
      </c>
      <c r="Y8" s="35">
        <f t="shared" si="1"/>
        <v>43273</v>
      </c>
      <c r="Z8" s="35">
        <f t="shared" si="1"/>
        <v>43276</v>
      </c>
      <c r="AA8" s="35">
        <f t="shared" si="1"/>
        <v>43277</v>
      </c>
      <c r="AB8" s="35">
        <f t="shared" si="1"/>
        <v>43278</v>
      </c>
      <c r="AC8" s="35">
        <f t="shared" si="1"/>
        <v>43279</v>
      </c>
      <c r="AD8" s="35">
        <f t="shared" si="1"/>
        <v>43280</v>
      </c>
      <c r="AE8" s="35">
        <f t="shared" si="1"/>
        <v>43283</v>
      </c>
      <c r="AF8" s="35">
        <f t="shared" si="1"/>
        <v>43284</v>
      </c>
      <c r="AG8" s="35">
        <f t="shared" si="1"/>
        <v>43285</v>
      </c>
      <c r="AH8" s="35">
        <f t="shared" si="1"/>
        <v>43286</v>
      </c>
      <c r="AI8" s="35">
        <f t="shared" si="1"/>
        <v>43287</v>
      </c>
      <c r="AJ8" s="35">
        <f t="shared" si="1"/>
        <v>43290</v>
      </c>
      <c r="AK8" s="35">
        <f t="shared" si="1"/>
        <v>43291</v>
      </c>
      <c r="AL8" s="35">
        <f t="shared" si="1"/>
        <v>43292</v>
      </c>
      <c r="AM8" s="35">
        <f t="shared" si="1"/>
        <v>43293</v>
      </c>
      <c r="AN8" s="35">
        <f t="shared" si="1"/>
        <v>43294</v>
      </c>
      <c r="AO8" s="5"/>
    </row>
    <row r="9" spans="2:41" ht="16.899999999999999" customHeight="1" x14ac:dyDescent="0.25">
      <c r="B9" s="5"/>
      <c r="C9" s="84"/>
      <c r="D9" s="84"/>
      <c r="E9" s="84"/>
      <c r="F9" s="84"/>
      <c r="G9" s="84"/>
      <c r="H9" s="84"/>
      <c r="I9" s="84"/>
      <c r="J9" s="29"/>
      <c r="K9" s="33" t="str">
        <f>CHOOSE(WEEKDAY(K8,1),"S","M","T","W","T","F","S")</f>
        <v>M</v>
      </c>
      <c r="L9" s="34" t="str">
        <f t="shared" ref="L9:AD9" si="2">CHOOSE(WEEKDAY(L8,1),"S","M","T","W","T","F","S")</f>
        <v>T</v>
      </c>
      <c r="M9" s="34" t="str">
        <f t="shared" si="2"/>
        <v>W</v>
      </c>
      <c r="N9" s="34" t="str">
        <f t="shared" si="2"/>
        <v>T</v>
      </c>
      <c r="O9" s="34" t="str">
        <f t="shared" si="2"/>
        <v>F</v>
      </c>
      <c r="P9" s="34" t="str">
        <f t="shared" si="2"/>
        <v>M</v>
      </c>
      <c r="Q9" s="34" t="str">
        <f t="shared" si="2"/>
        <v>T</v>
      </c>
      <c r="R9" s="34" t="str">
        <f t="shared" si="2"/>
        <v>W</v>
      </c>
      <c r="S9" s="34" t="str">
        <f t="shared" si="2"/>
        <v>T</v>
      </c>
      <c r="T9" s="34" t="str">
        <f t="shared" si="2"/>
        <v>F</v>
      </c>
      <c r="U9" s="34" t="str">
        <f t="shared" si="2"/>
        <v>M</v>
      </c>
      <c r="V9" s="34" t="str">
        <f t="shared" si="2"/>
        <v>T</v>
      </c>
      <c r="W9" s="34" t="str">
        <f t="shared" si="2"/>
        <v>W</v>
      </c>
      <c r="X9" s="34" t="str">
        <f t="shared" si="2"/>
        <v>T</v>
      </c>
      <c r="Y9" s="34" t="str">
        <f t="shared" si="2"/>
        <v>F</v>
      </c>
      <c r="Z9" s="34" t="str">
        <f t="shared" si="2"/>
        <v>M</v>
      </c>
      <c r="AA9" s="34" t="str">
        <f t="shared" si="2"/>
        <v>T</v>
      </c>
      <c r="AB9" s="34" t="str">
        <f t="shared" si="2"/>
        <v>W</v>
      </c>
      <c r="AC9" s="34" t="str">
        <f t="shared" si="2"/>
        <v>T</v>
      </c>
      <c r="AD9" s="34" t="str">
        <f t="shared" si="2"/>
        <v>F</v>
      </c>
      <c r="AE9" s="34" t="str">
        <f t="shared" ref="AE9" si="3">CHOOSE(WEEKDAY(AE8,1),"S","M","T","W","T","F","S")</f>
        <v>M</v>
      </c>
      <c r="AF9" s="34" t="str">
        <f t="shared" ref="AF9" si="4">CHOOSE(WEEKDAY(AF8,1),"S","M","T","W","T","F","S")</f>
        <v>T</v>
      </c>
      <c r="AG9" s="34" t="str">
        <f t="shared" ref="AG9" si="5">CHOOSE(WEEKDAY(AG8,1),"S","M","T","W","T","F","S")</f>
        <v>W</v>
      </c>
      <c r="AH9" s="34" t="str">
        <f t="shared" ref="AH9" si="6">CHOOSE(WEEKDAY(AH8,1),"S","M","T","W","T","F","S")</f>
        <v>T</v>
      </c>
      <c r="AI9" s="34" t="str">
        <f t="shared" ref="AI9" si="7">CHOOSE(WEEKDAY(AI8,1),"S","M","T","W","T","F","S")</f>
        <v>F</v>
      </c>
      <c r="AJ9" s="34" t="str">
        <f t="shared" ref="AJ9" si="8">CHOOSE(WEEKDAY(AJ8,1),"S","M","T","W","T","F","S")</f>
        <v>M</v>
      </c>
      <c r="AK9" s="34" t="str">
        <f t="shared" ref="AK9" si="9">CHOOSE(WEEKDAY(AK8,1),"S","M","T","W","T","F","S")</f>
        <v>T</v>
      </c>
      <c r="AL9" s="34" t="str">
        <f t="shared" ref="AL9" si="10">CHOOSE(WEEKDAY(AL8,1),"S","M","T","W","T","F","S")</f>
        <v>W</v>
      </c>
      <c r="AM9" s="34" t="str">
        <f t="shared" ref="AM9" si="11">CHOOSE(WEEKDAY(AM8,1),"S","M","T","W","T","F","S")</f>
        <v>T</v>
      </c>
      <c r="AN9" s="34" t="str">
        <f t="shared" ref="AN9" si="12">CHOOSE(WEEKDAY(AN8,1),"S","M","T","W","T","F","S")</f>
        <v>F</v>
      </c>
      <c r="AO9" s="5"/>
    </row>
    <row r="10" spans="2:41" ht="19.5" customHeight="1" x14ac:dyDescent="0.25">
      <c r="B10" s="5"/>
      <c r="C10" s="43" t="s">
        <v>0</v>
      </c>
      <c r="D10" s="44"/>
      <c r="E10" s="45">
        <f>IF(MIN(E11:E30)&gt;0,MIN(E11:E30),"")</f>
        <v>43254</v>
      </c>
      <c r="F10" s="45">
        <f>IF(MAX(F11:F30)&gt;0,MAX(F11:F30),"")</f>
        <v>43380</v>
      </c>
      <c r="G10" s="56" t="str">
        <f>IF(OR(E10="",F10=""),"",NETWORKDAYS(E10,F10)&amp; " day(s)")</f>
        <v>90 day(s)</v>
      </c>
      <c r="H10" s="52"/>
      <c r="I10" s="57">
        <f>AVERAGE(I12:I29)</f>
        <v>0.4916666666666667</v>
      </c>
      <c r="J10" s="29"/>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5"/>
    </row>
    <row r="11" spans="2:41" ht="18" x14ac:dyDescent="0.25">
      <c r="B11" s="5"/>
      <c r="C11" s="42" t="s">
        <v>2</v>
      </c>
      <c r="D11" s="36"/>
      <c r="E11" s="39">
        <f>IF(MIN(E12:E15)&gt;0,MIN(E12:E15),"")</f>
        <v>43254</v>
      </c>
      <c r="F11" s="39">
        <f>IF(MAX(F12:F15)&gt;0,MAX(F12:F15),"")</f>
        <v>43272</v>
      </c>
      <c r="G11" s="53" t="str">
        <f>IF(OR(E11="",F11=""),"",NETWORKDAYS(E11,F11)&amp; " day(s)")</f>
        <v>14 day(s)</v>
      </c>
      <c r="H11" s="53"/>
      <c r="I11" s="58"/>
      <c r="J11" s="30"/>
      <c r="K11" s="40"/>
      <c r="L11" s="40"/>
      <c r="M11" s="40"/>
      <c r="N11" s="40"/>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5"/>
    </row>
    <row r="12" spans="2:41" ht="18" outlineLevel="1" x14ac:dyDescent="0.25">
      <c r="B12" s="5"/>
      <c r="C12" s="13" t="s">
        <v>13</v>
      </c>
      <c r="D12" s="14" t="s">
        <v>21</v>
      </c>
      <c r="E12" s="12">
        <v>43254</v>
      </c>
      <c r="F12" s="12">
        <v>43258</v>
      </c>
      <c r="G12" s="54" t="str">
        <f>IF(OR(E12=0,F12=0),"",NETWORKDAYS(E12,F12)&amp; " day(s)")</f>
        <v>4 day(s)</v>
      </c>
      <c r="H12" s="55" t="s">
        <v>18</v>
      </c>
      <c r="I12" s="59">
        <v>0.1</v>
      </c>
      <c r="J12" s="31"/>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5"/>
    </row>
    <row r="13" spans="2:41" ht="18" outlineLevel="1" x14ac:dyDescent="0.25">
      <c r="B13" s="5"/>
      <c r="C13" s="13" t="s">
        <v>14</v>
      </c>
      <c r="D13" s="14" t="s">
        <v>22</v>
      </c>
      <c r="E13" s="12">
        <v>43259</v>
      </c>
      <c r="F13" s="12">
        <v>43265</v>
      </c>
      <c r="G13" s="54" t="str">
        <f>IF(OR(E13=0,F13=0),"",NETWORKDAYS(E13,F13)&amp; " day(s)")</f>
        <v>5 day(s)</v>
      </c>
      <c r="H13" s="55" t="s">
        <v>19</v>
      </c>
      <c r="I13" s="59">
        <v>0.2</v>
      </c>
      <c r="J13" s="31"/>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5"/>
    </row>
    <row r="14" spans="2:41" ht="18" outlineLevel="1" x14ac:dyDescent="0.25">
      <c r="B14" s="5"/>
      <c r="C14" s="13" t="s">
        <v>15</v>
      </c>
      <c r="D14" s="14" t="s">
        <v>21</v>
      </c>
      <c r="E14" s="12">
        <v>43266</v>
      </c>
      <c r="F14" s="12">
        <v>43272</v>
      </c>
      <c r="G14" s="54" t="str">
        <f>IF(OR(E14=0,F14=0),"",NETWORKDAYS(E14,F14)&amp; " day(s)")</f>
        <v>5 day(s)</v>
      </c>
      <c r="H14" s="55" t="s">
        <v>20</v>
      </c>
      <c r="I14" s="59">
        <v>0.3</v>
      </c>
      <c r="J14" s="31"/>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5"/>
    </row>
    <row r="15" spans="2:41" ht="18" outlineLevel="1" x14ac:dyDescent="0.25">
      <c r="B15" s="5"/>
      <c r="C15" s="13"/>
      <c r="D15" s="14"/>
      <c r="E15" s="12"/>
      <c r="F15" s="12"/>
      <c r="G15" s="54"/>
      <c r="H15" s="55"/>
      <c r="I15" s="59"/>
      <c r="J15" s="31"/>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5"/>
    </row>
    <row r="16" spans="2:41" ht="18" x14ac:dyDescent="0.25">
      <c r="B16" s="5"/>
      <c r="C16" s="42" t="s">
        <v>3</v>
      </c>
      <c r="D16" s="36"/>
      <c r="E16" s="39">
        <f>IF(MIN(E17:E20)&gt;0,MIN(E17:E20),"")</f>
        <v>43273</v>
      </c>
      <c r="F16" s="39">
        <f>IF(MAX(F17:F20)&gt;0,MAX(F17:F20),"")</f>
        <v>43296</v>
      </c>
      <c r="G16" s="53" t="str">
        <f>IF(OR(E16="",F16=""),"",NETWORKDAYS(E16,F16)&amp; " day(s)")</f>
        <v>16 day(s)</v>
      </c>
      <c r="H16" s="53"/>
      <c r="I16" s="58"/>
      <c r="J16" s="3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40"/>
      <c r="AK16" s="40"/>
      <c r="AL16" s="40"/>
      <c r="AM16" s="40"/>
      <c r="AN16" s="40"/>
      <c r="AO16" s="5"/>
    </row>
    <row r="17" spans="2:77" ht="18" outlineLevel="1" x14ac:dyDescent="0.25">
      <c r="B17" s="5"/>
      <c r="C17" s="13" t="s">
        <v>13</v>
      </c>
      <c r="D17" s="14" t="s">
        <v>23</v>
      </c>
      <c r="E17" s="12">
        <v>43273</v>
      </c>
      <c r="F17" s="12">
        <v>43278</v>
      </c>
      <c r="G17" s="54" t="str">
        <f>IF(OR(E17=0,F17=0),"",NETWORKDAYS(E17,F17)&amp; " day(s)")</f>
        <v>4 day(s)</v>
      </c>
      <c r="H17" s="55" t="s">
        <v>18</v>
      </c>
      <c r="I17" s="59">
        <v>0.4</v>
      </c>
      <c r="J17" s="31"/>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5"/>
    </row>
    <row r="18" spans="2:77" ht="18" outlineLevel="1" x14ac:dyDescent="0.25">
      <c r="B18" s="5"/>
      <c r="C18" s="13" t="s">
        <v>14</v>
      </c>
      <c r="D18" s="14" t="s">
        <v>22</v>
      </c>
      <c r="E18" s="12">
        <v>43281</v>
      </c>
      <c r="F18" s="12">
        <v>43284</v>
      </c>
      <c r="G18" s="54" t="str">
        <f>IF(OR(E18=0,F18=0),"",NETWORKDAYS(E18,F18)&amp; " day(s)")</f>
        <v>2 day(s)</v>
      </c>
      <c r="H18" s="55" t="s">
        <v>19</v>
      </c>
      <c r="I18" s="59">
        <v>0.5</v>
      </c>
      <c r="J18" s="31"/>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5"/>
    </row>
    <row r="19" spans="2:77" ht="18" outlineLevel="1" x14ac:dyDescent="0.25">
      <c r="B19" s="5"/>
      <c r="C19" s="13" t="s">
        <v>15</v>
      </c>
      <c r="D19" s="14" t="s">
        <v>22</v>
      </c>
      <c r="E19" s="12">
        <v>43285</v>
      </c>
      <c r="F19" s="12">
        <v>43296</v>
      </c>
      <c r="G19" s="54" t="str">
        <f>IF(OR(E19=0,F19=0),"",NETWORKDAYS(E19,F19)&amp; " day(s)")</f>
        <v>8 day(s)</v>
      </c>
      <c r="H19" s="55" t="s">
        <v>20</v>
      </c>
      <c r="I19" s="59">
        <v>0.6</v>
      </c>
      <c r="J19" s="31"/>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5"/>
    </row>
    <row r="20" spans="2:77" ht="18" outlineLevel="1" x14ac:dyDescent="0.25">
      <c r="B20" s="5"/>
      <c r="C20" s="13"/>
      <c r="D20" s="14"/>
      <c r="E20" s="12"/>
      <c r="F20" s="12"/>
      <c r="G20" s="54"/>
      <c r="H20" s="55"/>
      <c r="I20" s="59"/>
      <c r="J20" s="31"/>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5"/>
    </row>
    <row r="21" spans="2:77" ht="18" collapsed="1" x14ac:dyDescent="0.25">
      <c r="B21" s="5"/>
      <c r="C21" s="42" t="s">
        <v>4</v>
      </c>
      <c r="D21" s="36"/>
      <c r="E21" s="39">
        <f>IF(MIN(E22:E25)&gt;0,MIN(E22:E25),"")</f>
        <v>43313</v>
      </c>
      <c r="F21" s="39">
        <f>IF(MAX(F22:F25)&gt;0,MAX(F22:F25),"")</f>
        <v>43340</v>
      </c>
      <c r="G21" s="53" t="str">
        <f>IF(OR(E21="",F21=""),"",NETWORKDAYS(E21,F21)&amp; " day(s)")</f>
        <v>20 day(s)</v>
      </c>
      <c r="H21" s="53"/>
      <c r="I21" s="58"/>
      <c r="J21" s="30"/>
      <c r="K21" s="40"/>
      <c r="L21" s="40"/>
      <c r="M21" s="40"/>
      <c r="N21" s="40"/>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5"/>
    </row>
    <row r="22" spans="2:77" ht="18" hidden="1" outlineLevel="1" x14ac:dyDescent="0.25">
      <c r="B22" s="5"/>
      <c r="C22" s="13" t="s">
        <v>13</v>
      </c>
      <c r="D22" s="14" t="s">
        <v>21</v>
      </c>
      <c r="E22" s="12">
        <v>43313</v>
      </c>
      <c r="F22" s="12">
        <v>43319</v>
      </c>
      <c r="G22" s="54" t="str">
        <f>IF(OR(E22=0,F22=0),"",NETWORKDAYS(E22,F22)&amp; " day(s)")</f>
        <v>5 day(s)</v>
      </c>
      <c r="H22" s="55" t="s">
        <v>19</v>
      </c>
      <c r="I22" s="59">
        <v>0.7</v>
      </c>
      <c r="J22" s="31"/>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5"/>
    </row>
    <row r="23" spans="2:77" ht="18" hidden="1" outlineLevel="1" x14ac:dyDescent="0.25">
      <c r="B23" s="5"/>
      <c r="C23" s="13" t="s">
        <v>14</v>
      </c>
      <c r="D23" s="14" t="s">
        <v>22</v>
      </c>
      <c r="E23" s="12">
        <v>43317</v>
      </c>
      <c r="F23" s="12">
        <v>43322</v>
      </c>
      <c r="G23" s="54" t="str">
        <f>IF(OR(E23=0,F23=0),"",NETWORKDAYS(E23,F23)&amp; " day(s)")</f>
        <v>5 day(s)</v>
      </c>
      <c r="H23" s="55" t="s">
        <v>20</v>
      </c>
      <c r="I23" s="59">
        <v>0.8</v>
      </c>
      <c r="J23" s="31"/>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5"/>
    </row>
    <row r="24" spans="2:77" ht="18" hidden="1" outlineLevel="1" x14ac:dyDescent="0.25">
      <c r="B24" s="5"/>
      <c r="C24" s="13" t="s">
        <v>15</v>
      </c>
      <c r="D24" s="14" t="s">
        <v>22</v>
      </c>
      <c r="E24" s="12">
        <v>43324</v>
      </c>
      <c r="F24" s="12">
        <v>43340</v>
      </c>
      <c r="G24" s="54" t="str">
        <f>IF(OR(E24=0,F24=0),"",NETWORKDAYS(E24,F24)&amp; " day(s)")</f>
        <v>12 day(s)</v>
      </c>
      <c r="H24" s="55" t="s">
        <v>18</v>
      </c>
      <c r="I24" s="59">
        <v>0.9</v>
      </c>
      <c r="J24" s="31"/>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5"/>
    </row>
    <row r="25" spans="2:77" ht="18" hidden="1" outlineLevel="1" x14ac:dyDescent="0.25">
      <c r="B25" s="5"/>
      <c r="C25" s="13"/>
      <c r="D25" s="14"/>
      <c r="E25" s="12"/>
      <c r="F25" s="12"/>
      <c r="G25" s="54"/>
      <c r="H25" s="55"/>
      <c r="I25" s="59"/>
      <c r="J25" s="31"/>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5"/>
    </row>
    <row r="26" spans="2:77" ht="18" collapsed="1" x14ac:dyDescent="0.25">
      <c r="B26" s="5"/>
      <c r="C26" s="42" t="s">
        <v>5</v>
      </c>
      <c r="D26" s="36"/>
      <c r="E26" s="39">
        <f>IF(MIN(E27:E30)&gt;0,MIN(E27:E30),"")</f>
        <v>43344</v>
      </c>
      <c r="F26" s="39">
        <f>IF(MAX(F27:F30)&gt;0,MAX(F27:F30),"")</f>
        <v>43380</v>
      </c>
      <c r="G26" s="53" t="str">
        <f>IF(OR(E26="",F26=""),"",NETWORKDAYS(E26,F26)&amp; " day(s)")</f>
        <v>25 day(s)</v>
      </c>
      <c r="H26" s="53"/>
      <c r="I26" s="58"/>
      <c r="J26" s="30"/>
      <c r="K26" s="40"/>
      <c r="L26" s="40"/>
      <c r="M26" s="40"/>
      <c r="N26" s="40"/>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5"/>
    </row>
    <row r="27" spans="2:77" ht="18" hidden="1" outlineLevel="1" x14ac:dyDescent="0.25">
      <c r="B27" s="5"/>
      <c r="C27" s="13" t="s">
        <v>13</v>
      </c>
      <c r="D27" s="14" t="s">
        <v>21</v>
      </c>
      <c r="E27" s="12">
        <v>43344</v>
      </c>
      <c r="F27" s="12">
        <v>43348</v>
      </c>
      <c r="G27" s="54" t="str">
        <f>IF(OR(E27=0,F27=0),"",NETWORKDAYS(E27,F27)&amp; " day(s)")</f>
        <v>3 day(s)</v>
      </c>
      <c r="H27" s="55" t="s">
        <v>20</v>
      </c>
      <c r="I27" s="59">
        <v>1</v>
      </c>
      <c r="J27" s="31"/>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5"/>
    </row>
    <row r="28" spans="2:77" ht="18" hidden="1" outlineLevel="1" x14ac:dyDescent="0.25">
      <c r="B28" s="5"/>
      <c r="C28" s="13" t="s">
        <v>14</v>
      </c>
      <c r="D28" s="14" t="s">
        <v>22</v>
      </c>
      <c r="E28" s="12">
        <v>43358</v>
      </c>
      <c r="F28" s="12">
        <v>43366</v>
      </c>
      <c r="G28" s="54" t="str">
        <f>IF(OR(E28=0,F28=0),"",NETWORKDAYS(E28,F28)&amp; " day(s)")</f>
        <v>5 day(s)</v>
      </c>
      <c r="H28" s="55" t="s">
        <v>19</v>
      </c>
      <c r="I28" s="59">
        <v>0.15</v>
      </c>
      <c r="J28" s="31"/>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5"/>
    </row>
    <row r="29" spans="2:77" ht="18" hidden="1" outlineLevel="1" x14ac:dyDescent="0.25">
      <c r="B29" s="5"/>
      <c r="C29" s="13" t="s">
        <v>15</v>
      </c>
      <c r="D29" s="14" t="s">
        <v>21</v>
      </c>
      <c r="E29" s="12">
        <v>43372</v>
      </c>
      <c r="F29" s="12">
        <v>43380</v>
      </c>
      <c r="G29" s="54" t="str">
        <f>IF(OR(E29=0,F29=0),"",NETWORKDAYS(E29,F29)&amp; " day(s)")</f>
        <v>5 day(s)</v>
      </c>
      <c r="H29" s="55" t="s">
        <v>18</v>
      </c>
      <c r="I29" s="59">
        <v>0.25</v>
      </c>
      <c r="J29" s="31"/>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5"/>
    </row>
    <row r="30" spans="2:77" ht="18" hidden="1" outlineLevel="1" x14ac:dyDescent="0.25">
      <c r="B30" s="5"/>
      <c r="C30" s="13"/>
      <c r="D30" s="14"/>
      <c r="E30" s="16"/>
      <c r="F30" s="16"/>
      <c r="G30" s="54"/>
      <c r="H30" s="55"/>
      <c r="I30" s="59"/>
      <c r="J30" s="31"/>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5"/>
    </row>
    <row r="31" spans="2:77" ht="19.5" customHeight="1" x14ac:dyDescent="0.25">
      <c r="B31" s="5"/>
      <c r="C31" s="17"/>
      <c r="D31" s="18"/>
      <c r="E31" s="19"/>
      <c r="F31" s="18"/>
      <c r="G31" s="18"/>
      <c r="H31" s="18"/>
      <c r="I31" s="18"/>
      <c r="J31" s="32"/>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5"/>
    </row>
    <row r="32" spans="2:77" s="67" customFormat="1" ht="18" thickBot="1" x14ac:dyDescent="0.35">
      <c r="B32" s="69"/>
      <c r="C32" s="70"/>
      <c r="D32" s="70"/>
      <c r="E32" s="71"/>
      <c r="F32" s="71"/>
      <c r="G32" s="71"/>
      <c r="H32" s="71"/>
      <c r="I32" s="71"/>
      <c r="J32" s="71"/>
      <c r="K32" s="71"/>
      <c r="L32" s="71"/>
      <c r="M32" s="71"/>
      <c r="N32" s="71"/>
      <c r="O32" s="71"/>
      <c r="P32" s="71"/>
      <c r="Q32" s="71"/>
      <c r="R32" s="71"/>
      <c r="S32" s="71"/>
      <c r="T32" s="71"/>
      <c r="U32" s="71"/>
      <c r="V32" s="71"/>
      <c r="W32" s="71"/>
      <c r="X32" s="71"/>
      <c r="Y32" s="71"/>
      <c r="Z32" s="71"/>
      <c r="AA32" s="71"/>
      <c r="AB32" s="71"/>
      <c r="AC32" s="71"/>
      <c r="BY32" s="68"/>
    </row>
    <row r="33" spans="2:77" s="74" customFormat="1" ht="30" customHeight="1" thickBot="1" x14ac:dyDescent="0.25">
      <c r="B33" s="85" t="s">
        <v>26</v>
      </c>
      <c r="C33" s="86"/>
      <c r="D33" s="86"/>
      <c r="E33" s="86"/>
      <c r="F33" s="86"/>
      <c r="G33" s="86"/>
      <c r="H33" s="86"/>
      <c r="I33" s="87"/>
      <c r="K33" s="88" t="s">
        <v>25</v>
      </c>
      <c r="L33" s="89"/>
      <c r="M33" s="89"/>
      <c r="N33" s="89"/>
      <c r="O33" s="89"/>
      <c r="P33" s="89"/>
      <c r="Q33" s="89"/>
      <c r="R33" s="89"/>
      <c r="S33" s="89"/>
      <c r="T33" s="89"/>
      <c r="U33" s="89"/>
      <c r="V33" s="89"/>
      <c r="W33" s="89"/>
      <c r="X33" s="89"/>
      <c r="Y33" s="89"/>
      <c r="Z33" s="89"/>
      <c r="AA33" s="89"/>
      <c r="AB33" s="89"/>
      <c r="AC33" s="89"/>
      <c r="AD33" s="89"/>
      <c r="AE33" s="89"/>
      <c r="AF33" s="89"/>
      <c r="AG33" s="89"/>
      <c r="AH33" s="89"/>
      <c r="AI33" s="89"/>
      <c r="AJ33" s="89"/>
      <c r="AK33" s="89"/>
      <c r="AL33" s="89"/>
      <c r="AM33" s="89"/>
      <c r="AN33" s="89"/>
      <c r="AO33" s="90"/>
      <c r="AX33" s="75"/>
      <c r="AY33" s="75"/>
      <c r="AZ33" s="75"/>
      <c r="BA33" s="75"/>
      <c r="BB33" s="75"/>
      <c r="BC33" s="75"/>
      <c r="BD33" s="75"/>
      <c r="BE33" s="75"/>
    </row>
    <row r="34" spans="2:77" s="67" customFormat="1" ht="32.450000000000003" customHeight="1" x14ac:dyDescent="0.2">
      <c r="B34" s="78"/>
      <c r="C34" s="78"/>
      <c r="D34" s="78"/>
      <c r="E34" s="78"/>
      <c r="F34" s="78"/>
      <c r="G34" s="78"/>
      <c r="H34" s="78"/>
      <c r="I34" s="78"/>
      <c r="J34" s="72"/>
      <c r="K34" s="76" t="s">
        <v>27</v>
      </c>
      <c r="L34" s="76"/>
      <c r="M34" s="76"/>
      <c r="N34" s="76"/>
      <c r="O34" s="76"/>
      <c r="P34" s="76"/>
      <c r="Q34" s="76"/>
      <c r="R34" s="76"/>
      <c r="S34" s="76"/>
      <c r="T34" s="76"/>
      <c r="U34" s="76"/>
      <c r="V34" s="76"/>
      <c r="W34" s="76"/>
      <c r="X34" s="76"/>
      <c r="Y34" s="76"/>
      <c r="Z34" s="76"/>
      <c r="AA34" s="76"/>
      <c r="AB34" s="76"/>
      <c r="AC34" s="76"/>
      <c r="AD34" s="76"/>
      <c r="AE34" s="76"/>
      <c r="AF34" s="76"/>
      <c r="AG34" s="76"/>
      <c r="AH34" s="76"/>
      <c r="AI34" s="76"/>
      <c r="AJ34" s="76"/>
      <c r="AK34" s="76"/>
      <c r="AL34" s="76"/>
      <c r="AM34" s="76"/>
      <c r="AN34" s="76"/>
      <c r="AO34" s="76"/>
      <c r="AP34" s="72"/>
      <c r="AQ34" s="72"/>
      <c r="AR34" s="72"/>
      <c r="AS34" s="72"/>
      <c r="AT34" s="72"/>
      <c r="AU34" s="72"/>
      <c r="AV34" s="72"/>
      <c r="AW34" s="72"/>
      <c r="AX34" s="72"/>
      <c r="AY34" s="72"/>
      <c r="AZ34" s="72"/>
      <c r="BY34" s="68"/>
    </row>
    <row r="35" spans="2:77" s="67" customFormat="1" ht="17.25" x14ac:dyDescent="0.3">
      <c r="B35" s="69"/>
      <c r="C35" s="70"/>
      <c r="D35" s="70"/>
      <c r="E35" s="71"/>
      <c r="F35" s="71"/>
      <c r="G35" s="71"/>
      <c r="H35" s="71"/>
      <c r="I35" s="71"/>
      <c r="J35" s="71"/>
      <c r="K35" s="77"/>
      <c r="L35" s="77"/>
      <c r="M35" s="77"/>
      <c r="N35" s="77"/>
      <c r="O35" s="77"/>
      <c r="P35" s="77"/>
      <c r="Q35" s="77"/>
      <c r="R35" s="77"/>
      <c r="S35" s="77"/>
      <c r="T35" s="77"/>
      <c r="U35" s="77"/>
      <c r="V35" s="77"/>
      <c r="W35" s="77"/>
      <c r="X35" s="77"/>
      <c r="Y35" s="77"/>
      <c r="Z35" s="77"/>
      <c r="AA35" s="77"/>
      <c r="AB35" s="77"/>
      <c r="AC35" s="77"/>
      <c r="AD35" s="77"/>
      <c r="AE35" s="77"/>
      <c r="AF35" s="77"/>
      <c r="AG35" s="77"/>
      <c r="AH35" s="77"/>
      <c r="AI35" s="77"/>
      <c r="AJ35" s="77"/>
      <c r="AK35" s="77"/>
      <c r="AL35" s="77"/>
      <c r="AM35" s="77"/>
      <c r="AN35" s="77"/>
      <c r="AO35" s="77"/>
      <c r="BY35" s="68"/>
    </row>
    <row r="36" spans="2:77" s="67" customFormat="1" ht="17.25" x14ac:dyDescent="0.3">
      <c r="B36" s="69"/>
      <c r="C36" s="70"/>
      <c r="D36" s="70"/>
      <c r="E36" s="71"/>
      <c r="F36" s="71"/>
      <c r="G36" s="71"/>
      <c r="H36" s="71"/>
      <c r="I36" s="71"/>
      <c r="J36" s="71"/>
      <c r="K36" s="77"/>
      <c r="L36" s="77"/>
      <c r="M36" s="77"/>
      <c r="N36" s="77"/>
      <c r="O36" s="77"/>
      <c r="P36" s="77"/>
      <c r="Q36" s="77"/>
      <c r="R36" s="77"/>
      <c r="S36" s="77"/>
      <c r="T36" s="77"/>
      <c r="U36" s="77"/>
      <c r="V36" s="77"/>
      <c r="W36" s="77"/>
      <c r="X36" s="77"/>
      <c r="Y36" s="77"/>
      <c r="Z36" s="77"/>
      <c r="AA36" s="77"/>
      <c r="AB36" s="77"/>
      <c r="AC36" s="77"/>
      <c r="AD36" s="77"/>
      <c r="AE36" s="77"/>
      <c r="AF36" s="77"/>
      <c r="AG36" s="77"/>
      <c r="AH36" s="77"/>
      <c r="AI36" s="77"/>
      <c r="AJ36" s="77"/>
      <c r="AK36" s="77"/>
      <c r="AL36" s="77"/>
      <c r="AM36" s="77"/>
      <c r="AN36" s="77"/>
      <c r="AO36" s="77"/>
      <c r="BY36" s="68"/>
    </row>
    <row r="37" spans="2:77" s="67" customFormat="1" ht="17.25" x14ac:dyDescent="0.3">
      <c r="B37" s="69"/>
      <c r="C37" s="70"/>
      <c r="D37" s="70"/>
      <c r="E37" s="71"/>
      <c r="F37" s="71"/>
      <c r="G37" s="71"/>
      <c r="H37" s="71"/>
      <c r="I37" s="71"/>
      <c r="J37" s="71"/>
      <c r="K37" s="77"/>
      <c r="L37" s="77"/>
      <c r="M37" s="77"/>
      <c r="N37" s="77"/>
      <c r="O37" s="77"/>
      <c r="P37" s="77"/>
      <c r="Q37" s="77"/>
      <c r="R37" s="77"/>
      <c r="S37" s="77"/>
      <c r="T37" s="77"/>
      <c r="U37" s="77"/>
      <c r="V37" s="77"/>
      <c r="W37" s="77"/>
      <c r="X37" s="77"/>
      <c r="Y37" s="77"/>
      <c r="Z37" s="77"/>
      <c r="AA37" s="77"/>
      <c r="AB37" s="77"/>
      <c r="AC37" s="77"/>
      <c r="AD37" s="77"/>
      <c r="AE37" s="77"/>
      <c r="AF37" s="77"/>
      <c r="AG37" s="77"/>
      <c r="AH37" s="77"/>
      <c r="AI37" s="77"/>
      <c r="AJ37" s="77"/>
      <c r="AK37" s="77"/>
      <c r="AL37" s="77"/>
      <c r="AM37" s="77"/>
      <c r="AN37" s="77"/>
      <c r="AO37" s="77"/>
      <c r="BY37" s="68"/>
    </row>
    <row r="38" spans="2:77" s="67" customFormat="1" ht="17.25" x14ac:dyDescent="0.3">
      <c r="B38" s="69"/>
      <c r="C38" s="70"/>
      <c r="D38" s="70"/>
      <c r="E38" s="71"/>
      <c r="F38" s="71"/>
      <c r="G38" s="71"/>
      <c r="H38" s="71"/>
      <c r="I38" s="71"/>
      <c r="J38" s="71"/>
      <c r="K38" s="77"/>
      <c r="L38" s="77"/>
      <c r="M38" s="77"/>
      <c r="N38" s="77"/>
      <c r="O38" s="77"/>
      <c r="P38" s="77"/>
      <c r="Q38" s="77"/>
      <c r="R38" s="77"/>
      <c r="S38" s="77"/>
      <c r="T38" s="77"/>
      <c r="U38" s="77"/>
      <c r="V38" s="77"/>
      <c r="W38" s="77"/>
      <c r="X38" s="77"/>
      <c r="Y38" s="77"/>
      <c r="Z38" s="77"/>
      <c r="AA38" s="77"/>
      <c r="AB38" s="77"/>
      <c r="AC38" s="77"/>
      <c r="AD38" s="77"/>
      <c r="AE38" s="77"/>
      <c r="AF38" s="77"/>
      <c r="AG38" s="77"/>
      <c r="AH38" s="77"/>
      <c r="AI38" s="77"/>
      <c r="AJ38" s="77"/>
      <c r="AK38" s="77"/>
      <c r="AL38" s="77"/>
      <c r="AM38" s="77"/>
      <c r="AN38" s="77"/>
      <c r="AO38" s="77"/>
      <c r="BY38" s="68"/>
    </row>
    <row r="39" spans="2:77" s="67" customFormat="1" ht="17.25" x14ac:dyDescent="0.3">
      <c r="B39" s="69"/>
      <c r="C39" s="70"/>
      <c r="D39" s="70"/>
      <c r="E39" s="71"/>
      <c r="F39" s="71"/>
      <c r="G39" s="71"/>
      <c r="H39" s="71"/>
      <c r="I39" s="71"/>
      <c r="J39" s="71"/>
      <c r="K39" s="71"/>
      <c r="L39" s="71"/>
      <c r="M39" s="71"/>
      <c r="N39" s="71"/>
      <c r="O39" s="71"/>
      <c r="P39" s="71"/>
      <c r="Q39" s="71"/>
      <c r="R39" s="71"/>
      <c r="S39" s="71"/>
      <c r="T39" s="71"/>
      <c r="U39" s="71"/>
      <c r="V39" s="71"/>
      <c r="W39" s="71"/>
      <c r="X39" s="71"/>
      <c r="Y39" s="71"/>
      <c r="Z39" s="71"/>
      <c r="AA39" s="71"/>
      <c r="AB39" s="71"/>
      <c r="AC39" s="71"/>
      <c r="BY39" s="68"/>
    </row>
    <row r="40" spans="2:77" s="67" customFormat="1" ht="17.25" x14ac:dyDescent="0.3">
      <c r="B40" s="69"/>
      <c r="C40" s="70"/>
      <c r="D40" s="70"/>
      <c r="E40" s="71"/>
      <c r="F40" s="71"/>
      <c r="G40" s="71"/>
      <c r="H40" s="71"/>
      <c r="I40" s="71"/>
      <c r="J40" s="71"/>
      <c r="K40" s="71"/>
      <c r="L40" s="71"/>
      <c r="M40" s="71"/>
      <c r="N40" s="71"/>
      <c r="O40" s="71"/>
      <c r="P40" s="71"/>
      <c r="Q40" s="71"/>
      <c r="R40" s="71"/>
      <c r="S40" s="71"/>
      <c r="T40" s="71"/>
      <c r="U40" s="71"/>
      <c r="V40" s="71"/>
      <c r="W40" s="71"/>
      <c r="X40" s="71"/>
      <c r="Y40" s="71"/>
      <c r="Z40" s="71"/>
      <c r="AA40" s="71"/>
      <c r="AB40" s="71"/>
      <c r="AC40" s="71"/>
      <c r="BY40" s="68"/>
    </row>
    <row r="41" spans="2:77" s="67" customFormat="1" ht="17.25" x14ac:dyDescent="0.3">
      <c r="B41" s="69"/>
      <c r="C41" s="70"/>
      <c r="D41" s="70"/>
      <c r="E41" s="71"/>
      <c r="F41" s="71"/>
      <c r="G41" s="71"/>
      <c r="H41" s="71"/>
      <c r="I41" s="71"/>
      <c r="J41" s="71"/>
      <c r="K41" s="71"/>
      <c r="L41" s="71"/>
      <c r="M41" s="71"/>
      <c r="N41" s="71"/>
      <c r="O41" s="71"/>
      <c r="P41" s="71"/>
      <c r="Q41" s="71"/>
      <c r="R41" s="71"/>
      <c r="S41" s="71"/>
      <c r="T41" s="71"/>
      <c r="U41" s="71"/>
      <c r="V41" s="71"/>
      <c r="W41" s="71"/>
      <c r="X41" s="71"/>
      <c r="Y41" s="71"/>
      <c r="Z41" s="71"/>
      <c r="AA41" s="71"/>
      <c r="AB41" s="71"/>
      <c r="AC41" s="71"/>
      <c r="BY41" s="68"/>
    </row>
    <row r="42" spans="2:77" s="67" customFormat="1" ht="17.25" x14ac:dyDescent="0.3">
      <c r="B42" s="69"/>
      <c r="C42" s="70"/>
      <c r="D42" s="70"/>
      <c r="E42" s="71"/>
      <c r="F42" s="71"/>
      <c r="G42" s="71"/>
      <c r="H42" s="71"/>
      <c r="I42" s="71"/>
      <c r="J42" s="71"/>
      <c r="K42" s="71"/>
      <c r="L42" s="71"/>
      <c r="M42" s="71"/>
      <c r="N42" s="71"/>
      <c r="O42" s="71"/>
      <c r="P42" s="71"/>
      <c r="Q42" s="71"/>
      <c r="R42" s="71"/>
      <c r="S42" s="71"/>
      <c r="T42" s="71"/>
      <c r="U42" s="71"/>
      <c r="V42" s="71"/>
      <c r="W42" s="71"/>
      <c r="X42" s="71"/>
      <c r="Y42" s="71"/>
      <c r="Z42" s="71"/>
      <c r="AA42" s="71"/>
      <c r="AB42" s="71"/>
      <c r="AC42" s="71"/>
      <c r="BY42" s="68"/>
    </row>
    <row r="43" spans="2:77" s="67" customFormat="1" ht="17.25" x14ac:dyDescent="0.3">
      <c r="B43" s="69"/>
      <c r="C43" s="70"/>
      <c r="D43" s="70"/>
      <c r="E43" s="71"/>
      <c r="F43" s="71"/>
      <c r="G43" s="71"/>
      <c r="H43" s="71"/>
      <c r="I43" s="71"/>
      <c r="J43" s="71"/>
      <c r="K43" s="71"/>
      <c r="L43" s="71"/>
      <c r="M43" s="71"/>
      <c r="N43" s="71"/>
      <c r="O43" s="71"/>
      <c r="P43" s="71"/>
      <c r="Q43" s="71"/>
      <c r="R43" s="71"/>
      <c r="S43" s="71"/>
      <c r="T43" s="71"/>
      <c r="U43" s="71"/>
      <c r="V43" s="71"/>
      <c r="W43" s="71"/>
      <c r="X43" s="71"/>
      <c r="Y43" s="71"/>
      <c r="Z43" s="71"/>
      <c r="AA43" s="71"/>
      <c r="AB43" s="71"/>
      <c r="AC43" s="71"/>
      <c r="BY43" s="68"/>
    </row>
    <row r="44" spans="2:77" s="67" customFormat="1" ht="17.25" x14ac:dyDescent="0.3">
      <c r="B44" s="69"/>
      <c r="C44" s="70"/>
      <c r="D44" s="70"/>
      <c r="E44" s="71"/>
      <c r="F44" s="71"/>
      <c r="G44" s="71"/>
      <c r="H44" s="71"/>
      <c r="I44" s="71"/>
      <c r="J44" s="71"/>
      <c r="K44" s="71"/>
      <c r="L44" s="71"/>
      <c r="M44" s="71"/>
      <c r="N44" s="71"/>
      <c r="O44" s="71"/>
      <c r="P44" s="71"/>
      <c r="Q44" s="71"/>
      <c r="R44" s="71"/>
      <c r="S44" s="71"/>
      <c r="T44" s="71"/>
      <c r="U44" s="71"/>
      <c r="V44" s="71"/>
      <c r="W44" s="71"/>
      <c r="X44" s="71"/>
      <c r="Y44" s="71"/>
      <c r="Z44" s="71"/>
      <c r="AA44" s="71"/>
      <c r="AB44" s="71"/>
      <c r="AC44" s="71"/>
      <c r="BY44" s="68"/>
    </row>
    <row r="45" spans="2:77" s="67" customFormat="1" ht="17.25" x14ac:dyDescent="0.3">
      <c r="B45" s="69"/>
      <c r="C45" s="70"/>
      <c r="D45" s="70"/>
      <c r="E45" s="71"/>
      <c r="F45" s="71"/>
      <c r="G45" s="71"/>
      <c r="H45" s="71"/>
      <c r="I45" s="71"/>
      <c r="J45" s="71"/>
      <c r="K45" s="71"/>
      <c r="L45" s="71"/>
      <c r="M45" s="71"/>
      <c r="N45" s="71"/>
      <c r="O45" s="71"/>
      <c r="P45" s="71"/>
      <c r="Q45" s="71"/>
      <c r="R45" s="71"/>
      <c r="S45" s="71"/>
      <c r="T45" s="71"/>
      <c r="U45" s="71"/>
      <c r="V45" s="71"/>
      <c r="W45" s="71"/>
      <c r="X45" s="71"/>
      <c r="Y45" s="71"/>
      <c r="Z45" s="71"/>
      <c r="AA45" s="71"/>
      <c r="AB45" s="71"/>
      <c r="AC45" s="71"/>
      <c r="BY45" s="68"/>
    </row>
    <row r="46" spans="2:77" s="67" customFormat="1" ht="17.25" x14ac:dyDescent="0.3">
      <c r="B46" s="69"/>
      <c r="C46" s="70"/>
      <c r="D46" s="70"/>
      <c r="E46" s="71"/>
      <c r="F46" s="71"/>
      <c r="G46" s="71"/>
      <c r="H46" s="71"/>
      <c r="I46" s="71"/>
      <c r="J46" s="71"/>
      <c r="K46" s="71"/>
      <c r="L46" s="71"/>
      <c r="M46" s="71"/>
      <c r="N46" s="71"/>
      <c r="O46" s="71"/>
      <c r="P46" s="71"/>
      <c r="Q46" s="71"/>
      <c r="R46" s="71"/>
      <c r="S46" s="71"/>
      <c r="T46" s="71"/>
      <c r="U46" s="71"/>
      <c r="V46" s="71"/>
      <c r="W46" s="71"/>
      <c r="X46" s="71"/>
      <c r="Y46" s="71"/>
      <c r="Z46" s="71"/>
      <c r="AA46" s="71"/>
      <c r="AB46" s="71"/>
      <c r="AC46" s="71"/>
      <c r="BY46" s="68"/>
    </row>
    <row r="47" spans="2:77" s="67" customFormat="1" ht="17.25" x14ac:dyDescent="0.3">
      <c r="B47" s="69"/>
      <c r="C47" s="70"/>
      <c r="D47" s="70"/>
      <c r="E47" s="71"/>
      <c r="F47" s="71"/>
      <c r="G47" s="71"/>
      <c r="H47" s="71"/>
      <c r="I47" s="71"/>
      <c r="J47" s="71"/>
      <c r="K47" s="71"/>
      <c r="L47" s="71"/>
      <c r="M47" s="71"/>
      <c r="N47" s="71"/>
      <c r="O47" s="71"/>
      <c r="P47" s="71"/>
      <c r="Q47" s="71"/>
      <c r="R47" s="71"/>
      <c r="S47" s="71"/>
      <c r="T47" s="71"/>
      <c r="U47" s="71"/>
      <c r="V47" s="71"/>
      <c r="W47" s="71"/>
      <c r="X47" s="71"/>
      <c r="Y47" s="71"/>
      <c r="Z47" s="71"/>
      <c r="AA47" s="71"/>
      <c r="AB47" s="71"/>
      <c r="AC47" s="71"/>
      <c r="BY47" s="68"/>
    </row>
    <row r="48" spans="2:77" s="67" customFormat="1" ht="17.25" x14ac:dyDescent="0.3">
      <c r="B48" s="69"/>
      <c r="C48" s="70"/>
      <c r="D48" s="70"/>
      <c r="E48" s="71"/>
      <c r="F48" s="71"/>
      <c r="G48" s="71"/>
      <c r="H48" s="71"/>
      <c r="I48" s="71"/>
      <c r="J48" s="71"/>
      <c r="K48" s="71"/>
      <c r="L48" s="71"/>
      <c r="M48" s="71"/>
      <c r="N48" s="71"/>
      <c r="O48" s="71"/>
      <c r="P48" s="71"/>
      <c r="Q48" s="71"/>
      <c r="R48" s="71"/>
      <c r="S48" s="71"/>
      <c r="T48" s="71"/>
      <c r="U48" s="71"/>
      <c r="V48" s="71"/>
      <c r="W48" s="71"/>
      <c r="X48" s="71"/>
      <c r="Y48" s="71"/>
      <c r="Z48" s="71"/>
      <c r="AA48" s="71"/>
      <c r="AB48" s="71"/>
      <c r="AC48" s="71"/>
      <c r="BY48" s="68"/>
    </row>
    <row r="49" spans="2:77" s="67" customFormat="1" ht="17.25" x14ac:dyDescent="0.3">
      <c r="B49" s="69"/>
      <c r="C49" s="70"/>
      <c r="D49" s="70"/>
      <c r="E49" s="71"/>
      <c r="F49" s="71"/>
      <c r="G49" s="71"/>
      <c r="H49" s="71"/>
      <c r="I49" s="71"/>
      <c r="J49" s="71"/>
      <c r="K49" s="71"/>
      <c r="L49" s="71"/>
      <c r="M49" s="71"/>
      <c r="N49" s="71"/>
      <c r="O49" s="71"/>
      <c r="P49" s="71"/>
      <c r="Q49" s="71"/>
      <c r="R49" s="71"/>
      <c r="S49" s="71"/>
      <c r="T49" s="71"/>
      <c r="U49" s="71"/>
      <c r="V49" s="71"/>
      <c r="W49" s="71"/>
      <c r="X49" s="71"/>
      <c r="Y49" s="71"/>
      <c r="Z49" s="71"/>
      <c r="AA49" s="71"/>
      <c r="AB49" s="71"/>
      <c r="AC49" s="71"/>
      <c r="BY49" s="68"/>
    </row>
    <row r="50" spans="2:77" s="67" customFormat="1" ht="17.25" x14ac:dyDescent="0.3">
      <c r="B50" s="69"/>
      <c r="C50" s="70"/>
      <c r="D50" s="70"/>
      <c r="E50" s="71"/>
      <c r="F50" s="71"/>
      <c r="G50" s="71"/>
      <c r="H50" s="71"/>
      <c r="I50" s="71"/>
      <c r="J50" s="71"/>
      <c r="K50" s="71"/>
      <c r="L50" s="71"/>
      <c r="M50" s="71"/>
      <c r="N50" s="71"/>
      <c r="O50" s="71"/>
      <c r="P50" s="71"/>
      <c r="Q50" s="71"/>
      <c r="R50" s="71"/>
      <c r="S50" s="71"/>
      <c r="T50" s="71"/>
      <c r="U50" s="71"/>
      <c r="V50" s="71"/>
      <c r="W50" s="71"/>
      <c r="X50" s="71"/>
      <c r="Y50" s="71"/>
      <c r="Z50" s="71"/>
      <c r="AA50" s="71"/>
      <c r="AB50" s="71"/>
      <c r="AC50" s="71"/>
      <c r="BY50" s="68"/>
    </row>
    <row r="51" spans="2:77" s="67" customFormat="1" ht="17.25" x14ac:dyDescent="0.3">
      <c r="B51" s="69"/>
      <c r="C51" s="70"/>
      <c r="D51" s="70"/>
      <c r="E51" s="71"/>
      <c r="F51" s="71"/>
      <c r="G51" s="71"/>
      <c r="H51" s="71"/>
      <c r="I51" s="71"/>
      <c r="J51" s="71"/>
      <c r="K51" s="71"/>
      <c r="L51" s="71"/>
      <c r="M51" s="71"/>
      <c r="N51" s="71"/>
      <c r="O51" s="71"/>
      <c r="P51" s="71"/>
      <c r="Q51" s="71"/>
      <c r="R51" s="71"/>
      <c r="S51" s="71"/>
      <c r="T51" s="71"/>
      <c r="U51" s="71"/>
      <c r="V51" s="71"/>
      <c r="W51" s="71"/>
      <c r="X51" s="71"/>
      <c r="Y51" s="71"/>
      <c r="Z51" s="71"/>
      <c r="AA51" s="71"/>
      <c r="AB51" s="71"/>
      <c r="AC51" s="71"/>
      <c r="BY51" s="68"/>
    </row>
    <row r="52" spans="2:77" s="67" customFormat="1" ht="17.25" x14ac:dyDescent="0.3">
      <c r="B52" s="69"/>
      <c r="C52" s="70"/>
      <c r="D52" s="70"/>
      <c r="E52" s="71"/>
      <c r="F52" s="71"/>
      <c r="G52" s="71"/>
      <c r="H52" s="71"/>
      <c r="I52" s="71"/>
      <c r="J52" s="71"/>
      <c r="K52" s="71"/>
      <c r="L52" s="71"/>
      <c r="M52" s="71"/>
      <c r="N52" s="71"/>
      <c r="O52" s="71"/>
      <c r="P52" s="71"/>
      <c r="Q52" s="71"/>
      <c r="R52" s="71"/>
      <c r="S52" s="71"/>
      <c r="T52" s="71"/>
      <c r="U52" s="71"/>
      <c r="V52" s="71"/>
      <c r="W52" s="71"/>
      <c r="X52" s="71"/>
      <c r="Y52" s="71"/>
      <c r="Z52" s="71"/>
      <c r="AA52" s="71"/>
      <c r="AB52" s="71"/>
      <c r="AC52" s="71"/>
      <c r="BY52" s="68"/>
    </row>
    <row r="53" spans="2:77" s="67" customFormat="1" ht="17.25" x14ac:dyDescent="0.3">
      <c r="B53" s="69"/>
      <c r="C53" s="70"/>
      <c r="D53" s="70"/>
      <c r="E53" s="71"/>
      <c r="F53" s="71"/>
      <c r="G53" s="71"/>
      <c r="H53" s="71"/>
      <c r="I53" s="71"/>
      <c r="J53" s="71"/>
      <c r="K53" s="71"/>
      <c r="L53" s="71"/>
      <c r="M53" s="71"/>
      <c r="N53" s="71"/>
      <c r="O53" s="71"/>
      <c r="P53" s="71"/>
      <c r="Q53" s="71"/>
      <c r="R53" s="71"/>
      <c r="S53" s="71"/>
      <c r="T53" s="71"/>
      <c r="U53" s="71"/>
      <c r="V53" s="71"/>
      <c r="W53" s="71"/>
      <c r="X53" s="71"/>
      <c r="Y53" s="71"/>
      <c r="Z53" s="71"/>
      <c r="AA53" s="71"/>
      <c r="AB53" s="71"/>
      <c r="AC53" s="71"/>
      <c r="BY53" s="68"/>
    </row>
    <row r="54" spans="2:77" s="67" customFormat="1" ht="50.45" customHeight="1" x14ac:dyDescent="0.3">
      <c r="B54" s="69"/>
      <c r="C54" s="70"/>
      <c r="D54" s="70"/>
      <c r="E54" s="71"/>
      <c r="F54" s="71"/>
      <c r="G54" s="71"/>
      <c r="H54" s="71"/>
      <c r="I54" s="71"/>
      <c r="J54" s="71"/>
      <c r="K54" s="71"/>
      <c r="L54" s="71"/>
      <c r="M54" s="71"/>
      <c r="N54" s="71"/>
      <c r="O54" s="71"/>
      <c r="P54" s="71"/>
      <c r="Q54" s="71"/>
      <c r="R54" s="71"/>
      <c r="S54" s="71"/>
      <c r="T54" s="71"/>
      <c r="U54" s="71"/>
      <c r="V54" s="71"/>
      <c r="W54" s="71"/>
      <c r="X54" s="71"/>
      <c r="Y54" s="71"/>
      <c r="Z54" s="71"/>
      <c r="AA54" s="71"/>
      <c r="AB54" s="71"/>
      <c r="AC54" s="71"/>
      <c r="BY54" s="68"/>
    </row>
  </sheetData>
  <sheetProtection formatCells="0" formatColumns="0" formatRows="0" insertRows="0" deleteRows="0"/>
  <mergeCells count="14">
    <mergeCell ref="K34:AO38"/>
    <mergeCell ref="B34:I34"/>
    <mergeCell ref="K33:AO33"/>
    <mergeCell ref="C3:I4"/>
    <mergeCell ref="D6:E6"/>
    <mergeCell ref="K5:O7"/>
    <mergeCell ref="F6:G6"/>
    <mergeCell ref="C9:I9"/>
    <mergeCell ref="AJ5:AN7"/>
    <mergeCell ref="P5:T7"/>
    <mergeCell ref="U5:Y7"/>
    <mergeCell ref="Z5:AD7"/>
    <mergeCell ref="AE5:AI7"/>
    <mergeCell ref="B33:I33"/>
  </mergeCells>
  <phoneticPr fontId="2" type="noConversion"/>
  <conditionalFormatting sqref="K8:AN8">
    <cfRule type="expression" dxfId="5" priority="132">
      <formula>$K$8=TODAY()</formula>
    </cfRule>
  </conditionalFormatting>
  <conditionalFormatting sqref="I10:I31">
    <cfRule type="dataBar" priority="13">
      <dataBar>
        <cfvo type="num" val="0"/>
        <cfvo type="num" val="1"/>
        <color theme="9" tint="-0.249977111117893"/>
      </dataBar>
      <extLst>
        <ext xmlns:x14="http://schemas.microsoft.com/office/spreadsheetml/2009/9/main" uri="{B025F937-C7B1-47D3-B67F-A62EFF666E3E}">
          <x14:id>{22DE5D61-BBBB-4FD4-BDE4-3CE4D96D6608}</x14:id>
        </ext>
      </extLst>
    </cfRule>
  </conditionalFormatting>
  <conditionalFormatting sqref="H12:H30">
    <cfRule type="cellIs" dxfId="4" priority="9" stopIfTrue="1" operator="equal">
      <formula>"Yellow"</formula>
    </cfRule>
    <cfRule type="cellIs" dxfId="3" priority="10" stopIfTrue="1" operator="equal">
      <formula>"Green"</formula>
    </cfRule>
    <cfRule type="cellIs" dxfId="2" priority="11" stopIfTrue="1" operator="equal">
      <formula>"Red"</formula>
    </cfRule>
  </conditionalFormatting>
  <conditionalFormatting sqref="K11:AN31">
    <cfRule type="expression" dxfId="1" priority="133">
      <formula>AND($I11&gt;5%, $E11&lt;=K$8,ROUNDDOWN(NETWORKDAYS($E11,$F11)*$I11,0)+$E11+1&gt;=K$8)</formula>
    </cfRule>
    <cfRule type="expression" dxfId="0" priority="134">
      <formula>AND(NOT(ISBLANK($E11)),$E11&lt;=K$8,$F11&gt;=K$8)</formula>
    </cfRule>
  </conditionalFormatting>
  <dataValidations count="2">
    <dataValidation type="list" allowBlank="1" showInputMessage="1" showErrorMessage="1" sqref="D12:D14 D17:D19 D22:D24 D27:D29" xr:uid="{00000000-0002-0000-0000-000000000000}">
      <formula1>"Low, Medium,High"</formula1>
    </dataValidation>
    <dataValidation type="list" allowBlank="1" showInputMessage="1" showErrorMessage="1" sqref="H12:H14 H17:H19 H22:H24 H27:H29" xr:uid="{00000000-0002-0000-0000-000001000000}">
      <formula1>"Red, Yellow,Green"</formula1>
    </dataValidation>
  </dataValidations>
  <hyperlinks>
    <hyperlink ref="K33:AO33" r:id="rId1" display="Make beautiful timelines in PowerPoint for important meetings." xr:uid="{00000000-0004-0000-0000-000000000000}"/>
    <hyperlink ref="K34" r:id="rId2" xr:uid="{00000000-0004-0000-0000-000001000000}"/>
    <hyperlink ref="K34:AO38" r:id="rId3" display="www.officetimeline.com" xr:uid="{00000000-0004-0000-0000-000003000000}"/>
    <hyperlink ref="B33:I33" r:id="rId4" display="Instantly turn Excel data into PowerPoint slides with the Office Timeline add-in for PowerPoint." xr:uid="{00000000-0004-0000-0000-000002000000}"/>
  </hyperlinks>
  <pageMargins left="0.25" right="0.25" top="0.5" bottom="0.5" header="0.5" footer="0.25"/>
  <pageSetup scale="61" fitToHeight="0" orientation="landscape" r:id="rId5"/>
  <headerFooter alignWithMargins="0"/>
  <drawing r:id="rId6"/>
  <extLst>
    <ext xmlns:x14="http://schemas.microsoft.com/office/spreadsheetml/2009/9/main" uri="{78C0D931-6437-407d-A8EE-F0AAD7539E65}">
      <x14:conditionalFormattings>
        <x14:conditionalFormatting xmlns:xm="http://schemas.microsoft.com/office/excel/2006/main">
          <x14:cfRule type="dataBar" id="{22DE5D61-BBBB-4FD4-BDE4-3CE4D96D6608}">
            <x14:dataBar minLength="0" maxLength="100" gradient="0" direction="leftToRight">
              <x14:cfvo type="num">
                <xm:f>0</xm:f>
              </x14:cfvo>
              <x14:cfvo type="num">
                <xm:f>1</xm:f>
              </x14:cfvo>
              <x14:negativeFillColor rgb="FFFF0000"/>
              <x14:axisColor rgb="FF000000"/>
            </x14:dataBar>
          </x14:cfRule>
          <xm:sqref>I10:I31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zoomScale="90" zoomScaleNormal="90" workbookViewId="0">
      <selection activeCell="R51" sqref="R51"/>
    </sheetView>
  </sheetViews>
  <sheetFormatPr defaultRowHeight="12.75" x14ac:dyDescent="0.2"/>
  <cols>
    <col min="1" max="16384" width="9.140625" style="73"/>
  </cols>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Excel Sprint Project Tracker</vt:lpstr>
      <vt:lpstr>Sprint Tracker Instructions</vt:lpstr>
      <vt:lpstr>'Excel Sprint Project Tracker'!prevWBS</vt:lpstr>
      <vt:lpstr>'Excel Sprint Project Tracker'!Print_Area</vt:lpstr>
      <vt:lpstr>'Excel Sprint Project Tracker'!Print_Titles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2018-07-12T14:52:49Z</dcterms:created>
  <dcterms:modified xsi:type="dcterms:W3CDTF">2022-06-29T12:17:02Z</dcterms:modified>
</cp:coreProperties>
</file>