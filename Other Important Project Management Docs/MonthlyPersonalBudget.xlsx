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1.xml" ContentType="application/vnd.openxmlformats-officedocument.drawing+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2.xml" ContentType="application/vnd.openxmlformats-officedocument.drawing+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rmcquaig\Documents\My Development\RobertMcQuaig\downloads\Excel Templates\Budgets\MonthlyPersonalBudget\"/>
    </mc:Choice>
  </mc:AlternateContent>
  <bookViews>
    <workbookView xWindow="0" yWindow="0" windowWidth="19200" windowHeight="12180" tabRatio="666"/>
  </bookViews>
  <sheets>
    <sheet name="Mo.1" sheetId="1" r:id="rId1"/>
    <sheet name="Mo.2" sheetId="2" r:id="rId2"/>
    <sheet name="Mo.3" sheetId="4" r:id="rId3"/>
    <sheet name="Mo.4" sheetId="5" r:id="rId4"/>
    <sheet name="Mo.5" sheetId="6" r:id="rId5"/>
    <sheet name="Mo.6" sheetId="7" r:id="rId6"/>
    <sheet name="Mo.7" sheetId="8" r:id="rId7"/>
    <sheet name="Mo.8" sheetId="9" r:id="rId8"/>
    <sheet name="Mo.9" sheetId="10" r:id="rId9"/>
    <sheet name="Mo.10" sheetId="11" r:id="rId10"/>
    <sheet name="Mo.11" sheetId="12" r:id="rId11"/>
    <sheet name="Mo.12" sheetId="13" r:id="rId12"/>
  </sheets>
  <definedNames>
    <definedName name="Bills" localSheetId="9">Table13910109[Bills]</definedName>
    <definedName name="Bills" localSheetId="10">Table13910119[Bills]</definedName>
    <definedName name="Bills" localSheetId="11">Table13910129[Bills]</definedName>
    <definedName name="Bills" localSheetId="1">Table1391018[Bills]</definedName>
    <definedName name="Bills" localSheetId="2">Table1391039[Bills]</definedName>
    <definedName name="Bills" localSheetId="3">Table1391049[Bills]</definedName>
    <definedName name="Bills" localSheetId="4">Table1391059[Bills]</definedName>
    <definedName name="Bills" localSheetId="5">Table1391069[Bills]</definedName>
    <definedName name="Bills" localSheetId="6">Table1391079[Bills]</definedName>
    <definedName name="Bills" localSheetId="7">Table1391089[Bills]</definedName>
    <definedName name="Bills" localSheetId="8">Table1391099[Bills]</definedName>
    <definedName name="Bills">Table13910[Bills]</definedName>
    <definedName name="Entertainment" localSheetId="9">Table138107[Entertainment]</definedName>
    <definedName name="Entertainment" localSheetId="10">Table138117[Entertainment]</definedName>
    <definedName name="Entertainment" localSheetId="11">Table138127[Entertainment]</definedName>
    <definedName name="Entertainment" localSheetId="1">Table13816[Entertainment]</definedName>
    <definedName name="Entertainment" localSheetId="2">Table13837[Entertainment]</definedName>
    <definedName name="Entertainment" localSheetId="3">Table13847[Entertainment]</definedName>
    <definedName name="Entertainment" localSheetId="4">Table13857[Entertainment]</definedName>
    <definedName name="Entertainment" localSheetId="5">Table13867[Entertainment]</definedName>
    <definedName name="Entertainment" localSheetId="6">Table13877[Entertainment]</definedName>
    <definedName name="Entertainment" localSheetId="7">Table13887[Entertainment]</definedName>
    <definedName name="Entertainment" localSheetId="8">Table13897[Entertainment]</definedName>
    <definedName name="Entertainment">Table138[Entertainment]</definedName>
    <definedName name="Housing" localSheetId="9">Table1102[Housing]</definedName>
    <definedName name="Housing" localSheetId="10">Table1112[Housing]</definedName>
    <definedName name="Housing" localSheetId="11">Table1122[Housing]</definedName>
    <definedName name="Housing" localSheetId="1">Table111[Housing]</definedName>
    <definedName name="Housing" localSheetId="2">Table132[Housing]</definedName>
    <definedName name="Housing" localSheetId="3">Table142[Housing]</definedName>
    <definedName name="Housing" localSheetId="4">Table152[Housing]</definedName>
    <definedName name="Housing" localSheetId="5">Table162[Housing]</definedName>
    <definedName name="Housing" localSheetId="6">Table172[Housing]</definedName>
    <definedName name="Housing" localSheetId="7">Table182[Housing]</definedName>
    <definedName name="Housing" localSheetId="8">Table192[Housing]</definedName>
    <definedName name="Housing">Table1[Housing]</definedName>
    <definedName name="Income" localSheetId="9">Table136105[Income]</definedName>
    <definedName name="Income" localSheetId="10">Table136115[Income]</definedName>
    <definedName name="Income" localSheetId="11">Table136125[Income]</definedName>
    <definedName name="Income" localSheetId="1">Table13614[Income]</definedName>
    <definedName name="Income" localSheetId="2">Table13635[Income]</definedName>
    <definedName name="Income" localSheetId="3">Table13645[Income]</definedName>
    <definedName name="Income" localSheetId="4">Table13655[Income]</definedName>
    <definedName name="Income" localSheetId="5">Table13665[Income]</definedName>
    <definedName name="Income" localSheetId="6">Table13675[Income]</definedName>
    <definedName name="Income" localSheetId="7">Table13685[Income]</definedName>
    <definedName name="Income" localSheetId="8">Table13695[Income]</definedName>
    <definedName name="Income">Table136[Income]</definedName>
    <definedName name="Living" localSheetId="9">Table137106[Living]</definedName>
    <definedName name="Living" localSheetId="10">Table137116[Living]</definedName>
    <definedName name="Living" localSheetId="11">Table137126[Living]</definedName>
    <definedName name="Living" localSheetId="1">Table13715[Living]</definedName>
    <definedName name="Living" localSheetId="2">Table13736[Living]</definedName>
    <definedName name="Living" localSheetId="3">Table13746[Living]</definedName>
    <definedName name="Living" localSheetId="4">Table13756[Living]</definedName>
    <definedName name="Living" localSheetId="5">Table13766[Living]</definedName>
    <definedName name="Living" localSheetId="6">Table13776[Living]</definedName>
    <definedName name="Living" localSheetId="7">Table13786[Living]</definedName>
    <definedName name="Living" localSheetId="8">Table13796[Living]</definedName>
    <definedName name="Living">Table137[Living]</definedName>
    <definedName name="Misc." localSheetId="9">Table139108[Misc.]</definedName>
    <definedName name="Misc." localSheetId="10">Table139118[Misc.]</definedName>
    <definedName name="Misc." localSheetId="11">Table139128[Misc.]</definedName>
    <definedName name="Misc." localSheetId="1">Table13917[Misc.]</definedName>
    <definedName name="Misc." localSheetId="2">Table13938[Misc.]</definedName>
    <definedName name="Misc." localSheetId="3">Table13948[Misc.]</definedName>
    <definedName name="Misc." localSheetId="4">Table13958[Misc.]</definedName>
    <definedName name="Misc." localSheetId="5">Table13968[Misc.]</definedName>
    <definedName name="Misc." localSheetId="6">Table13978[Misc.]</definedName>
    <definedName name="Misc." localSheetId="7">Table13988[Misc.]</definedName>
    <definedName name="Misc." localSheetId="8">Table13998[Misc.]</definedName>
    <definedName name="Misc.">Table139[Misc.]</definedName>
    <definedName name="_xlnm.Print_Area" localSheetId="0">Mo.1!$G$1:$Z$66</definedName>
    <definedName name="_xlnm.Print_Area" localSheetId="9">Mo.10!$C$1:$V$66</definedName>
    <definedName name="_xlnm.Print_Area" localSheetId="10">Mo.11!$C$1:$V$66</definedName>
    <definedName name="_xlnm.Print_Area" localSheetId="11">Mo.12!$C$1:$V$66</definedName>
    <definedName name="_xlnm.Print_Area" localSheetId="1">Mo.2!$C$1:$V$66</definedName>
    <definedName name="_xlnm.Print_Area" localSheetId="2">Mo.3!$C$1:$V$66</definedName>
    <definedName name="_xlnm.Print_Area" localSheetId="3">Mo.4!$C$1:$V$66</definedName>
    <definedName name="_xlnm.Print_Area" localSheetId="4">Mo.5!$C$1:$V$66</definedName>
    <definedName name="_xlnm.Print_Area" localSheetId="5">Mo.6!$C$1:$V$66</definedName>
    <definedName name="_xlnm.Print_Area" localSheetId="6">Mo.7!$C$1:$V$66</definedName>
    <definedName name="_xlnm.Print_Area" localSheetId="7">Mo.8!$C$1:$V$66</definedName>
    <definedName name="_xlnm.Print_Area" localSheetId="8">Mo.9!$C$1:$V$66</definedName>
    <definedName name="Transportation" localSheetId="9">Table13103[Transportation]</definedName>
    <definedName name="Transportation" localSheetId="10">Table13113[Transportation]</definedName>
    <definedName name="Transportation" localSheetId="11">Table13123[Transportation]</definedName>
    <definedName name="Transportation" localSheetId="1">Table1312[Transportation]</definedName>
    <definedName name="Transportation" localSheetId="2">Table1333[Transportation]</definedName>
    <definedName name="Transportation" localSheetId="3">Table1343[Transportation]</definedName>
    <definedName name="Transportation" localSheetId="4">Table1353[Transportation]</definedName>
    <definedName name="Transportation" localSheetId="5">Table1363[Transportation]</definedName>
    <definedName name="Transportation" localSheetId="6">Table1373[Transportation]</definedName>
    <definedName name="Transportation" localSheetId="7">Table1383[Transportation]</definedName>
    <definedName name="Transportation" localSheetId="8">Table1393[Transportation]</definedName>
    <definedName name="Transportation">Table13[Transportation]</definedName>
  </definedNames>
  <calcPr calcId="152511"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 i="13" l="1"/>
  <c r="D3" i="13"/>
  <c r="C1" i="2"/>
  <c r="C1" i="4"/>
  <c r="C1" i="5"/>
  <c r="C1" i="6"/>
  <c r="C1" i="7"/>
  <c r="C1" i="8"/>
  <c r="C1" i="9"/>
  <c r="C1" i="10"/>
  <c r="C1" i="11"/>
  <c r="C1" i="12"/>
  <c r="C1" i="13"/>
  <c r="E64" i="13"/>
  <c r="F64" i="13"/>
  <c r="E65" i="13"/>
  <c r="F65" i="13"/>
  <c r="F66" i="13"/>
  <c r="E66" i="13"/>
  <c r="D66" i="13"/>
  <c r="C62" i="13"/>
  <c r="E58" i="13"/>
  <c r="F58" i="13"/>
  <c r="E59" i="13"/>
  <c r="F59" i="13"/>
  <c r="F60" i="13"/>
  <c r="E60" i="13"/>
  <c r="D60" i="13"/>
  <c r="C56" i="13"/>
  <c r="E50" i="13"/>
  <c r="F50" i="13"/>
  <c r="E51" i="13"/>
  <c r="F51" i="13"/>
  <c r="E52" i="13"/>
  <c r="F52" i="13"/>
  <c r="E53" i="13"/>
  <c r="F53" i="13"/>
  <c r="F54" i="13"/>
  <c r="E54" i="13"/>
  <c r="D54" i="13"/>
  <c r="C48" i="13"/>
  <c r="E41" i="13"/>
  <c r="F41" i="13"/>
  <c r="E42" i="13"/>
  <c r="F42" i="13"/>
  <c r="E43" i="13"/>
  <c r="F43" i="13"/>
  <c r="E44" i="13"/>
  <c r="F44" i="13"/>
  <c r="E45" i="13"/>
  <c r="F45" i="13"/>
  <c r="F46" i="13"/>
  <c r="E46" i="13"/>
  <c r="D46" i="13"/>
  <c r="S12" i="13"/>
  <c r="T12" i="13"/>
  <c r="U12" i="13"/>
  <c r="V12" i="13"/>
  <c r="S13" i="13"/>
  <c r="T13" i="13"/>
  <c r="U13" i="13"/>
  <c r="V13" i="13"/>
  <c r="S14" i="13"/>
  <c r="T14" i="13"/>
  <c r="U14" i="13"/>
  <c r="V14" i="13"/>
  <c r="S15" i="13"/>
  <c r="T15" i="13"/>
  <c r="U15" i="13"/>
  <c r="V15" i="13"/>
  <c r="S16" i="13"/>
  <c r="T16" i="13"/>
  <c r="U16" i="13"/>
  <c r="V16" i="13"/>
  <c r="S17" i="13"/>
  <c r="T17" i="13"/>
  <c r="U17" i="13"/>
  <c r="V17" i="13"/>
  <c r="S18" i="13"/>
  <c r="T18" i="13"/>
  <c r="U18" i="13"/>
  <c r="V18" i="13"/>
  <c r="S19" i="13"/>
  <c r="T19" i="13"/>
  <c r="U19" i="13"/>
  <c r="V19" i="13"/>
  <c r="S20" i="13"/>
  <c r="T20" i="13"/>
  <c r="U20" i="13"/>
  <c r="V20" i="13"/>
  <c r="S21" i="13"/>
  <c r="T21" i="13"/>
  <c r="U21" i="13"/>
  <c r="V21" i="13"/>
  <c r="S22" i="13"/>
  <c r="T22" i="13"/>
  <c r="U22" i="13"/>
  <c r="V22" i="13"/>
  <c r="S23" i="13"/>
  <c r="T23" i="13"/>
  <c r="U23" i="13"/>
  <c r="V23" i="13"/>
  <c r="S24" i="13"/>
  <c r="T24" i="13"/>
  <c r="U24" i="13"/>
  <c r="V24" i="13"/>
  <c r="S25" i="13"/>
  <c r="T25" i="13"/>
  <c r="U25" i="13"/>
  <c r="V25" i="13"/>
  <c r="S26" i="13"/>
  <c r="T26" i="13"/>
  <c r="U26" i="13"/>
  <c r="V26" i="13"/>
  <c r="S27" i="13"/>
  <c r="T27" i="13"/>
  <c r="U27" i="13"/>
  <c r="V27" i="13"/>
  <c r="S28" i="13"/>
  <c r="T28" i="13"/>
  <c r="U28" i="13"/>
  <c r="V28" i="13"/>
  <c r="S29" i="13"/>
  <c r="T29" i="13"/>
  <c r="U29" i="13"/>
  <c r="V29" i="13"/>
  <c r="S30" i="13"/>
  <c r="T30" i="13"/>
  <c r="U30" i="13"/>
  <c r="V30" i="13"/>
  <c r="S31" i="13"/>
  <c r="T31" i="13"/>
  <c r="U31" i="13"/>
  <c r="V31" i="13"/>
  <c r="S32" i="13"/>
  <c r="T32" i="13"/>
  <c r="U32" i="13"/>
  <c r="V32" i="13"/>
  <c r="S33" i="13"/>
  <c r="T33" i="13"/>
  <c r="U33" i="13"/>
  <c r="V33" i="13"/>
  <c r="S34" i="13"/>
  <c r="T34" i="13"/>
  <c r="U34" i="13"/>
  <c r="V34" i="13"/>
  <c r="S35" i="13"/>
  <c r="T35" i="13"/>
  <c r="U35" i="13"/>
  <c r="V35" i="13"/>
  <c r="S36" i="13"/>
  <c r="T36" i="13"/>
  <c r="U36" i="13"/>
  <c r="V36" i="13"/>
  <c r="S37" i="13"/>
  <c r="T37" i="13"/>
  <c r="U37" i="13"/>
  <c r="V37" i="13"/>
  <c r="S38" i="13"/>
  <c r="T38" i="13"/>
  <c r="U38" i="13"/>
  <c r="V38" i="13"/>
  <c r="S39" i="13"/>
  <c r="T39" i="13"/>
  <c r="U39" i="13"/>
  <c r="V39" i="13"/>
  <c r="S40" i="13"/>
  <c r="T40" i="13"/>
  <c r="U40" i="13"/>
  <c r="V40" i="13"/>
  <c r="S41" i="13"/>
  <c r="T41" i="13"/>
  <c r="U41" i="13"/>
  <c r="V41" i="13"/>
  <c r="S42" i="13"/>
  <c r="T42" i="13"/>
  <c r="U42" i="13"/>
  <c r="V42" i="13"/>
  <c r="V2" i="13"/>
  <c r="W12" i="13"/>
  <c r="W13" i="13"/>
  <c r="W14" i="13"/>
  <c r="W15" i="13"/>
  <c r="W16" i="13"/>
  <c r="W17" i="13"/>
  <c r="W18" i="13"/>
  <c r="W19" i="13"/>
  <c r="W20" i="13"/>
  <c r="W21" i="13"/>
  <c r="W22" i="13"/>
  <c r="W23" i="13"/>
  <c r="W24" i="13"/>
  <c r="W25" i="13"/>
  <c r="W26" i="13"/>
  <c r="W27" i="13"/>
  <c r="W28" i="13"/>
  <c r="W29" i="13"/>
  <c r="W30" i="13"/>
  <c r="W31" i="13"/>
  <c r="W32" i="13"/>
  <c r="W33" i="13"/>
  <c r="W34" i="13"/>
  <c r="W35" i="13"/>
  <c r="W36" i="13"/>
  <c r="W37" i="13"/>
  <c r="W38" i="13"/>
  <c r="W39" i="13"/>
  <c r="W40" i="13"/>
  <c r="W41" i="13"/>
  <c r="W42" i="13"/>
  <c r="C39" i="13"/>
  <c r="E33" i="13"/>
  <c r="F33" i="13"/>
  <c r="E34" i="13"/>
  <c r="F34" i="13"/>
  <c r="E35" i="13"/>
  <c r="F35" i="13"/>
  <c r="E36" i="13"/>
  <c r="F36" i="13"/>
  <c r="F37" i="13"/>
  <c r="E37" i="13"/>
  <c r="D37" i="13"/>
  <c r="C31" i="13"/>
  <c r="E20" i="13"/>
  <c r="F20" i="13"/>
  <c r="E21" i="13"/>
  <c r="F21" i="13"/>
  <c r="E22" i="13"/>
  <c r="F22" i="13"/>
  <c r="E23" i="13"/>
  <c r="F23" i="13"/>
  <c r="E24" i="13"/>
  <c r="F24" i="13"/>
  <c r="E25" i="13"/>
  <c r="F25" i="13"/>
  <c r="E26" i="13"/>
  <c r="F26" i="13"/>
  <c r="E27" i="13"/>
  <c r="F27" i="13"/>
  <c r="E28" i="13"/>
  <c r="F28" i="13"/>
  <c r="F29" i="13"/>
  <c r="E29" i="13"/>
  <c r="D29" i="13"/>
  <c r="C18" i="13"/>
  <c r="E12" i="13"/>
  <c r="F12" i="13"/>
  <c r="E13" i="13"/>
  <c r="F13" i="13"/>
  <c r="E14" i="13"/>
  <c r="F14" i="13"/>
  <c r="E15" i="13"/>
  <c r="F15" i="13"/>
  <c r="F16" i="13"/>
  <c r="E16" i="13"/>
  <c r="D16" i="13"/>
  <c r="C10" i="13"/>
  <c r="T8" i="13"/>
  <c r="S8" i="13"/>
  <c r="R8" i="13"/>
  <c r="T7" i="13"/>
  <c r="S7" i="13"/>
  <c r="R7" i="13"/>
  <c r="T6" i="13"/>
  <c r="S6" i="13"/>
  <c r="R6" i="13"/>
  <c r="F3" i="13"/>
  <c r="E4" i="13"/>
  <c r="D4" i="13"/>
  <c r="F4" i="13"/>
  <c r="E5" i="13"/>
  <c r="D5" i="13"/>
  <c r="F5" i="13"/>
  <c r="F6" i="13"/>
  <c r="E6" i="13"/>
  <c r="D6" i="13"/>
  <c r="T5" i="13"/>
  <c r="S5" i="13"/>
  <c r="R5" i="13"/>
  <c r="T4" i="13"/>
  <c r="S4" i="13"/>
  <c r="R4" i="13"/>
  <c r="T3" i="13"/>
  <c r="S3" i="13"/>
  <c r="R3" i="13"/>
  <c r="T2" i="13"/>
  <c r="S2" i="13"/>
  <c r="R2" i="13"/>
  <c r="E3" i="12"/>
  <c r="D3" i="12"/>
  <c r="E64" i="12"/>
  <c r="F64" i="12"/>
  <c r="E65" i="12"/>
  <c r="F65" i="12"/>
  <c r="F66" i="12"/>
  <c r="E66" i="12"/>
  <c r="D66" i="12"/>
  <c r="C62" i="12"/>
  <c r="E58" i="12"/>
  <c r="F58" i="12"/>
  <c r="E59" i="12"/>
  <c r="F59" i="12"/>
  <c r="F60" i="12"/>
  <c r="E60" i="12"/>
  <c r="D60" i="12"/>
  <c r="C56" i="12"/>
  <c r="E50" i="12"/>
  <c r="F50" i="12"/>
  <c r="E51" i="12"/>
  <c r="F51" i="12"/>
  <c r="E52" i="12"/>
  <c r="F52" i="12"/>
  <c r="E53" i="12"/>
  <c r="F53" i="12"/>
  <c r="F54" i="12"/>
  <c r="E54" i="12"/>
  <c r="D54" i="12"/>
  <c r="C48" i="12"/>
  <c r="E41" i="12"/>
  <c r="F41" i="12"/>
  <c r="E42" i="12"/>
  <c r="F42" i="12"/>
  <c r="E43" i="12"/>
  <c r="F43" i="12"/>
  <c r="E44" i="12"/>
  <c r="F44" i="12"/>
  <c r="E45" i="12"/>
  <c r="F45" i="12"/>
  <c r="F46" i="12"/>
  <c r="E46" i="12"/>
  <c r="D46" i="12"/>
  <c r="C39" i="12"/>
  <c r="E33" i="12"/>
  <c r="F33" i="12"/>
  <c r="E34" i="12"/>
  <c r="F34" i="12"/>
  <c r="E35" i="12"/>
  <c r="F35" i="12"/>
  <c r="E36" i="12"/>
  <c r="F36" i="12"/>
  <c r="F37" i="12"/>
  <c r="E37" i="12"/>
  <c r="D37" i="12"/>
  <c r="C31" i="12"/>
  <c r="E20" i="12"/>
  <c r="F20" i="12"/>
  <c r="E21" i="12"/>
  <c r="F21" i="12"/>
  <c r="E22" i="12"/>
  <c r="F22" i="12"/>
  <c r="E23" i="12"/>
  <c r="F23" i="12"/>
  <c r="E24" i="12"/>
  <c r="F24" i="12"/>
  <c r="E25" i="12"/>
  <c r="F25" i="12"/>
  <c r="E26" i="12"/>
  <c r="F26" i="12"/>
  <c r="E27" i="12"/>
  <c r="F27" i="12"/>
  <c r="E28" i="12"/>
  <c r="F28" i="12"/>
  <c r="F29" i="12"/>
  <c r="E29" i="12"/>
  <c r="D29" i="12"/>
  <c r="C18" i="12"/>
  <c r="E12" i="12"/>
  <c r="F12" i="12"/>
  <c r="E13" i="12"/>
  <c r="F13" i="12"/>
  <c r="E14" i="12"/>
  <c r="F14" i="12"/>
  <c r="E15" i="12"/>
  <c r="F15" i="12"/>
  <c r="F16" i="12"/>
  <c r="E16" i="12"/>
  <c r="D16" i="12"/>
  <c r="C10" i="12"/>
  <c r="T8" i="12"/>
  <c r="S8" i="12"/>
  <c r="R8" i="12"/>
  <c r="T7" i="12"/>
  <c r="S7" i="12"/>
  <c r="R7" i="12"/>
  <c r="T6" i="12"/>
  <c r="S6" i="12"/>
  <c r="R6" i="12"/>
  <c r="F3" i="12"/>
  <c r="E4" i="12"/>
  <c r="D4" i="12"/>
  <c r="F4" i="12"/>
  <c r="E5" i="12"/>
  <c r="D5" i="12"/>
  <c r="F5" i="12"/>
  <c r="F6" i="12"/>
  <c r="E6" i="12"/>
  <c r="D6" i="12"/>
  <c r="T5" i="12"/>
  <c r="S5" i="12"/>
  <c r="R5" i="12"/>
  <c r="T4" i="12"/>
  <c r="S4" i="12"/>
  <c r="R4" i="12"/>
  <c r="T3" i="12"/>
  <c r="S3" i="12"/>
  <c r="R3" i="12"/>
  <c r="T2" i="12"/>
  <c r="S2" i="12"/>
  <c r="R2" i="12"/>
  <c r="E3" i="11"/>
  <c r="D3" i="11"/>
  <c r="E64" i="11"/>
  <c r="F64" i="11"/>
  <c r="E65" i="11"/>
  <c r="F65" i="11"/>
  <c r="F66" i="11"/>
  <c r="E66" i="11"/>
  <c r="D66" i="11"/>
  <c r="C62" i="11"/>
  <c r="E58" i="11"/>
  <c r="F58" i="11"/>
  <c r="E59" i="11"/>
  <c r="F59" i="11"/>
  <c r="F60" i="11"/>
  <c r="E60" i="11"/>
  <c r="D60" i="11"/>
  <c r="C56" i="11"/>
  <c r="E50" i="11"/>
  <c r="F50" i="11"/>
  <c r="E51" i="11"/>
  <c r="F51" i="11"/>
  <c r="E52" i="11"/>
  <c r="F52" i="11"/>
  <c r="E53" i="11"/>
  <c r="F53" i="11"/>
  <c r="F54" i="11"/>
  <c r="E54" i="11"/>
  <c r="D54" i="11"/>
  <c r="C48" i="11"/>
  <c r="E41" i="11"/>
  <c r="F41" i="11"/>
  <c r="E42" i="11"/>
  <c r="F42" i="11"/>
  <c r="E43" i="11"/>
  <c r="F43" i="11"/>
  <c r="E44" i="11"/>
  <c r="F44" i="11"/>
  <c r="E45" i="11"/>
  <c r="F45" i="11"/>
  <c r="F46" i="11"/>
  <c r="E46" i="11"/>
  <c r="D46" i="11"/>
  <c r="S12" i="11"/>
  <c r="T12" i="11"/>
  <c r="U12" i="11"/>
  <c r="V12" i="11"/>
  <c r="S13" i="11"/>
  <c r="T13" i="11"/>
  <c r="U13" i="11"/>
  <c r="V13" i="11"/>
  <c r="S14" i="11"/>
  <c r="T14" i="11"/>
  <c r="U14" i="11"/>
  <c r="V14" i="11"/>
  <c r="S15" i="11"/>
  <c r="T15" i="11"/>
  <c r="U15" i="11"/>
  <c r="V15" i="11"/>
  <c r="S16" i="11"/>
  <c r="T16" i="11"/>
  <c r="U16" i="11"/>
  <c r="V16" i="11"/>
  <c r="S17" i="11"/>
  <c r="T17" i="11"/>
  <c r="U17" i="11"/>
  <c r="V17" i="11"/>
  <c r="S18" i="11"/>
  <c r="T18" i="11"/>
  <c r="U18" i="11"/>
  <c r="V18" i="11"/>
  <c r="S19" i="11"/>
  <c r="T19" i="11"/>
  <c r="U19" i="11"/>
  <c r="V19" i="11"/>
  <c r="S20" i="11"/>
  <c r="T20" i="11"/>
  <c r="U20" i="11"/>
  <c r="V20" i="11"/>
  <c r="S21" i="11"/>
  <c r="T21" i="11"/>
  <c r="U21" i="11"/>
  <c r="V21" i="11"/>
  <c r="S22" i="11"/>
  <c r="T22" i="11"/>
  <c r="U22" i="11"/>
  <c r="V22" i="11"/>
  <c r="S23" i="11"/>
  <c r="T23" i="11"/>
  <c r="U23" i="11"/>
  <c r="V23" i="11"/>
  <c r="S24" i="11"/>
  <c r="T24" i="11"/>
  <c r="U24" i="11"/>
  <c r="V24" i="11"/>
  <c r="S25" i="11"/>
  <c r="T25" i="11"/>
  <c r="U25" i="11"/>
  <c r="V25" i="11"/>
  <c r="S26" i="11"/>
  <c r="T26" i="11"/>
  <c r="U26" i="11"/>
  <c r="V26" i="11"/>
  <c r="S27" i="11"/>
  <c r="T27" i="11"/>
  <c r="U27" i="11"/>
  <c r="V27" i="11"/>
  <c r="S28" i="11"/>
  <c r="T28" i="11"/>
  <c r="U28" i="11"/>
  <c r="V28" i="11"/>
  <c r="S29" i="11"/>
  <c r="T29" i="11"/>
  <c r="U29" i="11"/>
  <c r="V29" i="11"/>
  <c r="S30" i="11"/>
  <c r="T30" i="11"/>
  <c r="U30" i="11"/>
  <c r="V30" i="11"/>
  <c r="S31" i="11"/>
  <c r="T31" i="11"/>
  <c r="U31" i="11"/>
  <c r="V31" i="11"/>
  <c r="S32" i="11"/>
  <c r="T32" i="11"/>
  <c r="U32" i="11"/>
  <c r="V32" i="11"/>
  <c r="S33" i="11"/>
  <c r="T33" i="11"/>
  <c r="U33" i="11"/>
  <c r="V33" i="11"/>
  <c r="S34" i="11"/>
  <c r="T34" i="11"/>
  <c r="U34" i="11"/>
  <c r="V34" i="11"/>
  <c r="S35" i="11"/>
  <c r="T35" i="11"/>
  <c r="U35" i="11"/>
  <c r="V35" i="11"/>
  <c r="S36" i="11"/>
  <c r="T36" i="11"/>
  <c r="U36" i="11"/>
  <c r="V36" i="11"/>
  <c r="S37" i="11"/>
  <c r="T37" i="11"/>
  <c r="U37" i="11"/>
  <c r="V37" i="11"/>
  <c r="S38" i="11"/>
  <c r="T38" i="11"/>
  <c r="U38" i="11"/>
  <c r="V38" i="11"/>
  <c r="S39" i="11"/>
  <c r="T39" i="11"/>
  <c r="U39" i="11"/>
  <c r="V39" i="11"/>
  <c r="S40" i="11"/>
  <c r="T40" i="11"/>
  <c r="U40" i="11"/>
  <c r="V40" i="11"/>
  <c r="S41" i="11"/>
  <c r="T41" i="11"/>
  <c r="U41" i="11"/>
  <c r="V41" i="11"/>
  <c r="S42" i="11"/>
  <c r="T42" i="11"/>
  <c r="U42" i="11"/>
  <c r="V42" i="11"/>
  <c r="V2" i="11"/>
  <c r="W12" i="11"/>
  <c r="W13" i="11"/>
  <c r="W14" i="11"/>
  <c r="W15" i="11"/>
  <c r="W16" i="11"/>
  <c r="W17" i="11"/>
  <c r="W18" i="11"/>
  <c r="W19" i="11"/>
  <c r="W20" i="11"/>
  <c r="W21" i="11"/>
  <c r="W22" i="11"/>
  <c r="W23" i="11"/>
  <c r="W24" i="11"/>
  <c r="W25" i="11"/>
  <c r="W26" i="11"/>
  <c r="W27" i="11"/>
  <c r="W28" i="11"/>
  <c r="W29" i="11"/>
  <c r="W30" i="11"/>
  <c r="W31" i="11"/>
  <c r="W32" i="11"/>
  <c r="W33" i="11"/>
  <c r="W34" i="11"/>
  <c r="W35" i="11"/>
  <c r="W36" i="11"/>
  <c r="W37" i="11"/>
  <c r="W38" i="11"/>
  <c r="W39" i="11"/>
  <c r="W40" i="11"/>
  <c r="W41" i="11"/>
  <c r="W42" i="11"/>
  <c r="C39" i="11"/>
  <c r="E33" i="11"/>
  <c r="F33" i="11"/>
  <c r="E34" i="11"/>
  <c r="F34" i="11"/>
  <c r="E35" i="11"/>
  <c r="F35" i="11"/>
  <c r="E36" i="11"/>
  <c r="F36" i="11"/>
  <c r="F37" i="11"/>
  <c r="E37" i="11"/>
  <c r="D37" i="11"/>
  <c r="C31" i="11"/>
  <c r="E20" i="11"/>
  <c r="F20" i="11"/>
  <c r="E21" i="11"/>
  <c r="F21" i="11"/>
  <c r="E22" i="11"/>
  <c r="F22" i="11"/>
  <c r="E23" i="11"/>
  <c r="F23" i="11"/>
  <c r="E24" i="11"/>
  <c r="F24" i="11"/>
  <c r="E25" i="11"/>
  <c r="F25" i="11"/>
  <c r="E26" i="11"/>
  <c r="F26" i="11"/>
  <c r="E27" i="11"/>
  <c r="F27" i="11"/>
  <c r="E28" i="11"/>
  <c r="F28" i="11"/>
  <c r="F29" i="11"/>
  <c r="E29" i="11"/>
  <c r="D29" i="11"/>
  <c r="C18" i="11"/>
  <c r="E12" i="11"/>
  <c r="F12" i="11"/>
  <c r="E13" i="11"/>
  <c r="F13" i="11"/>
  <c r="E14" i="11"/>
  <c r="F14" i="11"/>
  <c r="E15" i="11"/>
  <c r="F15" i="11"/>
  <c r="F16" i="11"/>
  <c r="E16" i="11"/>
  <c r="D16" i="11"/>
  <c r="C10" i="11"/>
  <c r="T8" i="11"/>
  <c r="S8" i="11"/>
  <c r="R8" i="11"/>
  <c r="T7" i="11"/>
  <c r="S7" i="11"/>
  <c r="R7" i="11"/>
  <c r="T6" i="11"/>
  <c r="S6" i="11"/>
  <c r="R6" i="11"/>
  <c r="F3" i="11"/>
  <c r="E4" i="11"/>
  <c r="D4" i="11"/>
  <c r="F4" i="11"/>
  <c r="E5" i="11"/>
  <c r="D5" i="11"/>
  <c r="F5" i="11"/>
  <c r="F6" i="11"/>
  <c r="E6" i="11"/>
  <c r="D6" i="11"/>
  <c r="T5" i="11"/>
  <c r="S5" i="11"/>
  <c r="R5" i="11"/>
  <c r="T4" i="11"/>
  <c r="S4" i="11"/>
  <c r="R4" i="11"/>
  <c r="T3" i="11"/>
  <c r="S3" i="11"/>
  <c r="R3" i="11"/>
  <c r="T2" i="11"/>
  <c r="S2" i="11"/>
  <c r="R2" i="11"/>
  <c r="E3" i="10"/>
  <c r="D3" i="10"/>
  <c r="E64" i="10"/>
  <c r="F64" i="10"/>
  <c r="E65" i="10"/>
  <c r="F65" i="10"/>
  <c r="F66" i="10"/>
  <c r="E66" i="10"/>
  <c r="D66" i="10"/>
  <c r="C62" i="10"/>
  <c r="E58" i="10"/>
  <c r="F58" i="10"/>
  <c r="E59" i="10"/>
  <c r="F59" i="10"/>
  <c r="F60" i="10"/>
  <c r="E60" i="10"/>
  <c r="D60" i="10"/>
  <c r="C56" i="10"/>
  <c r="E50" i="10"/>
  <c r="F50" i="10"/>
  <c r="E51" i="10"/>
  <c r="F51" i="10"/>
  <c r="E52" i="10"/>
  <c r="F52" i="10"/>
  <c r="E53" i="10"/>
  <c r="F53" i="10"/>
  <c r="F54" i="10"/>
  <c r="E54" i="10"/>
  <c r="D54" i="10"/>
  <c r="C48" i="10"/>
  <c r="E41" i="10"/>
  <c r="F41" i="10"/>
  <c r="E42" i="10"/>
  <c r="F42" i="10"/>
  <c r="E43" i="10"/>
  <c r="F43" i="10"/>
  <c r="E44" i="10"/>
  <c r="F44" i="10"/>
  <c r="E45" i="10"/>
  <c r="F45" i="10"/>
  <c r="F46" i="10"/>
  <c r="E46" i="10"/>
  <c r="D46" i="10"/>
  <c r="S12" i="10"/>
  <c r="T12" i="10"/>
  <c r="U12" i="10"/>
  <c r="V12" i="10"/>
  <c r="S13" i="10"/>
  <c r="T13" i="10"/>
  <c r="U13" i="10"/>
  <c r="V13" i="10"/>
  <c r="S14" i="10"/>
  <c r="T14" i="10"/>
  <c r="U14" i="10"/>
  <c r="V14" i="10"/>
  <c r="S15" i="10"/>
  <c r="T15" i="10"/>
  <c r="U15" i="10"/>
  <c r="V15" i="10"/>
  <c r="S16" i="10"/>
  <c r="T16" i="10"/>
  <c r="U16" i="10"/>
  <c r="V16" i="10"/>
  <c r="S17" i="10"/>
  <c r="T17" i="10"/>
  <c r="U17" i="10"/>
  <c r="V17" i="10"/>
  <c r="S18" i="10"/>
  <c r="T18" i="10"/>
  <c r="U18" i="10"/>
  <c r="V18" i="10"/>
  <c r="S19" i="10"/>
  <c r="T19" i="10"/>
  <c r="U19" i="10"/>
  <c r="V19" i="10"/>
  <c r="S20" i="10"/>
  <c r="T20" i="10"/>
  <c r="U20" i="10"/>
  <c r="V20" i="10"/>
  <c r="S21" i="10"/>
  <c r="T21" i="10"/>
  <c r="U21" i="10"/>
  <c r="V21" i="10"/>
  <c r="S22" i="10"/>
  <c r="T22" i="10"/>
  <c r="U22" i="10"/>
  <c r="V22" i="10"/>
  <c r="S23" i="10"/>
  <c r="T23" i="10"/>
  <c r="U23" i="10"/>
  <c r="V23" i="10"/>
  <c r="S24" i="10"/>
  <c r="T24" i="10"/>
  <c r="U24" i="10"/>
  <c r="V24" i="10"/>
  <c r="S25" i="10"/>
  <c r="T25" i="10"/>
  <c r="U25" i="10"/>
  <c r="V25" i="10"/>
  <c r="S26" i="10"/>
  <c r="T26" i="10"/>
  <c r="U26" i="10"/>
  <c r="V26" i="10"/>
  <c r="S27" i="10"/>
  <c r="T27" i="10"/>
  <c r="U27" i="10"/>
  <c r="V27" i="10"/>
  <c r="S28" i="10"/>
  <c r="T28" i="10"/>
  <c r="U28" i="10"/>
  <c r="V28" i="10"/>
  <c r="S29" i="10"/>
  <c r="T29" i="10"/>
  <c r="U29" i="10"/>
  <c r="V29" i="10"/>
  <c r="S30" i="10"/>
  <c r="T30" i="10"/>
  <c r="U30" i="10"/>
  <c r="V30" i="10"/>
  <c r="S31" i="10"/>
  <c r="T31" i="10"/>
  <c r="U31" i="10"/>
  <c r="V31" i="10"/>
  <c r="S32" i="10"/>
  <c r="T32" i="10"/>
  <c r="U32" i="10"/>
  <c r="V32" i="10"/>
  <c r="S33" i="10"/>
  <c r="T33" i="10"/>
  <c r="U33" i="10"/>
  <c r="V33" i="10"/>
  <c r="S34" i="10"/>
  <c r="T34" i="10"/>
  <c r="U34" i="10"/>
  <c r="V34" i="10"/>
  <c r="S35" i="10"/>
  <c r="T35" i="10"/>
  <c r="U35" i="10"/>
  <c r="V35" i="10"/>
  <c r="S36" i="10"/>
  <c r="T36" i="10"/>
  <c r="U36" i="10"/>
  <c r="V36" i="10"/>
  <c r="S37" i="10"/>
  <c r="T37" i="10"/>
  <c r="U37" i="10"/>
  <c r="V37" i="10"/>
  <c r="S38" i="10"/>
  <c r="T38" i="10"/>
  <c r="U38" i="10"/>
  <c r="V38" i="10"/>
  <c r="S39" i="10"/>
  <c r="T39" i="10"/>
  <c r="U39" i="10"/>
  <c r="V39" i="10"/>
  <c r="S40" i="10"/>
  <c r="T40" i="10"/>
  <c r="U40" i="10"/>
  <c r="V40" i="10"/>
  <c r="S41" i="10"/>
  <c r="T41" i="10"/>
  <c r="U41" i="10"/>
  <c r="V41" i="10"/>
  <c r="S42" i="10"/>
  <c r="T42" i="10"/>
  <c r="U42" i="10"/>
  <c r="V42" i="10"/>
  <c r="V2" i="10"/>
  <c r="W12" i="10"/>
  <c r="W13" i="10"/>
  <c r="W14" i="10"/>
  <c r="W15" i="10"/>
  <c r="W16" i="10"/>
  <c r="W17" i="10"/>
  <c r="W18" i="10"/>
  <c r="W19" i="10"/>
  <c r="W20" i="10"/>
  <c r="W21" i="10"/>
  <c r="W22" i="10"/>
  <c r="W23" i="10"/>
  <c r="W24" i="10"/>
  <c r="W25" i="10"/>
  <c r="W26" i="10"/>
  <c r="W27" i="10"/>
  <c r="W28" i="10"/>
  <c r="W29" i="10"/>
  <c r="W30" i="10"/>
  <c r="W31" i="10"/>
  <c r="W32" i="10"/>
  <c r="W33" i="10"/>
  <c r="W34" i="10"/>
  <c r="W35" i="10"/>
  <c r="W36" i="10"/>
  <c r="W37" i="10"/>
  <c r="W38" i="10"/>
  <c r="W39" i="10"/>
  <c r="W40" i="10"/>
  <c r="W41" i="10"/>
  <c r="W42" i="10"/>
  <c r="C39" i="10"/>
  <c r="E33" i="10"/>
  <c r="F33" i="10"/>
  <c r="E34" i="10"/>
  <c r="F34" i="10"/>
  <c r="E35" i="10"/>
  <c r="F35" i="10"/>
  <c r="E36" i="10"/>
  <c r="F36" i="10"/>
  <c r="F37" i="10"/>
  <c r="E37" i="10"/>
  <c r="D37" i="10"/>
  <c r="C31" i="10"/>
  <c r="E20" i="10"/>
  <c r="F20" i="10"/>
  <c r="E21" i="10"/>
  <c r="F21" i="10"/>
  <c r="E22" i="10"/>
  <c r="F22" i="10"/>
  <c r="E23" i="10"/>
  <c r="F23" i="10"/>
  <c r="E24" i="10"/>
  <c r="F24" i="10"/>
  <c r="E25" i="10"/>
  <c r="F25" i="10"/>
  <c r="E26" i="10"/>
  <c r="F26" i="10"/>
  <c r="E27" i="10"/>
  <c r="F27" i="10"/>
  <c r="E28" i="10"/>
  <c r="F28" i="10"/>
  <c r="F29" i="10"/>
  <c r="E29" i="10"/>
  <c r="D29" i="10"/>
  <c r="C18" i="10"/>
  <c r="E12" i="10"/>
  <c r="F12" i="10"/>
  <c r="E13" i="10"/>
  <c r="F13" i="10"/>
  <c r="E14" i="10"/>
  <c r="F14" i="10"/>
  <c r="E15" i="10"/>
  <c r="F15" i="10"/>
  <c r="F16" i="10"/>
  <c r="E16" i="10"/>
  <c r="D16" i="10"/>
  <c r="C10" i="10"/>
  <c r="T8" i="10"/>
  <c r="S8" i="10"/>
  <c r="R8" i="10"/>
  <c r="T7" i="10"/>
  <c r="S7" i="10"/>
  <c r="R7" i="10"/>
  <c r="T6" i="10"/>
  <c r="S6" i="10"/>
  <c r="R6" i="10"/>
  <c r="F3" i="10"/>
  <c r="E4" i="10"/>
  <c r="D4" i="10"/>
  <c r="F4" i="10"/>
  <c r="E5" i="10"/>
  <c r="D5" i="10"/>
  <c r="F5" i="10"/>
  <c r="F6" i="10"/>
  <c r="E6" i="10"/>
  <c r="D6" i="10"/>
  <c r="T5" i="10"/>
  <c r="S5" i="10"/>
  <c r="R5" i="10"/>
  <c r="T4" i="10"/>
  <c r="S4" i="10"/>
  <c r="R4" i="10"/>
  <c r="T3" i="10"/>
  <c r="S3" i="10"/>
  <c r="R3" i="10"/>
  <c r="T2" i="10"/>
  <c r="S2" i="10"/>
  <c r="R2" i="10"/>
  <c r="E3" i="9"/>
  <c r="D3" i="9"/>
  <c r="E64" i="9"/>
  <c r="F64" i="9"/>
  <c r="E65" i="9"/>
  <c r="F65" i="9"/>
  <c r="F66" i="9"/>
  <c r="E66" i="9"/>
  <c r="D66" i="9"/>
  <c r="C62" i="9"/>
  <c r="E58" i="9"/>
  <c r="F58" i="9"/>
  <c r="E59" i="9"/>
  <c r="F59" i="9"/>
  <c r="F60" i="9"/>
  <c r="E60" i="9"/>
  <c r="D60" i="9"/>
  <c r="C56" i="9"/>
  <c r="E50" i="9"/>
  <c r="F50" i="9"/>
  <c r="E51" i="9"/>
  <c r="F51" i="9"/>
  <c r="E52" i="9"/>
  <c r="F52" i="9"/>
  <c r="E53" i="9"/>
  <c r="F53" i="9"/>
  <c r="F54" i="9"/>
  <c r="E54" i="9"/>
  <c r="D54" i="9"/>
  <c r="C48" i="9"/>
  <c r="E41" i="9"/>
  <c r="F41" i="9"/>
  <c r="E42" i="9"/>
  <c r="F42" i="9"/>
  <c r="E43" i="9"/>
  <c r="F43" i="9"/>
  <c r="E44" i="9"/>
  <c r="F44" i="9"/>
  <c r="E45" i="9"/>
  <c r="F45" i="9"/>
  <c r="F46" i="9"/>
  <c r="E46" i="9"/>
  <c r="D46" i="9"/>
  <c r="S12" i="9"/>
  <c r="T12" i="9"/>
  <c r="U12" i="9"/>
  <c r="V12" i="9"/>
  <c r="S13" i="9"/>
  <c r="T13" i="9"/>
  <c r="U13" i="9"/>
  <c r="V13" i="9"/>
  <c r="S14" i="9"/>
  <c r="T14" i="9"/>
  <c r="U14" i="9"/>
  <c r="V14" i="9"/>
  <c r="S15" i="9"/>
  <c r="T15" i="9"/>
  <c r="U15" i="9"/>
  <c r="V15" i="9"/>
  <c r="S16" i="9"/>
  <c r="T16" i="9"/>
  <c r="U16" i="9"/>
  <c r="V16" i="9"/>
  <c r="S17" i="9"/>
  <c r="T17" i="9"/>
  <c r="U17" i="9"/>
  <c r="V17" i="9"/>
  <c r="S18" i="9"/>
  <c r="T18" i="9"/>
  <c r="U18" i="9"/>
  <c r="V18" i="9"/>
  <c r="S19" i="9"/>
  <c r="T19" i="9"/>
  <c r="U19" i="9"/>
  <c r="V19" i="9"/>
  <c r="S20" i="9"/>
  <c r="T20" i="9"/>
  <c r="U20" i="9"/>
  <c r="V20" i="9"/>
  <c r="S21" i="9"/>
  <c r="T21" i="9"/>
  <c r="U21" i="9"/>
  <c r="V21" i="9"/>
  <c r="S22" i="9"/>
  <c r="T22" i="9"/>
  <c r="U22" i="9"/>
  <c r="V22" i="9"/>
  <c r="S23" i="9"/>
  <c r="T23" i="9"/>
  <c r="U23" i="9"/>
  <c r="V23" i="9"/>
  <c r="S24" i="9"/>
  <c r="T24" i="9"/>
  <c r="U24" i="9"/>
  <c r="V24" i="9"/>
  <c r="S25" i="9"/>
  <c r="T25" i="9"/>
  <c r="U25" i="9"/>
  <c r="V25" i="9"/>
  <c r="S26" i="9"/>
  <c r="T26" i="9"/>
  <c r="U26" i="9"/>
  <c r="V26" i="9"/>
  <c r="S27" i="9"/>
  <c r="T27" i="9"/>
  <c r="U27" i="9"/>
  <c r="V27" i="9"/>
  <c r="S28" i="9"/>
  <c r="T28" i="9"/>
  <c r="U28" i="9"/>
  <c r="V28" i="9"/>
  <c r="S29" i="9"/>
  <c r="T29" i="9"/>
  <c r="U29" i="9"/>
  <c r="V29" i="9"/>
  <c r="S30" i="9"/>
  <c r="T30" i="9"/>
  <c r="U30" i="9"/>
  <c r="V30" i="9"/>
  <c r="S31" i="9"/>
  <c r="T31" i="9"/>
  <c r="U31" i="9"/>
  <c r="V31" i="9"/>
  <c r="S32" i="9"/>
  <c r="T32" i="9"/>
  <c r="U32" i="9"/>
  <c r="V32" i="9"/>
  <c r="S33" i="9"/>
  <c r="T33" i="9"/>
  <c r="U33" i="9"/>
  <c r="V33" i="9"/>
  <c r="S34" i="9"/>
  <c r="T34" i="9"/>
  <c r="U34" i="9"/>
  <c r="V34" i="9"/>
  <c r="S35" i="9"/>
  <c r="T35" i="9"/>
  <c r="U35" i="9"/>
  <c r="V35" i="9"/>
  <c r="S36" i="9"/>
  <c r="T36" i="9"/>
  <c r="U36" i="9"/>
  <c r="V36" i="9"/>
  <c r="S37" i="9"/>
  <c r="T37" i="9"/>
  <c r="U37" i="9"/>
  <c r="V37" i="9"/>
  <c r="S38" i="9"/>
  <c r="T38" i="9"/>
  <c r="U38" i="9"/>
  <c r="V38" i="9"/>
  <c r="S39" i="9"/>
  <c r="T39" i="9"/>
  <c r="U39" i="9"/>
  <c r="V39" i="9"/>
  <c r="S40" i="9"/>
  <c r="T40" i="9"/>
  <c r="U40" i="9"/>
  <c r="V40" i="9"/>
  <c r="S41" i="9"/>
  <c r="T41" i="9"/>
  <c r="U41" i="9"/>
  <c r="V41" i="9"/>
  <c r="S42" i="9"/>
  <c r="T42" i="9"/>
  <c r="U42" i="9"/>
  <c r="V42" i="9"/>
  <c r="V2" i="9"/>
  <c r="W12" i="9"/>
  <c r="W13" i="9"/>
  <c r="W14" i="9"/>
  <c r="W15" i="9"/>
  <c r="W16" i="9"/>
  <c r="W17" i="9"/>
  <c r="W18" i="9"/>
  <c r="W19" i="9"/>
  <c r="W20" i="9"/>
  <c r="W21" i="9"/>
  <c r="W22" i="9"/>
  <c r="W23" i="9"/>
  <c r="W24" i="9"/>
  <c r="W25" i="9"/>
  <c r="W26" i="9"/>
  <c r="W27" i="9"/>
  <c r="W28" i="9"/>
  <c r="W29" i="9"/>
  <c r="W30" i="9"/>
  <c r="W31" i="9"/>
  <c r="W32" i="9"/>
  <c r="W33" i="9"/>
  <c r="W34" i="9"/>
  <c r="W35" i="9"/>
  <c r="W36" i="9"/>
  <c r="W37" i="9"/>
  <c r="W38" i="9"/>
  <c r="W39" i="9"/>
  <c r="W40" i="9"/>
  <c r="W41" i="9"/>
  <c r="W42" i="9"/>
  <c r="C39" i="9"/>
  <c r="E33" i="9"/>
  <c r="F33" i="9"/>
  <c r="E34" i="9"/>
  <c r="F34" i="9"/>
  <c r="E35" i="9"/>
  <c r="F35" i="9"/>
  <c r="E36" i="9"/>
  <c r="F36" i="9"/>
  <c r="F37" i="9"/>
  <c r="E37" i="9"/>
  <c r="D37" i="9"/>
  <c r="C31" i="9"/>
  <c r="E20" i="9"/>
  <c r="F20" i="9"/>
  <c r="E21" i="9"/>
  <c r="F21" i="9"/>
  <c r="E22" i="9"/>
  <c r="F22" i="9"/>
  <c r="E23" i="9"/>
  <c r="F23" i="9"/>
  <c r="E24" i="9"/>
  <c r="F24" i="9"/>
  <c r="E25" i="9"/>
  <c r="F25" i="9"/>
  <c r="E26" i="9"/>
  <c r="F26" i="9"/>
  <c r="E27" i="9"/>
  <c r="F27" i="9"/>
  <c r="E28" i="9"/>
  <c r="F28" i="9"/>
  <c r="F29" i="9"/>
  <c r="E29" i="9"/>
  <c r="D29" i="9"/>
  <c r="C18" i="9"/>
  <c r="E12" i="9"/>
  <c r="F12" i="9"/>
  <c r="E13" i="9"/>
  <c r="F13" i="9"/>
  <c r="E14" i="9"/>
  <c r="F14" i="9"/>
  <c r="E15" i="9"/>
  <c r="F15" i="9"/>
  <c r="F16" i="9"/>
  <c r="E16" i="9"/>
  <c r="D16" i="9"/>
  <c r="C10" i="9"/>
  <c r="T8" i="9"/>
  <c r="S8" i="9"/>
  <c r="R8" i="9"/>
  <c r="T7" i="9"/>
  <c r="S7" i="9"/>
  <c r="R7" i="9"/>
  <c r="T6" i="9"/>
  <c r="S6" i="9"/>
  <c r="R6" i="9"/>
  <c r="F3" i="9"/>
  <c r="E4" i="9"/>
  <c r="D4" i="9"/>
  <c r="F4" i="9"/>
  <c r="E5" i="9"/>
  <c r="D5" i="9"/>
  <c r="F5" i="9"/>
  <c r="F6" i="9"/>
  <c r="E6" i="9"/>
  <c r="D6" i="9"/>
  <c r="T5" i="9"/>
  <c r="S5" i="9"/>
  <c r="R5" i="9"/>
  <c r="T4" i="9"/>
  <c r="S4" i="9"/>
  <c r="R4" i="9"/>
  <c r="T3" i="9"/>
  <c r="S3" i="9"/>
  <c r="R3" i="9"/>
  <c r="T2" i="9"/>
  <c r="S2" i="9"/>
  <c r="R2" i="9"/>
  <c r="E3" i="8"/>
  <c r="D3" i="8"/>
  <c r="E64" i="8"/>
  <c r="F64" i="8"/>
  <c r="E65" i="8"/>
  <c r="F65" i="8"/>
  <c r="F66" i="8"/>
  <c r="E66" i="8"/>
  <c r="D66" i="8"/>
  <c r="C62" i="8"/>
  <c r="E58" i="8"/>
  <c r="F58" i="8"/>
  <c r="E59" i="8"/>
  <c r="F59" i="8"/>
  <c r="F60" i="8"/>
  <c r="E60" i="8"/>
  <c r="D60" i="8"/>
  <c r="C56" i="8"/>
  <c r="E50" i="8"/>
  <c r="F50" i="8"/>
  <c r="E51" i="8"/>
  <c r="F51" i="8"/>
  <c r="E52" i="8"/>
  <c r="F52" i="8"/>
  <c r="E53" i="8"/>
  <c r="F53" i="8"/>
  <c r="F54" i="8"/>
  <c r="E54" i="8"/>
  <c r="D54" i="8"/>
  <c r="C48" i="8"/>
  <c r="E41" i="8"/>
  <c r="F41" i="8"/>
  <c r="E42" i="8"/>
  <c r="F42" i="8"/>
  <c r="E43" i="8"/>
  <c r="F43" i="8"/>
  <c r="E44" i="8"/>
  <c r="F44" i="8"/>
  <c r="E45" i="8"/>
  <c r="F45" i="8"/>
  <c r="F46" i="8"/>
  <c r="E46" i="8"/>
  <c r="D46" i="8"/>
  <c r="S12" i="8"/>
  <c r="T12" i="8"/>
  <c r="U12" i="8"/>
  <c r="V12" i="8"/>
  <c r="S13" i="8"/>
  <c r="T13" i="8"/>
  <c r="U13" i="8"/>
  <c r="V13" i="8"/>
  <c r="S14" i="8"/>
  <c r="T14" i="8"/>
  <c r="U14" i="8"/>
  <c r="V14" i="8"/>
  <c r="S15" i="8"/>
  <c r="T15" i="8"/>
  <c r="U15" i="8"/>
  <c r="V15" i="8"/>
  <c r="S16" i="8"/>
  <c r="T16" i="8"/>
  <c r="U16" i="8"/>
  <c r="V16" i="8"/>
  <c r="S17" i="8"/>
  <c r="T17" i="8"/>
  <c r="U17" i="8"/>
  <c r="V17" i="8"/>
  <c r="S18" i="8"/>
  <c r="T18" i="8"/>
  <c r="U18" i="8"/>
  <c r="V18" i="8"/>
  <c r="S19" i="8"/>
  <c r="T19" i="8"/>
  <c r="U19" i="8"/>
  <c r="V19" i="8"/>
  <c r="S20" i="8"/>
  <c r="T20" i="8"/>
  <c r="U20" i="8"/>
  <c r="V20" i="8"/>
  <c r="S21" i="8"/>
  <c r="T21" i="8"/>
  <c r="U21" i="8"/>
  <c r="V21" i="8"/>
  <c r="S22" i="8"/>
  <c r="T22" i="8"/>
  <c r="U22" i="8"/>
  <c r="V22" i="8"/>
  <c r="S23" i="8"/>
  <c r="T23" i="8"/>
  <c r="U23" i="8"/>
  <c r="V23" i="8"/>
  <c r="S24" i="8"/>
  <c r="T24" i="8"/>
  <c r="U24" i="8"/>
  <c r="V24" i="8"/>
  <c r="S25" i="8"/>
  <c r="T25" i="8"/>
  <c r="U25" i="8"/>
  <c r="V25" i="8"/>
  <c r="S26" i="8"/>
  <c r="T26" i="8"/>
  <c r="U26" i="8"/>
  <c r="V26" i="8"/>
  <c r="S27" i="8"/>
  <c r="T27" i="8"/>
  <c r="U27" i="8"/>
  <c r="V27" i="8"/>
  <c r="S28" i="8"/>
  <c r="T28" i="8"/>
  <c r="U28" i="8"/>
  <c r="V28" i="8"/>
  <c r="S29" i="8"/>
  <c r="T29" i="8"/>
  <c r="U29" i="8"/>
  <c r="V29" i="8"/>
  <c r="S30" i="8"/>
  <c r="T30" i="8"/>
  <c r="U30" i="8"/>
  <c r="V30" i="8"/>
  <c r="S31" i="8"/>
  <c r="T31" i="8"/>
  <c r="U31" i="8"/>
  <c r="V31" i="8"/>
  <c r="S32" i="8"/>
  <c r="T32" i="8"/>
  <c r="U32" i="8"/>
  <c r="V32" i="8"/>
  <c r="S33" i="8"/>
  <c r="T33" i="8"/>
  <c r="U33" i="8"/>
  <c r="V33" i="8"/>
  <c r="S34" i="8"/>
  <c r="T34" i="8"/>
  <c r="U34" i="8"/>
  <c r="V34" i="8"/>
  <c r="S35" i="8"/>
  <c r="T35" i="8"/>
  <c r="U35" i="8"/>
  <c r="V35" i="8"/>
  <c r="S36" i="8"/>
  <c r="T36" i="8"/>
  <c r="U36" i="8"/>
  <c r="V36" i="8"/>
  <c r="S37" i="8"/>
  <c r="T37" i="8"/>
  <c r="U37" i="8"/>
  <c r="V37" i="8"/>
  <c r="S38" i="8"/>
  <c r="T38" i="8"/>
  <c r="U38" i="8"/>
  <c r="V38" i="8"/>
  <c r="S39" i="8"/>
  <c r="T39" i="8"/>
  <c r="U39" i="8"/>
  <c r="V39" i="8"/>
  <c r="S40" i="8"/>
  <c r="T40" i="8"/>
  <c r="U40" i="8"/>
  <c r="V40" i="8"/>
  <c r="S41" i="8"/>
  <c r="T41" i="8"/>
  <c r="U41" i="8"/>
  <c r="V41" i="8"/>
  <c r="S42" i="8"/>
  <c r="T42" i="8"/>
  <c r="U42" i="8"/>
  <c r="V42" i="8"/>
  <c r="V2" i="8"/>
  <c r="W12" i="8"/>
  <c r="W13" i="8"/>
  <c r="W14" i="8"/>
  <c r="W15" i="8"/>
  <c r="W16" i="8"/>
  <c r="W17" i="8"/>
  <c r="W18" i="8"/>
  <c r="W19" i="8"/>
  <c r="W20" i="8"/>
  <c r="W21" i="8"/>
  <c r="W22" i="8"/>
  <c r="W23" i="8"/>
  <c r="W24" i="8"/>
  <c r="W25" i="8"/>
  <c r="W26" i="8"/>
  <c r="W27" i="8"/>
  <c r="W28" i="8"/>
  <c r="W29" i="8"/>
  <c r="W30" i="8"/>
  <c r="W31" i="8"/>
  <c r="W32" i="8"/>
  <c r="W33" i="8"/>
  <c r="W34" i="8"/>
  <c r="W35" i="8"/>
  <c r="W36" i="8"/>
  <c r="W37" i="8"/>
  <c r="W38" i="8"/>
  <c r="W39" i="8"/>
  <c r="W40" i="8"/>
  <c r="W41" i="8"/>
  <c r="W42" i="8"/>
  <c r="C39" i="8"/>
  <c r="E33" i="8"/>
  <c r="F33" i="8"/>
  <c r="E34" i="8"/>
  <c r="F34" i="8"/>
  <c r="E35" i="8"/>
  <c r="F35" i="8"/>
  <c r="E36" i="8"/>
  <c r="F36" i="8"/>
  <c r="F37" i="8"/>
  <c r="E37" i="8"/>
  <c r="D37" i="8"/>
  <c r="C31" i="8"/>
  <c r="E20" i="8"/>
  <c r="F20" i="8"/>
  <c r="E21" i="8"/>
  <c r="F21" i="8"/>
  <c r="E22" i="8"/>
  <c r="F22" i="8"/>
  <c r="E23" i="8"/>
  <c r="F23" i="8"/>
  <c r="E24" i="8"/>
  <c r="F24" i="8"/>
  <c r="E25" i="8"/>
  <c r="F25" i="8"/>
  <c r="E26" i="8"/>
  <c r="F26" i="8"/>
  <c r="E27" i="8"/>
  <c r="F27" i="8"/>
  <c r="E28" i="8"/>
  <c r="F28" i="8"/>
  <c r="F29" i="8"/>
  <c r="E29" i="8"/>
  <c r="D29" i="8"/>
  <c r="C18" i="8"/>
  <c r="E12" i="8"/>
  <c r="F12" i="8"/>
  <c r="E13" i="8"/>
  <c r="F13" i="8"/>
  <c r="E14" i="8"/>
  <c r="F14" i="8"/>
  <c r="E15" i="8"/>
  <c r="F15" i="8"/>
  <c r="F16" i="8"/>
  <c r="E16" i="8"/>
  <c r="D16" i="8"/>
  <c r="C10" i="8"/>
  <c r="T8" i="8"/>
  <c r="S8" i="8"/>
  <c r="R8" i="8"/>
  <c r="T7" i="8"/>
  <c r="S7" i="8"/>
  <c r="R7" i="8"/>
  <c r="T6" i="8"/>
  <c r="S6" i="8"/>
  <c r="R6" i="8"/>
  <c r="F3" i="8"/>
  <c r="E4" i="8"/>
  <c r="D4" i="8"/>
  <c r="F4" i="8"/>
  <c r="E5" i="8"/>
  <c r="D5" i="8"/>
  <c r="F5" i="8"/>
  <c r="F6" i="8"/>
  <c r="E6" i="8"/>
  <c r="D6" i="8"/>
  <c r="T5" i="8"/>
  <c r="S5" i="8"/>
  <c r="R5" i="8"/>
  <c r="T4" i="8"/>
  <c r="S4" i="8"/>
  <c r="R4" i="8"/>
  <c r="T3" i="8"/>
  <c r="S3" i="8"/>
  <c r="R3" i="8"/>
  <c r="T2" i="8"/>
  <c r="S2" i="8"/>
  <c r="R2" i="8"/>
  <c r="E3" i="7"/>
  <c r="D3" i="7"/>
  <c r="E64" i="7"/>
  <c r="F64" i="7"/>
  <c r="E65" i="7"/>
  <c r="F65" i="7"/>
  <c r="F66" i="7"/>
  <c r="E66" i="7"/>
  <c r="D66" i="7"/>
  <c r="C62" i="7"/>
  <c r="E58" i="7"/>
  <c r="F58" i="7"/>
  <c r="E59" i="7"/>
  <c r="F59" i="7"/>
  <c r="F60" i="7"/>
  <c r="E60" i="7"/>
  <c r="D60" i="7"/>
  <c r="C56" i="7"/>
  <c r="E50" i="7"/>
  <c r="F50" i="7"/>
  <c r="E51" i="7"/>
  <c r="F51" i="7"/>
  <c r="E52" i="7"/>
  <c r="F52" i="7"/>
  <c r="E53" i="7"/>
  <c r="F53" i="7"/>
  <c r="F54" i="7"/>
  <c r="E54" i="7"/>
  <c r="D54" i="7"/>
  <c r="C48" i="7"/>
  <c r="E41" i="7"/>
  <c r="F41" i="7"/>
  <c r="E42" i="7"/>
  <c r="F42" i="7"/>
  <c r="E43" i="7"/>
  <c r="F43" i="7"/>
  <c r="E44" i="7"/>
  <c r="F44" i="7"/>
  <c r="E45" i="7"/>
  <c r="F45" i="7"/>
  <c r="F46" i="7"/>
  <c r="E46" i="7"/>
  <c r="D46" i="7"/>
  <c r="S12" i="7"/>
  <c r="T12" i="7"/>
  <c r="U12" i="7"/>
  <c r="V12" i="7"/>
  <c r="S13" i="7"/>
  <c r="T13" i="7"/>
  <c r="U13" i="7"/>
  <c r="V13" i="7"/>
  <c r="S14" i="7"/>
  <c r="T14" i="7"/>
  <c r="U14" i="7"/>
  <c r="V14" i="7"/>
  <c r="S15" i="7"/>
  <c r="T15" i="7"/>
  <c r="U15" i="7"/>
  <c r="V15" i="7"/>
  <c r="S16" i="7"/>
  <c r="T16" i="7"/>
  <c r="U16" i="7"/>
  <c r="V16" i="7"/>
  <c r="S17" i="7"/>
  <c r="T17" i="7"/>
  <c r="U17" i="7"/>
  <c r="V17" i="7"/>
  <c r="S18" i="7"/>
  <c r="T18" i="7"/>
  <c r="U18" i="7"/>
  <c r="V18" i="7"/>
  <c r="S19" i="7"/>
  <c r="T19" i="7"/>
  <c r="U19" i="7"/>
  <c r="V19" i="7"/>
  <c r="S20" i="7"/>
  <c r="T20" i="7"/>
  <c r="U20" i="7"/>
  <c r="V20" i="7"/>
  <c r="S21" i="7"/>
  <c r="T21" i="7"/>
  <c r="U21" i="7"/>
  <c r="V21" i="7"/>
  <c r="S22" i="7"/>
  <c r="T22" i="7"/>
  <c r="U22" i="7"/>
  <c r="V22" i="7"/>
  <c r="S23" i="7"/>
  <c r="T23" i="7"/>
  <c r="U23" i="7"/>
  <c r="V23" i="7"/>
  <c r="S24" i="7"/>
  <c r="T24" i="7"/>
  <c r="U24" i="7"/>
  <c r="V24" i="7"/>
  <c r="S25" i="7"/>
  <c r="T25" i="7"/>
  <c r="U25" i="7"/>
  <c r="V25" i="7"/>
  <c r="S26" i="7"/>
  <c r="T26" i="7"/>
  <c r="U26" i="7"/>
  <c r="V26" i="7"/>
  <c r="S27" i="7"/>
  <c r="T27" i="7"/>
  <c r="U27" i="7"/>
  <c r="V27" i="7"/>
  <c r="S28" i="7"/>
  <c r="T28" i="7"/>
  <c r="U28" i="7"/>
  <c r="V28" i="7"/>
  <c r="S29" i="7"/>
  <c r="T29" i="7"/>
  <c r="U29" i="7"/>
  <c r="V29" i="7"/>
  <c r="S30" i="7"/>
  <c r="T30" i="7"/>
  <c r="U30" i="7"/>
  <c r="V30" i="7"/>
  <c r="S31" i="7"/>
  <c r="T31" i="7"/>
  <c r="U31" i="7"/>
  <c r="V31" i="7"/>
  <c r="S32" i="7"/>
  <c r="T32" i="7"/>
  <c r="U32" i="7"/>
  <c r="V32" i="7"/>
  <c r="S33" i="7"/>
  <c r="T33" i="7"/>
  <c r="U33" i="7"/>
  <c r="V33" i="7"/>
  <c r="S34" i="7"/>
  <c r="T34" i="7"/>
  <c r="U34" i="7"/>
  <c r="V34" i="7"/>
  <c r="S35" i="7"/>
  <c r="T35" i="7"/>
  <c r="U35" i="7"/>
  <c r="V35" i="7"/>
  <c r="S36" i="7"/>
  <c r="T36" i="7"/>
  <c r="U36" i="7"/>
  <c r="V36" i="7"/>
  <c r="S37" i="7"/>
  <c r="T37" i="7"/>
  <c r="U37" i="7"/>
  <c r="V37" i="7"/>
  <c r="S38" i="7"/>
  <c r="T38" i="7"/>
  <c r="U38" i="7"/>
  <c r="V38" i="7"/>
  <c r="S39" i="7"/>
  <c r="T39" i="7"/>
  <c r="U39" i="7"/>
  <c r="V39" i="7"/>
  <c r="S40" i="7"/>
  <c r="T40" i="7"/>
  <c r="U40" i="7"/>
  <c r="V40" i="7"/>
  <c r="S41" i="7"/>
  <c r="T41" i="7"/>
  <c r="U41" i="7"/>
  <c r="V41" i="7"/>
  <c r="S42" i="7"/>
  <c r="T42" i="7"/>
  <c r="U42" i="7"/>
  <c r="V42" i="7"/>
  <c r="V2" i="7"/>
  <c r="W12" i="7"/>
  <c r="W13" i="7"/>
  <c r="W14" i="7"/>
  <c r="W15" i="7"/>
  <c r="W16" i="7"/>
  <c r="W17" i="7"/>
  <c r="W18" i="7"/>
  <c r="W19" i="7"/>
  <c r="W20" i="7"/>
  <c r="W21" i="7"/>
  <c r="W22" i="7"/>
  <c r="W23" i="7"/>
  <c r="W24" i="7"/>
  <c r="W25" i="7"/>
  <c r="W26" i="7"/>
  <c r="W27" i="7"/>
  <c r="W28" i="7"/>
  <c r="W29" i="7"/>
  <c r="W30" i="7"/>
  <c r="W31" i="7"/>
  <c r="W32" i="7"/>
  <c r="W33" i="7"/>
  <c r="W34" i="7"/>
  <c r="W35" i="7"/>
  <c r="W36" i="7"/>
  <c r="W37" i="7"/>
  <c r="W38" i="7"/>
  <c r="W39" i="7"/>
  <c r="W40" i="7"/>
  <c r="W41" i="7"/>
  <c r="W42" i="7"/>
  <c r="C39" i="7"/>
  <c r="E33" i="7"/>
  <c r="F33" i="7"/>
  <c r="E34" i="7"/>
  <c r="F34" i="7"/>
  <c r="E35" i="7"/>
  <c r="F35" i="7"/>
  <c r="E36" i="7"/>
  <c r="F36" i="7"/>
  <c r="F37" i="7"/>
  <c r="E37" i="7"/>
  <c r="D37" i="7"/>
  <c r="C31" i="7"/>
  <c r="E20" i="7"/>
  <c r="F20" i="7"/>
  <c r="E21" i="7"/>
  <c r="F21" i="7"/>
  <c r="E22" i="7"/>
  <c r="F22" i="7"/>
  <c r="E23" i="7"/>
  <c r="F23" i="7"/>
  <c r="E24" i="7"/>
  <c r="F24" i="7"/>
  <c r="E25" i="7"/>
  <c r="F25" i="7"/>
  <c r="E26" i="7"/>
  <c r="F26" i="7"/>
  <c r="E27" i="7"/>
  <c r="F27" i="7"/>
  <c r="E28" i="7"/>
  <c r="F28" i="7"/>
  <c r="F29" i="7"/>
  <c r="E29" i="7"/>
  <c r="D29" i="7"/>
  <c r="C18" i="7"/>
  <c r="E12" i="7"/>
  <c r="F12" i="7"/>
  <c r="E13" i="7"/>
  <c r="F13" i="7"/>
  <c r="E14" i="7"/>
  <c r="F14" i="7"/>
  <c r="E15" i="7"/>
  <c r="F15" i="7"/>
  <c r="F16" i="7"/>
  <c r="E16" i="7"/>
  <c r="D16" i="7"/>
  <c r="C10" i="7"/>
  <c r="T8" i="7"/>
  <c r="S8" i="7"/>
  <c r="R8" i="7"/>
  <c r="T7" i="7"/>
  <c r="S7" i="7"/>
  <c r="R7" i="7"/>
  <c r="T6" i="7"/>
  <c r="S6" i="7"/>
  <c r="R6" i="7"/>
  <c r="F3" i="7"/>
  <c r="E4" i="7"/>
  <c r="D4" i="7"/>
  <c r="F4" i="7"/>
  <c r="E5" i="7"/>
  <c r="D5" i="7"/>
  <c r="F5" i="7"/>
  <c r="F6" i="7"/>
  <c r="E6" i="7"/>
  <c r="D6" i="7"/>
  <c r="T5" i="7"/>
  <c r="S5" i="7"/>
  <c r="R5" i="7"/>
  <c r="T4" i="7"/>
  <c r="S4" i="7"/>
  <c r="R4" i="7"/>
  <c r="T3" i="7"/>
  <c r="S3" i="7"/>
  <c r="R3" i="7"/>
  <c r="T2" i="7"/>
  <c r="S2" i="7"/>
  <c r="R2" i="7"/>
  <c r="E3" i="6"/>
  <c r="D3" i="6"/>
  <c r="E64" i="6"/>
  <c r="F64" i="6"/>
  <c r="E65" i="6"/>
  <c r="F65" i="6"/>
  <c r="F66" i="6"/>
  <c r="E66" i="6"/>
  <c r="D66" i="6"/>
  <c r="C62" i="6"/>
  <c r="E58" i="6"/>
  <c r="F58" i="6"/>
  <c r="E59" i="6"/>
  <c r="F59" i="6"/>
  <c r="F60" i="6"/>
  <c r="E60" i="6"/>
  <c r="D60" i="6"/>
  <c r="C56" i="6"/>
  <c r="E50" i="6"/>
  <c r="F50" i="6"/>
  <c r="E51" i="6"/>
  <c r="F51" i="6"/>
  <c r="E52" i="6"/>
  <c r="F52" i="6"/>
  <c r="E53" i="6"/>
  <c r="F53" i="6"/>
  <c r="F54" i="6"/>
  <c r="E54" i="6"/>
  <c r="D54" i="6"/>
  <c r="C48" i="6"/>
  <c r="E41" i="6"/>
  <c r="F41" i="6"/>
  <c r="E42" i="6"/>
  <c r="F42" i="6"/>
  <c r="E43" i="6"/>
  <c r="F43" i="6"/>
  <c r="E44" i="6"/>
  <c r="F44" i="6"/>
  <c r="E45" i="6"/>
  <c r="F45" i="6"/>
  <c r="F46" i="6"/>
  <c r="E46" i="6"/>
  <c r="D46" i="6"/>
  <c r="S12" i="6"/>
  <c r="T12" i="6"/>
  <c r="U12" i="6"/>
  <c r="V12" i="6"/>
  <c r="S13" i="6"/>
  <c r="T13" i="6"/>
  <c r="U13" i="6"/>
  <c r="V13" i="6"/>
  <c r="S14" i="6"/>
  <c r="T14" i="6"/>
  <c r="U14" i="6"/>
  <c r="V14" i="6"/>
  <c r="S15" i="6"/>
  <c r="T15" i="6"/>
  <c r="U15" i="6"/>
  <c r="V15" i="6"/>
  <c r="S16" i="6"/>
  <c r="T16" i="6"/>
  <c r="U16" i="6"/>
  <c r="V16" i="6"/>
  <c r="S17" i="6"/>
  <c r="T17" i="6"/>
  <c r="U17" i="6"/>
  <c r="V17" i="6"/>
  <c r="S18" i="6"/>
  <c r="T18" i="6"/>
  <c r="U18" i="6"/>
  <c r="V18" i="6"/>
  <c r="S19" i="6"/>
  <c r="T19" i="6"/>
  <c r="U19" i="6"/>
  <c r="V19" i="6"/>
  <c r="S20" i="6"/>
  <c r="T20" i="6"/>
  <c r="U20" i="6"/>
  <c r="V20" i="6"/>
  <c r="S21" i="6"/>
  <c r="T21" i="6"/>
  <c r="U21" i="6"/>
  <c r="V21" i="6"/>
  <c r="S22" i="6"/>
  <c r="T22" i="6"/>
  <c r="U22" i="6"/>
  <c r="V22" i="6"/>
  <c r="S23" i="6"/>
  <c r="T23" i="6"/>
  <c r="U23" i="6"/>
  <c r="V23" i="6"/>
  <c r="S24" i="6"/>
  <c r="T24" i="6"/>
  <c r="U24" i="6"/>
  <c r="V24" i="6"/>
  <c r="S25" i="6"/>
  <c r="T25" i="6"/>
  <c r="U25" i="6"/>
  <c r="V25" i="6"/>
  <c r="S26" i="6"/>
  <c r="T26" i="6"/>
  <c r="U26" i="6"/>
  <c r="V26" i="6"/>
  <c r="S27" i="6"/>
  <c r="T27" i="6"/>
  <c r="U27" i="6"/>
  <c r="V27" i="6"/>
  <c r="S28" i="6"/>
  <c r="T28" i="6"/>
  <c r="U28" i="6"/>
  <c r="V28" i="6"/>
  <c r="S29" i="6"/>
  <c r="T29" i="6"/>
  <c r="U29" i="6"/>
  <c r="V29" i="6"/>
  <c r="S30" i="6"/>
  <c r="T30" i="6"/>
  <c r="U30" i="6"/>
  <c r="V30" i="6"/>
  <c r="S31" i="6"/>
  <c r="T31" i="6"/>
  <c r="U31" i="6"/>
  <c r="V31" i="6"/>
  <c r="S32" i="6"/>
  <c r="T32" i="6"/>
  <c r="U32" i="6"/>
  <c r="V32" i="6"/>
  <c r="S33" i="6"/>
  <c r="T33" i="6"/>
  <c r="U33" i="6"/>
  <c r="V33" i="6"/>
  <c r="S34" i="6"/>
  <c r="T34" i="6"/>
  <c r="U34" i="6"/>
  <c r="V34" i="6"/>
  <c r="S35" i="6"/>
  <c r="T35" i="6"/>
  <c r="U35" i="6"/>
  <c r="V35" i="6"/>
  <c r="S36" i="6"/>
  <c r="T36" i="6"/>
  <c r="U36" i="6"/>
  <c r="V36" i="6"/>
  <c r="S37" i="6"/>
  <c r="T37" i="6"/>
  <c r="U37" i="6"/>
  <c r="V37" i="6"/>
  <c r="S38" i="6"/>
  <c r="T38" i="6"/>
  <c r="U38" i="6"/>
  <c r="V38" i="6"/>
  <c r="S39" i="6"/>
  <c r="T39" i="6"/>
  <c r="U39" i="6"/>
  <c r="V39" i="6"/>
  <c r="S40" i="6"/>
  <c r="T40" i="6"/>
  <c r="U40" i="6"/>
  <c r="V40" i="6"/>
  <c r="S41" i="6"/>
  <c r="T41" i="6"/>
  <c r="U41" i="6"/>
  <c r="V41" i="6"/>
  <c r="S42" i="6"/>
  <c r="T42" i="6"/>
  <c r="U42" i="6"/>
  <c r="V42" i="6"/>
  <c r="V2" i="6"/>
  <c r="W12" i="6"/>
  <c r="W13" i="6"/>
  <c r="W14" i="6"/>
  <c r="W15" i="6"/>
  <c r="W16" i="6"/>
  <c r="W17" i="6"/>
  <c r="W18" i="6"/>
  <c r="W19" i="6"/>
  <c r="W20" i="6"/>
  <c r="W21" i="6"/>
  <c r="W22" i="6"/>
  <c r="W23" i="6"/>
  <c r="W24" i="6"/>
  <c r="W25" i="6"/>
  <c r="W26" i="6"/>
  <c r="W27" i="6"/>
  <c r="W28" i="6"/>
  <c r="W29" i="6"/>
  <c r="W30" i="6"/>
  <c r="W31" i="6"/>
  <c r="W32" i="6"/>
  <c r="W33" i="6"/>
  <c r="W34" i="6"/>
  <c r="W35" i="6"/>
  <c r="W36" i="6"/>
  <c r="W37" i="6"/>
  <c r="W38" i="6"/>
  <c r="W39" i="6"/>
  <c r="W40" i="6"/>
  <c r="W41" i="6"/>
  <c r="W42" i="6"/>
  <c r="C39" i="6"/>
  <c r="E33" i="6"/>
  <c r="F33" i="6"/>
  <c r="E34" i="6"/>
  <c r="F34" i="6"/>
  <c r="E35" i="6"/>
  <c r="F35" i="6"/>
  <c r="E36" i="6"/>
  <c r="F36" i="6"/>
  <c r="F37" i="6"/>
  <c r="E37" i="6"/>
  <c r="D37" i="6"/>
  <c r="C31" i="6"/>
  <c r="E20" i="6"/>
  <c r="F20" i="6"/>
  <c r="E21" i="6"/>
  <c r="F21" i="6"/>
  <c r="E22" i="6"/>
  <c r="F22" i="6"/>
  <c r="E23" i="6"/>
  <c r="F23" i="6"/>
  <c r="E24" i="6"/>
  <c r="F24" i="6"/>
  <c r="E25" i="6"/>
  <c r="F25" i="6"/>
  <c r="E26" i="6"/>
  <c r="F26" i="6"/>
  <c r="E27" i="6"/>
  <c r="F27" i="6"/>
  <c r="E28" i="6"/>
  <c r="F28" i="6"/>
  <c r="F29" i="6"/>
  <c r="E29" i="6"/>
  <c r="D29" i="6"/>
  <c r="C18" i="6"/>
  <c r="E12" i="6"/>
  <c r="F12" i="6"/>
  <c r="E13" i="6"/>
  <c r="F13" i="6"/>
  <c r="E14" i="6"/>
  <c r="F14" i="6"/>
  <c r="E15" i="6"/>
  <c r="F15" i="6"/>
  <c r="F16" i="6"/>
  <c r="E16" i="6"/>
  <c r="D16" i="6"/>
  <c r="C10" i="6"/>
  <c r="T8" i="6"/>
  <c r="S8" i="6"/>
  <c r="R8" i="6"/>
  <c r="T7" i="6"/>
  <c r="S7" i="6"/>
  <c r="R7" i="6"/>
  <c r="T6" i="6"/>
  <c r="S6" i="6"/>
  <c r="R6" i="6"/>
  <c r="F3" i="6"/>
  <c r="E4" i="6"/>
  <c r="D4" i="6"/>
  <c r="F4" i="6"/>
  <c r="E5" i="6"/>
  <c r="D5" i="6"/>
  <c r="F5" i="6"/>
  <c r="F6" i="6"/>
  <c r="E6" i="6"/>
  <c r="D6" i="6"/>
  <c r="T5" i="6"/>
  <c r="S5" i="6"/>
  <c r="R5" i="6"/>
  <c r="T4" i="6"/>
  <c r="S4" i="6"/>
  <c r="R4" i="6"/>
  <c r="T3" i="6"/>
  <c r="S3" i="6"/>
  <c r="R3" i="6"/>
  <c r="T2" i="6"/>
  <c r="S2" i="6"/>
  <c r="R2" i="6"/>
  <c r="E64" i="5"/>
  <c r="F64" i="5"/>
  <c r="E65" i="5"/>
  <c r="F65" i="5"/>
  <c r="F66" i="5"/>
  <c r="E66" i="5"/>
  <c r="D66" i="5"/>
  <c r="C62" i="5"/>
  <c r="E58" i="5"/>
  <c r="F58" i="5"/>
  <c r="E59" i="5"/>
  <c r="F59" i="5"/>
  <c r="F60" i="5"/>
  <c r="E60" i="5"/>
  <c r="D60" i="5"/>
  <c r="C56" i="5"/>
  <c r="E50" i="5"/>
  <c r="F50" i="5"/>
  <c r="E51" i="5"/>
  <c r="F51" i="5"/>
  <c r="E52" i="5"/>
  <c r="F52" i="5"/>
  <c r="E53" i="5"/>
  <c r="F53" i="5"/>
  <c r="F54" i="5"/>
  <c r="E54" i="5"/>
  <c r="D54" i="5"/>
  <c r="C48" i="5"/>
  <c r="E41" i="5"/>
  <c r="F41" i="5"/>
  <c r="E42" i="5"/>
  <c r="F42" i="5"/>
  <c r="E43" i="5"/>
  <c r="F43" i="5"/>
  <c r="E44" i="5"/>
  <c r="F44" i="5"/>
  <c r="E45" i="5"/>
  <c r="F45" i="5"/>
  <c r="F46" i="5"/>
  <c r="E46" i="5"/>
  <c r="D46" i="5"/>
  <c r="S12" i="5"/>
  <c r="T12" i="5"/>
  <c r="U12" i="5"/>
  <c r="V12" i="5"/>
  <c r="S13" i="5"/>
  <c r="T13" i="5"/>
  <c r="U13" i="5"/>
  <c r="V13" i="5"/>
  <c r="S14" i="5"/>
  <c r="T14" i="5"/>
  <c r="U14" i="5"/>
  <c r="V14" i="5"/>
  <c r="S15" i="5"/>
  <c r="T15" i="5"/>
  <c r="U15" i="5"/>
  <c r="V15" i="5"/>
  <c r="S16" i="5"/>
  <c r="T16" i="5"/>
  <c r="U16" i="5"/>
  <c r="V16" i="5"/>
  <c r="S17" i="5"/>
  <c r="T17" i="5"/>
  <c r="U17" i="5"/>
  <c r="V17" i="5"/>
  <c r="S18" i="5"/>
  <c r="T18" i="5"/>
  <c r="U18" i="5"/>
  <c r="V18" i="5"/>
  <c r="S19" i="5"/>
  <c r="T19" i="5"/>
  <c r="U19" i="5"/>
  <c r="V19" i="5"/>
  <c r="S20" i="5"/>
  <c r="T20" i="5"/>
  <c r="U20" i="5"/>
  <c r="V20" i="5"/>
  <c r="S21" i="5"/>
  <c r="T21" i="5"/>
  <c r="U21" i="5"/>
  <c r="V21" i="5"/>
  <c r="S22" i="5"/>
  <c r="T22" i="5"/>
  <c r="U22" i="5"/>
  <c r="V22" i="5"/>
  <c r="S23" i="5"/>
  <c r="T23" i="5"/>
  <c r="U23" i="5"/>
  <c r="V23" i="5"/>
  <c r="S24" i="5"/>
  <c r="T24" i="5"/>
  <c r="U24" i="5"/>
  <c r="V24" i="5"/>
  <c r="S25" i="5"/>
  <c r="T25" i="5"/>
  <c r="U25" i="5"/>
  <c r="V25" i="5"/>
  <c r="S26" i="5"/>
  <c r="T26" i="5"/>
  <c r="U26" i="5"/>
  <c r="V26" i="5"/>
  <c r="S27" i="5"/>
  <c r="T27" i="5"/>
  <c r="U27" i="5"/>
  <c r="V27" i="5"/>
  <c r="S28" i="5"/>
  <c r="T28" i="5"/>
  <c r="U28" i="5"/>
  <c r="V28" i="5"/>
  <c r="S29" i="5"/>
  <c r="T29" i="5"/>
  <c r="U29" i="5"/>
  <c r="V29" i="5"/>
  <c r="S30" i="5"/>
  <c r="T30" i="5"/>
  <c r="U30" i="5"/>
  <c r="V30" i="5"/>
  <c r="S31" i="5"/>
  <c r="T31" i="5"/>
  <c r="U31" i="5"/>
  <c r="V31" i="5"/>
  <c r="S32" i="5"/>
  <c r="T32" i="5"/>
  <c r="U32" i="5"/>
  <c r="V32" i="5"/>
  <c r="S33" i="5"/>
  <c r="T33" i="5"/>
  <c r="U33" i="5"/>
  <c r="V33" i="5"/>
  <c r="S34" i="5"/>
  <c r="T34" i="5"/>
  <c r="U34" i="5"/>
  <c r="V34" i="5"/>
  <c r="S35" i="5"/>
  <c r="T35" i="5"/>
  <c r="U35" i="5"/>
  <c r="V35" i="5"/>
  <c r="S36" i="5"/>
  <c r="T36" i="5"/>
  <c r="U36" i="5"/>
  <c r="V36" i="5"/>
  <c r="S37" i="5"/>
  <c r="T37" i="5"/>
  <c r="U37" i="5"/>
  <c r="V37" i="5"/>
  <c r="S38" i="5"/>
  <c r="T38" i="5"/>
  <c r="U38" i="5"/>
  <c r="V38" i="5"/>
  <c r="S39" i="5"/>
  <c r="T39" i="5"/>
  <c r="U39" i="5"/>
  <c r="V39" i="5"/>
  <c r="S40" i="5"/>
  <c r="T40" i="5"/>
  <c r="U40" i="5"/>
  <c r="V40" i="5"/>
  <c r="S41" i="5"/>
  <c r="T41" i="5"/>
  <c r="U41" i="5"/>
  <c r="V41" i="5"/>
  <c r="S42" i="5"/>
  <c r="T42" i="5"/>
  <c r="U42" i="5"/>
  <c r="V42" i="5"/>
  <c r="V2"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C39" i="5"/>
  <c r="E33" i="5"/>
  <c r="F33" i="5"/>
  <c r="E34" i="5"/>
  <c r="F34" i="5"/>
  <c r="E35" i="5"/>
  <c r="F35" i="5"/>
  <c r="E36" i="5"/>
  <c r="F36" i="5"/>
  <c r="F37" i="5"/>
  <c r="E37" i="5"/>
  <c r="D37" i="5"/>
  <c r="C31" i="5"/>
  <c r="E20" i="5"/>
  <c r="F20" i="5"/>
  <c r="E21" i="5"/>
  <c r="F21" i="5"/>
  <c r="E22" i="5"/>
  <c r="F22" i="5"/>
  <c r="E23" i="5"/>
  <c r="F23" i="5"/>
  <c r="E24" i="5"/>
  <c r="F24" i="5"/>
  <c r="E25" i="5"/>
  <c r="F25" i="5"/>
  <c r="E26" i="5"/>
  <c r="F26" i="5"/>
  <c r="E27" i="5"/>
  <c r="F27" i="5"/>
  <c r="E28" i="5"/>
  <c r="F28" i="5"/>
  <c r="F29" i="5"/>
  <c r="E29" i="5"/>
  <c r="D29" i="5"/>
  <c r="C18" i="5"/>
  <c r="E12" i="5"/>
  <c r="F12" i="5"/>
  <c r="E13" i="5"/>
  <c r="F13" i="5"/>
  <c r="E14" i="5"/>
  <c r="F14" i="5"/>
  <c r="E15" i="5"/>
  <c r="F15" i="5"/>
  <c r="F16" i="5"/>
  <c r="E16" i="5"/>
  <c r="D16" i="5"/>
  <c r="C10" i="5"/>
  <c r="T8" i="5"/>
  <c r="S8" i="5"/>
  <c r="R8" i="5"/>
  <c r="T7" i="5"/>
  <c r="S7" i="5"/>
  <c r="R7" i="5"/>
  <c r="T6" i="5"/>
  <c r="S6" i="5"/>
  <c r="R6" i="5"/>
  <c r="D3" i="5"/>
  <c r="F3" i="5"/>
  <c r="E4" i="5"/>
  <c r="D4" i="5"/>
  <c r="F4" i="5"/>
  <c r="E5" i="5"/>
  <c r="D5" i="5"/>
  <c r="F5" i="5"/>
  <c r="F6" i="5"/>
  <c r="E6" i="5"/>
  <c r="D6" i="5"/>
  <c r="T5" i="5"/>
  <c r="S5" i="5"/>
  <c r="R5" i="5"/>
  <c r="T4" i="5"/>
  <c r="S4" i="5"/>
  <c r="R4" i="5"/>
  <c r="T3" i="5"/>
  <c r="S3" i="5"/>
  <c r="R3" i="5"/>
  <c r="T2" i="5"/>
  <c r="S2" i="5"/>
  <c r="R2" i="5"/>
  <c r="I20" i="1"/>
  <c r="I21" i="1"/>
  <c r="I22" i="1"/>
  <c r="I23" i="1"/>
  <c r="I24" i="1"/>
  <c r="I25" i="1"/>
  <c r="I26" i="1"/>
  <c r="I27" i="1"/>
  <c r="I28" i="1"/>
  <c r="I29" i="1"/>
  <c r="I33" i="1"/>
  <c r="I34" i="1"/>
  <c r="I35" i="1"/>
  <c r="I36" i="1"/>
  <c r="I37" i="1"/>
  <c r="I41" i="1"/>
  <c r="I42" i="1"/>
  <c r="I43" i="1"/>
  <c r="I44" i="1"/>
  <c r="I45" i="1"/>
  <c r="I46" i="1"/>
  <c r="I50" i="1"/>
  <c r="I51" i="1"/>
  <c r="I52" i="1"/>
  <c r="I53" i="1"/>
  <c r="I54" i="1"/>
  <c r="I58" i="1"/>
  <c r="I59" i="1"/>
  <c r="I60" i="1"/>
  <c r="I64" i="1"/>
  <c r="I65" i="1"/>
  <c r="I66" i="1"/>
  <c r="I5" i="1"/>
  <c r="I12" i="1"/>
  <c r="I13" i="1"/>
  <c r="I14" i="1"/>
  <c r="I15" i="1"/>
  <c r="I16" i="1"/>
  <c r="I4" i="1"/>
  <c r="I6" i="1"/>
  <c r="E3" i="2"/>
  <c r="E6" i="2"/>
  <c r="E3" i="4"/>
  <c r="H16" i="1"/>
  <c r="H4" i="1"/>
  <c r="H29" i="1"/>
  <c r="H37" i="1"/>
  <c r="H46" i="1"/>
  <c r="H54" i="1"/>
  <c r="H60" i="1"/>
  <c r="H66" i="1"/>
  <c r="H5" i="1"/>
  <c r="H3" i="1"/>
  <c r="H6" i="1"/>
  <c r="D3" i="2"/>
  <c r="D6" i="2"/>
  <c r="D3" i="4"/>
  <c r="E64" i="4"/>
  <c r="F64" i="4"/>
  <c r="E65" i="4"/>
  <c r="F65" i="4"/>
  <c r="F66" i="4"/>
  <c r="E66" i="4"/>
  <c r="D66" i="4"/>
  <c r="C62" i="4"/>
  <c r="E58" i="4"/>
  <c r="F58" i="4"/>
  <c r="E59" i="4"/>
  <c r="F59" i="4"/>
  <c r="F60" i="4"/>
  <c r="E60" i="4"/>
  <c r="D60" i="4"/>
  <c r="C56" i="4"/>
  <c r="E50" i="4"/>
  <c r="F50" i="4"/>
  <c r="E51" i="4"/>
  <c r="F51" i="4"/>
  <c r="E52" i="4"/>
  <c r="F52" i="4"/>
  <c r="E53" i="4"/>
  <c r="F53" i="4"/>
  <c r="F54" i="4"/>
  <c r="E54" i="4"/>
  <c r="D54" i="4"/>
  <c r="C48" i="4"/>
  <c r="E41" i="4"/>
  <c r="F41" i="4"/>
  <c r="E42" i="4"/>
  <c r="F42" i="4"/>
  <c r="E43" i="4"/>
  <c r="F43" i="4"/>
  <c r="E44" i="4"/>
  <c r="F44" i="4"/>
  <c r="E45" i="4"/>
  <c r="F45" i="4"/>
  <c r="F46" i="4"/>
  <c r="E46" i="4"/>
  <c r="D46" i="4"/>
  <c r="S12" i="4"/>
  <c r="T12" i="4"/>
  <c r="U12" i="4"/>
  <c r="V12" i="4"/>
  <c r="S13" i="4"/>
  <c r="T13" i="4"/>
  <c r="U13" i="4"/>
  <c r="V13" i="4"/>
  <c r="S14" i="4"/>
  <c r="T14" i="4"/>
  <c r="U14" i="4"/>
  <c r="V14" i="4"/>
  <c r="S15" i="4"/>
  <c r="T15" i="4"/>
  <c r="U15" i="4"/>
  <c r="V15" i="4"/>
  <c r="S16" i="4"/>
  <c r="T16" i="4"/>
  <c r="U16" i="4"/>
  <c r="V16" i="4"/>
  <c r="S17" i="4"/>
  <c r="T17" i="4"/>
  <c r="U17" i="4"/>
  <c r="V17" i="4"/>
  <c r="S18" i="4"/>
  <c r="T18" i="4"/>
  <c r="U18" i="4"/>
  <c r="V18" i="4"/>
  <c r="S19" i="4"/>
  <c r="T19" i="4"/>
  <c r="U19" i="4"/>
  <c r="V19" i="4"/>
  <c r="S20" i="4"/>
  <c r="T20" i="4"/>
  <c r="U20" i="4"/>
  <c r="V20" i="4"/>
  <c r="S21" i="4"/>
  <c r="T21" i="4"/>
  <c r="U21" i="4"/>
  <c r="V21" i="4"/>
  <c r="S22" i="4"/>
  <c r="T22" i="4"/>
  <c r="U22" i="4"/>
  <c r="V22" i="4"/>
  <c r="S23" i="4"/>
  <c r="T23" i="4"/>
  <c r="U23" i="4"/>
  <c r="V23" i="4"/>
  <c r="S24" i="4"/>
  <c r="T24" i="4"/>
  <c r="U24" i="4"/>
  <c r="V24" i="4"/>
  <c r="S25" i="4"/>
  <c r="T25" i="4"/>
  <c r="U25" i="4"/>
  <c r="V25" i="4"/>
  <c r="S26" i="4"/>
  <c r="T26" i="4"/>
  <c r="U26" i="4"/>
  <c r="V26" i="4"/>
  <c r="S27" i="4"/>
  <c r="T27" i="4"/>
  <c r="U27" i="4"/>
  <c r="V27" i="4"/>
  <c r="S28" i="4"/>
  <c r="T28" i="4"/>
  <c r="U28" i="4"/>
  <c r="V28" i="4"/>
  <c r="S29" i="4"/>
  <c r="T29" i="4"/>
  <c r="U29" i="4"/>
  <c r="V29" i="4"/>
  <c r="S30" i="4"/>
  <c r="T30" i="4"/>
  <c r="U30" i="4"/>
  <c r="V30" i="4"/>
  <c r="S31" i="4"/>
  <c r="T31" i="4"/>
  <c r="U31" i="4"/>
  <c r="V31" i="4"/>
  <c r="S32" i="4"/>
  <c r="T32" i="4"/>
  <c r="U32" i="4"/>
  <c r="V32" i="4"/>
  <c r="S33" i="4"/>
  <c r="T33" i="4"/>
  <c r="U33" i="4"/>
  <c r="V33" i="4"/>
  <c r="S34" i="4"/>
  <c r="T34" i="4"/>
  <c r="U34" i="4"/>
  <c r="V34" i="4"/>
  <c r="S35" i="4"/>
  <c r="T35" i="4"/>
  <c r="U35" i="4"/>
  <c r="V35" i="4"/>
  <c r="S36" i="4"/>
  <c r="T36" i="4"/>
  <c r="U36" i="4"/>
  <c r="V36" i="4"/>
  <c r="S37" i="4"/>
  <c r="T37" i="4"/>
  <c r="U37" i="4"/>
  <c r="V37" i="4"/>
  <c r="S38" i="4"/>
  <c r="T38" i="4"/>
  <c r="U38" i="4"/>
  <c r="V38" i="4"/>
  <c r="S39" i="4"/>
  <c r="T39" i="4"/>
  <c r="U39" i="4"/>
  <c r="V39" i="4"/>
  <c r="S40" i="4"/>
  <c r="T40" i="4"/>
  <c r="U40" i="4"/>
  <c r="V40" i="4"/>
  <c r="S41" i="4"/>
  <c r="T41" i="4"/>
  <c r="U41" i="4"/>
  <c r="V41" i="4"/>
  <c r="S42" i="4"/>
  <c r="T42" i="4"/>
  <c r="U42" i="4"/>
  <c r="V42" i="4"/>
  <c r="V2"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C39" i="4"/>
  <c r="E33" i="4"/>
  <c r="F33" i="4"/>
  <c r="E34" i="4"/>
  <c r="F34" i="4"/>
  <c r="E35" i="4"/>
  <c r="F35" i="4"/>
  <c r="E36" i="4"/>
  <c r="F36" i="4"/>
  <c r="F37" i="4"/>
  <c r="E37" i="4"/>
  <c r="D37" i="4"/>
  <c r="C31" i="4"/>
  <c r="E20" i="4"/>
  <c r="F20" i="4"/>
  <c r="E21" i="4"/>
  <c r="F21" i="4"/>
  <c r="E22" i="4"/>
  <c r="F22" i="4"/>
  <c r="E23" i="4"/>
  <c r="F23" i="4"/>
  <c r="E24" i="4"/>
  <c r="F24" i="4"/>
  <c r="E25" i="4"/>
  <c r="F25" i="4"/>
  <c r="E26" i="4"/>
  <c r="F26" i="4"/>
  <c r="E27" i="4"/>
  <c r="F27" i="4"/>
  <c r="E28" i="4"/>
  <c r="F28" i="4"/>
  <c r="F29" i="4"/>
  <c r="E29" i="4"/>
  <c r="D29" i="4"/>
  <c r="C18" i="4"/>
  <c r="E12" i="4"/>
  <c r="F12" i="4"/>
  <c r="E13" i="4"/>
  <c r="F13" i="4"/>
  <c r="E14" i="4"/>
  <c r="F14" i="4"/>
  <c r="E15" i="4"/>
  <c r="F15" i="4"/>
  <c r="F16" i="4"/>
  <c r="E16" i="4"/>
  <c r="D16" i="4"/>
  <c r="C10" i="4"/>
  <c r="T8" i="4"/>
  <c r="S8" i="4"/>
  <c r="R8" i="4"/>
  <c r="T7" i="4"/>
  <c r="S7" i="4"/>
  <c r="R7" i="4"/>
  <c r="T6" i="4"/>
  <c r="S6" i="4"/>
  <c r="R6" i="4"/>
  <c r="F3" i="4"/>
  <c r="E4" i="4"/>
  <c r="D4" i="4"/>
  <c r="F4" i="4"/>
  <c r="E5" i="4"/>
  <c r="D5" i="4"/>
  <c r="F5" i="4"/>
  <c r="F6" i="4"/>
  <c r="E6" i="4"/>
  <c r="D6" i="4"/>
  <c r="T5" i="4"/>
  <c r="S5" i="4"/>
  <c r="R5" i="4"/>
  <c r="T4" i="4"/>
  <c r="S4" i="4"/>
  <c r="R4" i="4"/>
  <c r="T3" i="4"/>
  <c r="S3" i="4"/>
  <c r="R3" i="4"/>
  <c r="T2" i="4"/>
  <c r="S2" i="4"/>
  <c r="R2" i="4"/>
  <c r="E64" i="2"/>
  <c r="F64" i="2"/>
  <c r="E65" i="2"/>
  <c r="F65" i="2"/>
  <c r="F66" i="2"/>
  <c r="E66" i="2"/>
  <c r="D66" i="2"/>
  <c r="C62" i="2"/>
  <c r="E58" i="2"/>
  <c r="F58" i="2"/>
  <c r="E59" i="2"/>
  <c r="F59" i="2"/>
  <c r="F60" i="2"/>
  <c r="E60" i="2"/>
  <c r="D60" i="2"/>
  <c r="C56" i="2"/>
  <c r="E50" i="2"/>
  <c r="F50" i="2"/>
  <c r="E51" i="2"/>
  <c r="F51" i="2"/>
  <c r="E52" i="2"/>
  <c r="F52" i="2"/>
  <c r="E53" i="2"/>
  <c r="F53" i="2"/>
  <c r="F54" i="2"/>
  <c r="E54" i="2"/>
  <c r="D54" i="2"/>
  <c r="C48" i="2"/>
  <c r="E41" i="2"/>
  <c r="F41" i="2"/>
  <c r="E42" i="2"/>
  <c r="F42" i="2"/>
  <c r="E43" i="2"/>
  <c r="F43" i="2"/>
  <c r="E44" i="2"/>
  <c r="F44" i="2"/>
  <c r="E45" i="2"/>
  <c r="F45" i="2"/>
  <c r="F46" i="2"/>
  <c r="E46" i="2"/>
  <c r="D46" i="2"/>
  <c r="S12" i="2"/>
  <c r="T12" i="2"/>
  <c r="U12" i="2"/>
  <c r="V12" i="2"/>
  <c r="S13" i="2"/>
  <c r="T13" i="2"/>
  <c r="U13" i="2"/>
  <c r="V13" i="2"/>
  <c r="S14" i="2"/>
  <c r="T14" i="2"/>
  <c r="U14" i="2"/>
  <c r="V14" i="2"/>
  <c r="S15" i="2"/>
  <c r="T15" i="2"/>
  <c r="U15" i="2"/>
  <c r="V15" i="2"/>
  <c r="S16" i="2"/>
  <c r="T16" i="2"/>
  <c r="U16" i="2"/>
  <c r="V16" i="2"/>
  <c r="S17" i="2"/>
  <c r="T17" i="2"/>
  <c r="U17" i="2"/>
  <c r="V17" i="2"/>
  <c r="S18" i="2"/>
  <c r="T18" i="2"/>
  <c r="U18" i="2"/>
  <c r="V18" i="2"/>
  <c r="S19" i="2"/>
  <c r="T19" i="2"/>
  <c r="U19" i="2"/>
  <c r="V19" i="2"/>
  <c r="S20" i="2"/>
  <c r="T20" i="2"/>
  <c r="U20" i="2"/>
  <c r="V20" i="2"/>
  <c r="S21" i="2"/>
  <c r="T21" i="2"/>
  <c r="U21" i="2"/>
  <c r="V21" i="2"/>
  <c r="S22" i="2"/>
  <c r="T22" i="2"/>
  <c r="U22" i="2"/>
  <c r="V22" i="2"/>
  <c r="S23" i="2"/>
  <c r="T23" i="2"/>
  <c r="U23" i="2"/>
  <c r="V23" i="2"/>
  <c r="S24" i="2"/>
  <c r="T24" i="2"/>
  <c r="U24" i="2"/>
  <c r="V24" i="2"/>
  <c r="S25" i="2"/>
  <c r="T25" i="2"/>
  <c r="U25" i="2"/>
  <c r="V25" i="2"/>
  <c r="S26" i="2"/>
  <c r="T26" i="2"/>
  <c r="U26" i="2"/>
  <c r="V26" i="2"/>
  <c r="S27" i="2"/>
  <c r="T27" i="2"/>
  <c r="U27" i="2"/>
  <c r="V27" i="2"/>
  <c r="S28" i="2"/>
  <c r="T28" i="2"/>
  <c r="U28" i="2"/>
  <c r="V28" i="2"/>
  <c r="S29" i="2"/>
  <c r="T29" i="2"/>
  <c r="U29" i="2"/>
  <c r="V29" i="2"/>
  <c r="S30" i="2"/>
  <c r="T30" i="2"/>
  <c r="U30" i="2"/>
  <c r="V30" i="2"/>
  <c r="S31" i="2"/>
  <c r="T31" i="2"/>
  <c r="U31" i="2"/>
  <c r="V31" i="2"/>
  <c r="S32" i="2"/>
  <c r="T32" i="2"/>
  <c r="U32" i="2"/>
  <c r="V32" i="2"/>
  <c r="S33" i="2"/>
  <c r="T33" i="2"/>
  <c r="U33" i="2"/>
  <c r="V33" i="2"/>
  <c r="S34" i="2"/>
  <c r="T34" i="2"/>
  <c r="U34" i="2"/>
  <c r="V34" i="2"/>
  <c r="S35" i="2"/>
  <c r="T35" i="2"/>
  <c r="U35" i="2"/>
  <c r="V35" i="2"/>
  <c r="S36" i="2"/>
  <c r="T36" i="2"/>
  <c r="U36" i="2"/>
  <c r="V36" i="2"/>
  <c r="S37" i="2"/>
  <c r="T37" i="2"/>
  <c r="U37" i="2"/>
  <c r="V37" i="2"/>
  <c r="S38" i="2"/>
  <c r="T38" i="2"/>
  <c r="U38" i="2"/>
  <c r="V38" i="2"/>
  <c r="S39" i="2"/>
  <c r="T39" i="2"/>
  <c r="U39" i="2"/>
  <c r="V39" i="2"/>
  <c r="S40" i="2"/>
  <c r="T40" i="2"/>
  <c r="U40" i="2"/>
  <c r="V40" i="2"/>
  <c r="S41" i="2"/>
  <c r="T41" i="2"/>
  <c r="U41" i="2"/>
  <c r="V41" i="2"/>
  <c r="S42" i="2"/>
  <c r="T42" i="2"/>
  <c r="U42" i="2"/>
  <c r="V42" i="2"/>
  <c r="V2"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C39" i="2"/>
  <c r="E33" i="2"/>
  <c r="F33" i="2"/>
  <c r="E34" i="2"/>
  <c r="F34" i="2"/>
  <c r="E35" i="2"/>
  <c r="F35" i="2"/>
  <c r="E36" i="2"/>
  <c r="F36" i="2"/>
  <c r="F37" i="2"/>
  <c r="E37" i="2"/>
  <c r="D37" i="2"/>
  <c r="C31" i="2"/>
  <c r="E20" i="2"/>
  <c r="F20" i="2"/>
  <c r="E21" i="2"/>
  <c r="F21" i="2"/>
  <c r="E22" i="2"/>
  <c r="F22" i="2"/>
  <c r="E23" i="2"/>
  <c r="F23" i="2"/>
  <c r="E24" i="2"/>
  <c r="F24" i="2"/>
  <c r="E25" i="2"/>
  <c r="F25" i="2"/>
  <c r="E26" i="2"/>
  <c r="F26" i="2"/>
  <c r="E27" i="2"/>
  <c r="F27" i="2"/>
  <c r="E28" i="2"/>
  <c r="F28" i="2"/>
  <c r="F29" i="2"/>
  <c r="E29" i="2"/>
  <c r="D29" i="2"/>
  <c r="C18" i="2"/>
  <c r="E12" i="2"/>
  <c r="F12" i="2"/>
  <c r="E13" i="2"/>
  <c r="F13" i="2"/>
  <c r="E14" i="2"/>
  <c r="F14" i="2"/>
  <c r="E15" i="2"/>
  <c r="F15" i="2"/>
  <c r="F16" i="2"/>
  <c r="E16" i="2"/>
  <c r="D16" i="2"/>
  <c r="C10" i="2"/>
  <c r="T8" i="2"/>
  <c r="S8" i="2"/>
  <c r="R8" i="2"/>
  <c r="T7" i="2"/>
  <c r="S7" i="2"/>
  <c r="R7" i="2"/>
  <c r="T6" i="2"/>
  <c r="S6" i="2"/>
  <c r="R6" i="2"/>
  <c r="F3" i="2"/>
  <c r="E4" i="2"/>
  <c r="D4" i="2"/>
  <c r="F4" i="2"/>
  <c r="E5" i="2"/>
  <c r="D5" i="2"/>
  <c r="F5" i="2"/>
  <c r="F6" i="2"/>
  <c r="T5" i="2"/>
  <c r="S5" i="2"/>
  <c r="R5" i="2"/>
  <c r="T4" i="2"/>
  <c r="S4" i="2"/>
  <c r="R4" i="2"/>
  <c r="T3" i="2"/>
  <c r="S3" i="2"/>
  <c r="R3" i="2"/>
  <c r="T2" i="2"/>
  <c r="S2" i="2"/>
  <c r="R2" i="2"/>
  <c r="W12" i="1"/>
  <c r="Y12" i="1"/>
  <c r="X12" i="1"/>
  <c r="Z12" i="1"/>
  <c r="J65" i="1"/>
  <c r="J45" i="1"/>
  <c r="J44" i="1"/>
  <c r="J43" i="1"/>
  <c r="J53" i="1"/>
  <c r="J52" i="1"/>
  <c r="W13" i="1"/>
  <c r="X13" i="1"/>
  <c r="Y13" i="1"/>
  <c r="Z13" i="1"/>
  <c r="W14" i="1"/>
  <c r="X14" i="1"/>
  <c r="Y14" i="1"/>
  <c r="Z14" i="1"/>
  <c r="W15" i="1"/>
  <c r="X15" i="1"/>
  <c r="Y15" i="1"/>
  <c r="Z15" i="1"/>
  <c r="W16" i="1"/>
  <c r="X16" i="1"/>
  <c r="Y16" i="1"/>
  <c r="Z16" i="1"/>
  <c r="W17" i="1"/>
  <c r="X17" i="1"/>
  <c r="Y17" i="1"/>
  <c r="Z17" i="1"/>
  <c r="W18" i="1"/>
  <c r="X18" i="1"/>
  <c r="Y18" i="1"/>
  <c r="Z18" i="1"/>
  <c r="W19" i="1"/>
  <c r="X19" i="1"/>
  <c r="Y19" i="1"/>
  <c r="Z19" i="1"/>
  <c r="W20" i="1"/>
  <c r="X20" i="1"/>
  <c r="Y20" i="1"/>
  <c r="Z20" i="1"/>
  <c r="W21" i="1"/>
  <c r="X21" i="1"/>
  <c r="Y21" i="1"/>
  <c r="Z21" i="1"/>
  <c r="W22" i="1"/>
  <c r="X22" i="1"/>
  <c r="Y22" i="1"/>
  <c r="Z22" i="1"/>
  <c r="W23" i="1"/>
  <c r="X23" i="1"/>
  <c r="Y23" i="1"/>
  <c r="Z23" i="1"/>
  <c r="W24" i="1"/>
  <c r="X24" i="1"/>
  <c r="Y24" i="1"/>
  <c r="Z24" i="1"/>
  <c r="W25" i="1"/>
  <c r="X25" i="1"/>
  <c r="Y25" i="1"/>
  <c r="Z25" i="1"/>
  <c r="W26" i="1"/>
  <c r="X26" i="1"/>
  <c r="Y26" i="1"/>
  <c r="Z26" i="1"/>
  <c r="W27" i="1"/>
  <c r="X27" i="1"/>
  <c r="Y27" i="1"/>
  <c r="Z27" i="1"/>
  <c r="W28" i="1"/>
  <c r="X28" i="1"/>
  <c r="Y28" i="1"/>
  <c r="Z28" i="1"/>
  <c r="W29" i="1"/>
  <c r="X29" i="1"/>
  <c r="Y29" i="1"/>
  <c r="Z29" i="1"/>
  <c r="W30" i="1"/>
  <c r="X30" i="1"/>
  <c r="Y30" i="1"/>
  <c r="Z30" i="1"/>
  <c r="W31" i="1"/>
  <c r="X31" i="1"/>
  <c r="Y31" i="1"/>
  <c r="Z31" i="1"/>
  <c r="W32" i="1"/>
  <c r="X32" i="1"/>
  <c r="Y32" i="1"/>
  <c r="Z32" i="1"/>
  <c r="W33" i="1"/>
  <c r="X33" i="1"/>
  <c r="Y33" i="1"/>
  <c r="Z33" i="1"/>
  <c r="W34" i="1"/>
  <c r="X34" i="1"/>
  <c r="Y34" i="1"/>
  <c r="Z34" i="1"/>
  <c r="W35" i="1"/>
  <c r="X35" i="1"/>
  <c r="Y35" i="1"/>
  <c r="Z35" i="1"/>
  <c r="W36" i="1"/>
  <c r="X36" i="1"/>
  <c r="Y36" i="1"/>
  <c r="Z36" i="1"/>
  <c r="W37" i="1"/>
  <c r="X37" i="1"/>
  <c r="Y37" i="1"/>
  <c r="Z37" i="1"/>
  <c r="W38" i="1"/>
  <c r="X38" i="1"/>
  <c r="Y38" i="1"/>
  <c r="Z38" i="1"/>
  <c r="W39" i="1"/>
  <c r="X39" i="1"/>
  <c r="Y39" i="1"/>
  <c r="Z39" i="1"/>
  <c r="W40" i="1"/>
  <c r="X40" i="1"/>
  <c r="Y40" i="1"/>
  <c r="Z40" i="1"/>
  <c r="W41" i="1"/>
  <c r="X41" i="1"/>
  <c r="Y41" i="1"/>
  <c r="Z41" i="1"/>
  <c r="W42" i="1"/>
  <c r="X42" i="1"/>
  <c r="Y42" i="1"/>
  <c r="Z42" i="1"/>
  <c r="Z2"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X8" i="1"/>
  <c r="W8" i="1"/>
  <c r="X7" i="1"/>
  <c r="W7" i="1"/>
  <c r="X6" i="1"/>
  <c r="W6" i="1"/>
  <c r="X5" i="1"/>
  <c r="W5" i="1"/>
  <c r="X4" i="1"/>
  <c r="W4" i="1"/>
  <c r="X3" i="1"/>
  <c r="W3" i="1"/>
  <c r="X2" i="1"/>
  <c r="W2" i="1"/>
  <c r="G62" i="1"/>
  <c r="G56" i="1"/>
  <c r="G48" i="1"/>
  <c r="G39" i="1"/>
  <c r="G31" i="1"/>
  <c r="G18" i="1"/>
  <c r="G10" i="1"/>
  <c r="J15" i="1"/>
  <c r="J64" i="1"/>
  <c r="J28" i="1"/>
  <c r="J36" i="1"/>
  <c r="J12" i="1"/>
  <c r="J13" i="1"/>
  <c r="J14" i="1"/>
  <c r="V2" i="1"/>
  <c r="V3" i="1"/>
  <c r="V4" i="1"/>
  <c r="V5" i="1"/>
  <c r="V6" i="1"/>
  <c r="V7" i="1"/>
  <c r="V8" i="1"/>
  <c r="J3" i="1"/>
  <c r="J42" i="1"/>
  <c r="J35" i="1"/>
  <c r="J59" i="1"/>
  <c r="J51" i="1"/>
  <c r="J33" i="1"/>
  <c r="J34" i="1"/>
  <c r="J20" i="1"/>
  <c r="J21" i="1"/>
  <c r="J22" i="1"/>
  <c r="J23" i="1"/>
  <c r="J24" i="1"/>
  <c r="J25" i="1"/>
  <c r="J26" i="1"/>
  <c r="J27" i="1"/>
  <c r="J41" i="1"/>
  <c r="J46" i="1"/>
  <c r="J66" i="1"/>
  <c r="J58" i="1"/>
  <c r="J60" i="1"/>
  <c r="J50" i="1"/>
  <c r="J54" i="1"/>
  <c r="J37" i="1"/>
  <c r="J16" i="1"/>
  <c r="J29" i="1"/>
  <c r="J4" i="1"/>
  <c r="J5" i="1"/>
  <c r="J6" i="1"/>
  <c r="S12" i="12"/>
  <c r="U12" i="12"/>
  <c r="S13" i="12"/>
  <c r="T13" i="12"/>
  <c r="U13" i="12"/>
  <c r="S14" i="12"/>
  <c r="T14" i="12"/>
  <c r="U14" i="12"/>
  <c r="S15" i="12"/>
  <c r="T15" i="12"/>
  <c r="U15" i="12"/>
  <c r="S16" i="12"/>
  <c r="T16" i="12"/>
  <c r="U16" i="12"/>
  <c r="S17" i="12"/>
  <c r="T17" i="12"/>
  <c r="U17" i="12"/>
  <c r="S18" i="12"/>
  <c r="T18" i="12"/>
  <c r="U18" i="12"/>
  <c r="S19" i="12"/>
  <c r="T19" i="12"/>
  <c r="U19" i="12"/>
  <c r="S20" i="12"/>
  <c r="T20" i="12"/>
  <c r="U20" i="12"/>
  <c r="S21" i="12"/>
  <c r="T21" i="12"/>
  <c r="U21" i="12"/>
  <c r="S22" i="12"/>
  <c r="T22" i="12"/>
  <c r="U22" i="12"/>
  <c r="S23" i="12"/>
  <c r="T23" i="12"/>
  <c r="U23" i="12"/>
  <c r="S24" i="12"/>
  <c r="T24" i="12"/>
  <c r="U24" i="12"/>
  <c r="S25" i="12"/>
  <c r="T25" i="12"/>
  <c r="U25" i="12"/>
  <c r="S26" i="12"/>
  <c r="T26" i="12"/>
  <c r="U26" i="12"/>
  <c r="S27" i="12"/>
  <c r="T27" i="12"/>
  <c r="U27" i="12"/>
  <c r="S28" i="12"/>
  <c r="T28" i="12"/>
  <c r="U28" i="12"/>
  <c r="S29" i="12"/>
  <c r="T29" i="12"/>
  <c r="U29" i="12"/>
  <c r="S30" i="12"/>
  <c r="T30" i="12"/>
  <c r="U30" i="12"/>
  <c r="S31" i="12"/>
  <c r="T31" i="12"/>
  <c r="U31" i="12"/>
  <c r="S32" i="12"/>
  <c r="T32" i="12"/>
  <c r="U32" i="12"/>
  <c r="S33" i="12"/>
  <c r="T33" i="12"/>
  <c r="U33" i="12"/>
  <c r="S34" i="12"/>
  <c r="T34" i="12"/>
  <c r="U34" i="12"/>
  <c r="S35" i="12"/>
  <c r="T35" i="12"/>
  <c r="U35" i="12"/>
  <c r="S36" i="12"/>
  <c r="T36" i="12"/>
  <c r="U36" i="12"/>
  <c r="S37" i="12"/>
  <c r="T37" i="12"/>
  <c r="U37" i="12"/>
  <c r="S38" i="12"/>
  <c r="T38" i="12"/>
  <c r="U38" i="12"/>
  <c r="S39" i="12"/>
  <c r="T39" i="12"/>
  <c r="U39" i="12"/>
  <c r="S40" i="12"/>
  <c r="T40" i="12"/>
  <c r="U40" i="12"/>
  <c r="S41" i="12"/>
  <c r="T41" i="12"/>
  <c r="U41" i="12"/>
  <c r="S42" i="12"/>
  <c r="T42" i="12"/>
  <c r="U42" i="12"/>
  <c r="T12" i="12"/>
  <c r="V12" i="12"/>
  <c r="V13" i="12"/>
  <c r="V14" i="12"/>
  <c r="V15" i="12"/>
  <c r="V16" i="12"/>
  <c r="V17" i="12"/>
  <c r="V18" i="12"/>
  <c r="V19" i="12"/>
  <c r="V20" i="12"/>
  <c r="V21" i="12"/>
  <c r="V22" i="12"/>
  <c r="V23" i="12"/>
  <c r="V24" i="12"/>
  <c r="V25" i="12"/>
  <c r="V26" i="12"/>
  <c r="V27" i="12"/>
  <c r="V28" i="12"/>
  <c r="V29" i="12"/>
  <c r="V30" i="12"/>
  <c r="V31" i="12"/>
  <c r="V32" i="12"/>
  <c r="V33" i="12"/>
  <c r="V34" i="12"/>
  <c r="V35" i="12"/>
  <c r="V36" i="12"/>
  <c r="V37" i="12"/>
  <c r="V38" i="12"/>
  <c r="V39" i="12"/>
  <c r="V40" i="12"/>
  <c r="V41" i="12"/>
  <c r="V42" i="12"/>
  <c r="V2" i="12"/>
  <c r="W12" i="12"/>
  <c r="W13" i="12"/>
  <c r="W14" i="12"/>
  <c r="W15" i="12"/>
  <c r="W16" i="12"/>
  <c r="W17" i="12"/>
  <c r="W18" i="12"/>
  <c r="W19" i="12"/>
  <c r="W20" i="12"/>
  <c r="W21" i="12"/>
  <c r="W22" i="12"/>
  <c r="W23" i="12"/>
  <c r="W24" i="12"/>
  <c r="W25" i="12"/>
  <c r="W26" i="12"/>
  <c r="W27" i="12"/>
  <c r="W28" i="12"/>
  <c r="W29" i="12"/>
  <c r="W30" i="12"/>
  <c r="W31" i="12"/>
  <c r="W32" i="12"/>
  <c r="W33" i="12"/>
  <c r="W34" i="12"/>
  <c r="W35" i="12"/>
  <c r="W36" i="12"/>
  <c r="W37" i="12"/>
  <c r="W38" i="12"/>
  <c r="W39" i="12"/>
  <c r="W40" i="12"/>
  <c r="W41" i="12"/>
  <c r="W42" i="12"/>
</calcChain>
</file>

<file path=xl/comments1.xml><?xml version="1.0" encoding="utf-8"?>
<comments xmlns="http://schemas.openxmlformats.org/spreadsheetml/2006/main">
  <authors>
    <author>Robert McQuaig</author>
  </authors>
  <commentList>
    <comment ref="G1" authorId="0" shapeId="0">
      <text>
        <r>
          <rPr>
            <sz val="9"/>
            <color indexed="81"/>
            <rFont val="Tahoma"/>
            <family val="2"/>
          </rPr>
          <t>Enter the starting month in M/D/YY format</t>
        </r>
      </text>
    </comment>
    <comment ref="I3" authorId="0" shapeId="0">
      <text>
        <r>
          <rPr>
            <sz val="9"/>
            <color indexed="81"/>
            <rFont val="Tahoma"/>
            <family val="2"/>
          </rPr>
          <t>Enter your starting balance</t>
        </r>
      </text>
    </comment>
    <comment ref="G10" authorId="0" shapeId="0">
      <text>
        <r>
          <rPr>
            <sz val="9"/>
            <color indexed="81"/>
            <rFont val="Tahoma"/>
            <family val="2"/>
          </rPr>
          <t>Enter information in the description and budget section ONLY. Calculations are default in the 'Actual' and 'Variance' columns
Tip: to add a new budgeted item, simply select the last cell in the last row (in this example 'variance'-&gt;'other' and press the [TAB] button. Presto! A new record is added! To delete a record, simply highlite the table row, right-click, and select delete table row.
Note: You can use this tip for all 7 budgeting sections below.</t>
        </r>
      </text>
    </comment>
    <comment ref="N10" authorId="0" shapeId="0">
      <text>
        <r>
          <rPr>
            <sz val="9"/>
            <color indexed="81"/>
            <rFont val="Tahoma"/>
            <family val="2"/>
          </rPr>
          <t xml:space="preserve">Use this section to enter in planned income. To do so, place a planned credit amount and planned date into the sheet. Select the 'income' category and respective sub-category.
NOTE: Do not use any category except for 'income' category here. Doing so will break the template.
You can set status of this item to help keep track of it, and once the actual number is available, enter the actual amount on the line. </t>
        </r>
      </text>
    </comment>
    <comment ref="W10" authorId="0" shapeId="0">
      <text>
        <r>
          <rPr>
            <sz val="9"/>
            <color indexed="81"/>
            <rFont val="Tahoma"/>
            <family val="2"/>
          </rPr>
          <t>This section will display your account balance along the way. Ensure that historical dates are accurate so that your forecasted dates are too :-)</t>
        </r>
      </text>
    </comment>
    <comment ref="N17" authorId="0" shapeId="0">
      <text>
        <r>
          <rPr>
            <sz val="9"/>
            <color indexed="81"/>
            <rFont val="Tahoma"/>
            <family val="2"/>
          </rPr>
          <t>Use this section to enter in planned debits. To do so, place a planned debit amount and planned date into the table. Select a category and sub category (any category except 'income' category).
You can set status of this item to help keep track of it, and once the actual number is available, enter the actual amount on the line. 
NOTE: Do not select an 'income' category in this table, it will not calculate against this category if selected.</t>
        </r>
      </text>
    </comment>
    <comment ref="G19" authorId="0" shapeId="0">
      <text>
        <r>
          <rPr>
            <sz val="9"/>
            <color indexed="81"/>
            <rFont val="Tahoma"/>
            <family val="2"/>
          </rPr>
          <t>Change the budget category name by entering a new name here.
Note: You can do this for all budget categories EXCEPT the income category. Altering the income category will break the template!</t>
        </r>
      </text>
    </comment>
    <comment ref="N33" authorId="0" shapeId="0">
      <text>
        <r>
          <rPr>
            <sz val="9"/>
            <color indexed="81"/>
            <rFont val="Tahoma"/>
            <charset val="1"/>
          </rPr>
          <t>Use this table to enter in all other transactions to map to your budget items. They can be any transaction (debit or credit) and will map to any category and budget created.
You would use this to enter grocery trips. For instance, you can budget $400 a month for grocery on the left, but not likely you will go to the grocery store only one time that month. So perhaps you plan going and spending $300, which you would enter in the table above. However, you now have $100 balance remaining that you will use to pick up odds and ends along the way. Those odds and ends you would enter in this table.</t>
        </r>
      </text>
    </comment>
  </commentList>
</comments>
</file>

<file path=xl/sharedStrings.xml><?xml version="1.0" encoding="utf-8"?>
<sst xmlns="http://schemas.openxmlformats.org/spreadsheetml/2006/main" count="1041" uniqueCount="83">
  <si>
    <t>Category</t>
  </si>
  <si>
    <t>Budget</t>
  </si>
  <si>
    <t>Actual</t>
  </si>
  <si>
    <t>Mortgage</t>
  </si>
  <si>
    <t>Electricity</t>
  </si>
  <si>
    <t>Water</t>
  </si>
  <si>
    <t>Gas</t>
  </si>
  <si>
    <t>Supplies</t>
  </si>
  <si>
    <t>Housing</t>
  </si>
  <si>
    <t>Description</t>
  </si>
  <si>
    <t>Date</t>
  </si>
  <si>
    <t>Amount</t>
  </si>
  <si>
    <t>Transportation</t>
  </si>
  <si>
    <t>Sub-Category</t>
  </si>
  <si>
    <t>Variance</t>
  </si>
  <si>
    <t>Income</t>
  </si>
  <si>
    <t>Status</t>
  </si>
  <si>
    <t>Scheduled</t>
  </si>
  <si>
    <t>Cleared</t>
  </si>
  <si>
    <t>Pending</t>
  </si>
  <si>
    <t>Total</t>
  </si>
  <si>
    <t>Debit</t>
  </si>
  <si>
    <t>Credit</t>
  </si>
  <si>
    <t>Balance</t>
  </si>
  <si>
    <t>Entertainment</t>
  </si>
  <si>
    <t>Living</t>
  </si>
  <si>
    <t>Dining Out</t>
  </si>
  <si>
    <t>Misc.</t>
  </si>
  <si>
    <t>Fuel</t>
  </si>
  <si>
    <t>Other</t>
  </si>
  <si>
    <t>Bills</t>
  </si>
  <si>
    <t>Grocery</t>
  </si>
  <si>
    <t>Total Inflow</t>
  </si>
  <si>
    <t>Total Outflow</t>
  </si>
  <si>
    <t>Difference</t>
  </si>
  <si>
    <t>BOM Balance</t>
  </si>
  <si>
    <t>Internet</t>
  </si>
  <si>
    <t>Television</t>
  </si>
  <si>
    <t>Telephone</t>
  </si>
  <si>
    <t>Insurance</t>
  </si>
  <si>
    <t>Account Balance / Tracking &amp; Forecast</t>
  </si>
  <si>
    <t>Dry Cleaning</t>
  </si>
  <si>
    <t>Budgeted Credits</t>
  </si>
  <si>
    <t>Budgeted Debits</t>
  </si>
  <si>
    <t>All Other Transactions</t>
  </si>
  <si>
    <t>Min Bal</t>
  </si>
  <si>
    <t>Company A</t>
  </si>
  <si>
    <t>Company B</t>
  </si>
  <si>
    <t>Side Work</t>
  </si>
  <si>
    <t>Phone Company</t>
  </si>
  <si>
    <t>HoA</t>
  </si>
  <si>
    <t>Mortgage Company</t>
  </si>
  <si>
    <t>Water Company</t>
  </si>
  <si>
    <t>Gas Company</t>
  </si>
  <si>
    <t>Electric Company</t>
  </si>
  <si>
    <t>Telephone Company</t>
  </si>
  <si>
    <t>Insurance Company</t>
  </si>
  <si>
    <t>Credit Card Company</t>
  </si>
  <si>
    <t>Auto Finance Company 1</t>
  </si>
  <si>
    <t>Television Company</t>
  </si>
  <si>
    <t>Auto 1</t>
  </si>
  <si>
    <t>Auto 2</t>
  </si>
  <si>
    <t>Credit Card 1</t>
  </si>
  <si>
    <t>Credit Card 2</t>
  </si>
  <si>
    <t>Bill 1</t>
  </si>
  <si>
    <t>Bill 2</t>
  </si>
  <si>
    <t>Bill 3</t>
  </si>
  <si>
    <t>Work Spend 1</t>
  </si>
  <si>
    <t>Work Spend 2</t>
  </si>
  <si>
    <t>Pet Products</t>
  </si>
  <si>
    <t>Home Improvement</t>
  </si>
  <si>
    <t>Lunch @ Subway</t>
  </si>
  <si>
    <t>New Dishes</t>
  </si>
  <si>
    <t>Auto Finance Company 2</t>
  </si>
  <si>
    <t>Paycheck A</t>
  </si>
  <si>
    <t>Paycheck B</t>
  </si>
  <si>
    <t>Checkbook / Register by Robert McQuaig Blog</t>
  </si>
  <si>
    <t>Article:</t>
  </si>
  <si>
    <t>All Templates:</t>
  </si>
  <si>
    <t>Excel Templates by Robert McQuaig</t>
  </si>
  <si>
    <t>© 2012-2013 Robert McQuaig Blog</t>
  </si>
  <si>
    <t>TIP: Hover over the yellow highlighted sections for tips on how to use that section.</t>
  </si>
  <si>
    <t>Monthly Personal Budget Tracking</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</si>
</sst>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quot;$&quot;* #,##0.00_);_(&quot;$&quot;* \(#,##0.00\);_(&quot;$&quot;* &quot;-&quot;??_);_(@_)"/>
    <numFmt numFmtId="164" formatCode="[$-409]d\-mmm\-yy;@"/>
    <numFmt numFmtId="165" formatCode="ddd\-m/d"/>
    <numFmt numFmtId="166" formatCode="m/d\ \(ddd\)"/>
    <numFmt numFmtId="167" formatCode="mmmm\-yyyy"/>
  </numFmts>
  <fonts count="22" x14ac:knownFonts="1">
    <font>
      <sz val="11"/>
      <color theme="1"/>
      <name val="Calibri"/>
      <family val="2"/>
      <scheme val="minor"/>
    </font>
    <font>
      <sz val="11"/>
      <color theme="1"/>
      <name val="Calibri"/>
      <family val="2"/>
      <scheme val="minor"/>
    </font>
    <font>
      <sz val="9"/>
      <color theme="1"/>
      <name val="Segoe UI"/>
      <family val="2"/>
    </font>
    <font>
      <b/>
      <sz val="9"/>
      <color theme="1"/>
      <name val="Segoe UI"/>
      <family val="2"/>
    </font>
    <font>
      <sz val="9"/>
      <color theme="0" tint="-4.9989318521683403E-2"/>
      <name val="Segoe UI"/>
      <family val="2"/>
    </font>
    <font>
      <b/>
      <sz val="9"/>
      <color theme="0" tint="-4.9989318521683403E-2"/>
      <name val="Segoe UI"/>
      <family val="2"/>
    </font>
    <font>
      <b/>
      <sz val="20"/>
      <color theme="1"/>
      <name val="Myriad Pro"/>
      <family val="2"/>
    </font>
    <font>
      <sz val="9"/>
      <color theme="0" tint="-4.9989318521683403E-2"/>
      <name val="Segoe UI"/>
    </font>
    <font>
      <sz val="9"/>
      <color theme="1"/>
      <name val="Segoe UI"/>
    </font>
    <font>
      <b/>
      <sz val="9"/>
      <color theme="1" tint="0.249977111117893"/>
      <name val="Segoe UI"/>
      <family val="2"/>
    </font>
    <font>
      <sz val="9"/>
      <color theme="7" tint="0.79998168889431442"/>
      <name val="Segoe UI"/>
      <family val="2"/>
    </font>
    <font>
      <b/>
      <sz val="9"/>
      <color theme="7" tint="0.79998168889431442"/>
      <name val="Segoe UI"/>
      <family val="2"/>
    </font>
    <font>
      <sz val="9"/>
      <name val="Segoe UI"/>
      <family val="2"/>
    </font>
    <font>
      <sz val="9"/>
      <color rgb="FFC00000"/>
      <name val="Segoe UI"/>
      <family val="2"/>
    </font>
    <font>
      <sz val="9"/>
      <color theme="0"/>
      <name val="Calibri"/>
      <family val="2"/>
      <scheme val="minor"/>
    </font>
    <font>
      <b/>
      <sz val="11"/>
      <color theme="1"/>
      <name val="Calibri"/>
      <family val="2"/>
      <scheme val="minor"/>
    </font>
    <font>
      <sz val="9"/>
      <color indexed="81"/>
      <name val="Tahoma"/>
      <charset val="1"/>
    </font>
    <font>
      <sz val="9"/>
      <color indexed="81"/>
      <name val="Tahoma"/>
      <family val="2"/>
    </font>
    <font>
      <sz val="9"/>
      <color theme="1" tint="0.249977111117893"/>
      <name val="Segoe UI"/>
      <family val="2"/>
    </font>
    <font>
      <sz val="8"/>
      <color theme="1" tint="0.249977111117893"/>
      <name val="Segoe UI"/>
      <family val="2"/>
    </font>
    <font>
      <u/>
      <sz val="8"/>
      <color theme="4" tint="-0.249977111117893"/>
      <name val="Segoe UI"/>
      <family val="2"/>
    </font>
    <font>
      <b/>
      <sz val="8"/>
      <color theme="1" tint="0.249977111117893"/>
      <name val="Segoe UI"/>
      <family val="2"/>
    </font>
  </fonts>
  <fills count="8">
    <fill>
      <patternFill patternType="none"/>
    </fill>
    <fill>
      <patternFill patternType="gray125"/>
    </fill>
    <fill>
      <patternFill patternType="solid">
        <fgColor theme="0" tint="-4.9989318521683403E-2"/>
        <bgColor indexed="64"/>
      </patternFill>
    </fill>
    <fill>
      <patternFill patternType="solid">
        <fgColor theme="1" tint="0.249977111117893"/>
        <bgColor indexed="64"/>
      </patternFill>
    </fill>
    <fill>
      <patternFill patternType="solid">
        <fgColor theme="0" tint="-4.9989318521683403E-2"/>
        <bgColor theme="8" tint="0.79998168889431442"/>
      </patternFill>
    </fill>
    <fill>
      <patternFill patternType="solid">
        <fgColor theme="8" tint="-0.499984740745262"/>
        <bgColor indexed="64"/>
      </patternFill>
    </fill>
    <fill>
      <patternFill patternType="solid">
        <fgColor rgb="FFC00000"/>
        <bgColor indexed="64"/>
      </patternFill>
    </fill>
    <fill>
      <patternFill patternType="solid">
        <fgColor theme="7" tint="0.79998168889431442"/>
        <bgColor indexed="64"/>
      </patternFill>
    </fill>
  </fills>
  <borders count="22">
    <border>
      <left/>
      <right/>
      <top/>
      <bottom/>
      <diagonal/>
    </border>
    <border>
      <left style="thin">
        <color theme="8"/>
      </left>
      <right style="thin">
        <color theme="8"/>
      </right>
      <top style="thin">
        <color theme="8"/>
      </top>
      <bottom style="thin">
        <color theme="8"/>
      </bottom>
      <diagonal/>
    </border>
    <border>
      <left style="thin">
        <color theme="8"/>
      </left>
      <right style="thin">
        <color theme="8"/>
      </right>
      <top/>
      <bottom style="medium">
        <color theme="8"/>
      </bottom>
      <diagonal/>
    </border>
    <border>
      <left style="thin">
        <color theme="8"/>
      </left>
      <right style="thin">
        <color theme="8"/>
      </right>
      <top style="thin">
        <color theme="8"/>
      </top>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7" tint="-0.24994659260841701"/>
      </left>
      <right style="thin">
        <color theme="7" tint="-0.24994659260841701"/>
      </right>
      <top style="thin">
        <color theme="7" tint="-0.24994659260841701"/>
      </top>
      <bottom style="thin">
        <color theme="7" tint="-0.24994659260841701"/>
      </bottom>
      <diagonal/>
    </border>
    <border>
      <left style="thin">
        <color theme="8"/>
      </left>
      <right style="thin">
        <color theme="8"/>
      </right>
      <top/>
      <bottom/>
      <diagonal/>
    </border>
    <border>
      <left style="thin">
        <color theme="7" tint="-0.24994659260841701"/>
      </left>
      <right/>
      <top style="thin">
        <color theme="7" tint="-0.24994659260841701"/>
      </top>
      <bottom style="thin">
        <color theme="7" tint="-0.24994659260841701"/>
      </bottom>
      <diagonal/>
    </border>
    <border>
      <left/>
      <right/>
      <top style="thin">
        <color theme="7" tint="-0.24994659260841701"/>
      </top>
      <bottom style="thin">
        <color theme="7" tint="-0.24994659260841701"/>
      </bottom>
      <diagonal/>
    </border>
    <border>
      <left/>
      <right style="thin">
        <color theme="7" tint="-0.24994659260841701"/>
      </right>
      <top style="thin">
        <color theme="7" tint="-0.24994659260841701"/>
      </top>
      <bottom style="thin">
        <color theme="7" tint="-0.24994659260841701"/>
      </bottom>
      <diagonal/>
    </border>
    <border>
      <left style="thin">
        <color theme="8"/>
      </left>
      <right/>
      <top style="thin">
        <color theme="8"/>
      </top>
      <bottom style="thin">
        <color theme="8"/>
      </bottom>
      <diagonal/>
    </border>
    <border>
      <left/>
      <right style="thin">
        <color theme="8"/>
      </right>
      <top style="thin">
        <color theme="8"/>
      </top>
      <bottom style="thin">
        <color theme="8"/>
      </bottom>
      <diagonal/>
    </border>
    <border>
      <left style="thin">
        <color theme="8"/>
      </left>
      <right style="thin">
        <color theme="8"/>
      </right>
      <top/>
      <bottom style="thin">
        <color theme="8"/>
      </bottom>
      <diagonal/>
    </border>
    <border>
      <left style="thin">
        <color theme="0" tint="-0.24994659260841701"/>
      </left>
      <right/>
      <top style="thin">
        <color theme="0" tint="-0.24994659260841701"/>
      </top>
      <bottom/>
      <diagonal/>
    </border>
    <border>
      <left style="thin">
        <color theme="7" tint="-0.24994659260841701"/>
      </left>
      <right/>
      <top style="thin">
        <color theme="7" tint="-0.24994659260841701"/>
      </top>
      <bottom/>
      <diagonal/>
    </border>
    <border>
      <left/>
      <right/>
      <top style="thin">
        <color theme="7" tint="-0.24994659260841701"/>
      </top>
      <bottom/>
      <diagonal/>
    </border>
    <border>
      <left/>
      <right style="thin">
        <color theme="7" tint="-0.24994659260841701"/>
      </right>
      <top style="thin">
        <color theme="7" tint="-0.24994659260841701"/>
      </top>
      <bottom/>
      <diagonal/>
    </border>
    <border>
      <left style="thin">
        <color theme="7" tint="-0.24994659260841701"/>
      </left>
      <right/>
      <top/>
      <bottom style="thin">
        <color theme="7" tint="-0.24994659260841701"/>
      </bottom>
      <diagonal/>
    </border>
    <border>
      <left/>
      <right/>
      <top/>
      <bottom style="thin">
        <color theme="7" tint="-0.24994659260841701"/>
      </bottom>
      <diagonal/>
    </border>
    <border>
      <left/>
      <right style="thin">
        <color theme="7" tint="-0.24994659260841701"/>
      </right>
      <top/>
      <bottom style="thin">
        <color theme="7" tint="-0.24994659260841701"/>
      </bottom>
      <diagonal/>
    </border>
  </borders>
  <cellStyleXfs count="2">
    <xf numFmtId="0" fontId="0" fillId="0" borderId="0"/>
    <xf numFmtId="44" fontId="1" fillId="0" borderId="0" applyFont="0" applyFill="0" applyBorder="0" applyAlignment="0" applyProtection="0"/>
  </cellStyleXfs>
  <cellXfs count="73">
    <xf numFmtId="0" fontId="0" fillId="0" borderId="0" xfId="0"/>
    <xf numFmtId="0" fontId="2" fillId="0" borderId="0" xfId="0" applyFont="1"/>
    <xf numFmtId="44" fontId="2" fillId="0" borderId="0" xfId="1" applyFont="1"/>
    <xf numFmtId="44" fontId="2" fillId="0" borderId="0" xfId="1" applyNumberFormat="1" applyFont="1"/>
    <xf numFmtId="164" fontId="2" fillId="0" borderId="0" xfId="0" applyNumberFormat="1" applyFont="1"/>
    <xf numFmtId="44" fontId="2" fillId="0" borderId="1" xfId="1" applyFont="1" applyBorder="1"/>
    <xf numFmtId="0" fontId="4" fillId="3" borderId="0" xfId="0" applyFont="1" applyFill="1"/>
    <xf numFmtId="44" fontId="4" fillId="3" borderId="0" xfId="0" applyNumberFormat="1" applyFont="1" applyFill="1"/>
    <xf numFmtId="165" fontId="2" fillId="0" borderId="0" xfId="0" applyNumberFormat="1" applyFont="1" applyAlignment="1">
      <alignment horizontal="left"/>
    </xf>
    <xf numFmtId="0" fontId="7" fillId="3" borderId="0" xfId="0" applyFont="1" applyFill="1"/>
    <xf numFmtId="44" fontId="7" fillId="3" borderId="0" xfId="0" applyNumberFormat="1" applyFont="1" applyFill="1"/>
    <xf numFmtId="0" fontId="8" fillId="0" borderId="0" xfId="0" applyFont="1"/>
    <xf numFmtId="44" fontId="8" fillId="0" borderId="0" xfId="1" applyFont="1"/>
    <xf numFmtId="44" fontId="8" fillId="0" borderId="0" xfId="1" applyNumberFormat="1" applyFont="1"/>
    <xf numFmtId="44" fontId="2" fillId="0" borderId="1" xfId="0" applyNumberFormat="1" applyFont="1" applyBorder="1"/>
    <xf numFmtId="0" fontId="5" fillId="3" borderId="1" xfId="0" applyFont="1" applyFill="1" applyBorder="1"/>
    <xf numFmtId="44" fontId="5" fillId="3" borderId="1" xfId="0" applyNumberFormat="1" applyFont="1" applyFill="1" applyBorder="1"/>
    <xf numFmtId="0" fontId="2" fillId="2" borderId="1" xfId="0" applyFont="1" applyFill="1" applyBorder="1"/>
    <xf numFmtId="44" fontId="5" fillId="3" borderId="3" xfId="1" applyFont="1" applyFill="1" applyBorder="1" applyAlignment="1">
      <alignment horizontal="center"/>
    </xf>
    <xf numFmtId="0" fontId="5" fillId="3" borderId="3" xfId="0" applyFont="1" applyFill="1" applyBorder="1" applyAlignment="1">
      <alignment horizontal="center"/>
    </xf>
    <xf numFmtId="0" fontId="4" fillId="0" borderId="0" xfId="0" applyFont="1" applyFill="1"/>
    <xf numFmtId="44" fontId="4" fillId="0" borderId="0" xfId="0" applyNumberFormat="1" applyFont="1" applyFill="1"/>
    <xf numFmtId="44" fontId="4" fillId="0" borderId="0" xfId="1" applyNumberFormat="1" applyFont="1" applyFill="1"/>
    <xf numFmtId="44" fontId="7" fillId="0" borderId="0" xfId="0" applyNumberFormat="1" applyFont="1" applyFill="1"/>
    <xf numFmtId="164" fontId="8" fillId="0" borderId="0" xfId="0" applyNumberFormat="1" applyFont="1"/>
    <xf numFmtId="0" fontId="3" fillId="0" borderId="0" xfId="0" applyFont="1"/>
    <xf numFmtId="0" fontId="7" fillId="0" borderId="0" xfId="0" applyFont="1" applyFill="1"/>
    <xf numFmtId="166" fontId="2" fillId="4" borderId="1" xfId="0" applyNumberFormat="1" applyFont="1" applyFill="1" applyBorder="1" applyAlignment="1">
      <alignment horizontal="left"/>
    </xf>
    <xf numFmtId="44" fontId="2" fillId="0" borderId="1" xfId="1" applyFont="1" applyFill="1" applyBorder="1"/>
    <xf numFmtId="44" fontId="2" fillId="2" borderId="1" xfId="1" applyFont="1" applyFill="1" applyBorder="1"/>
    <xf numFmtId="166" fontId="2" fillId="0" borderId="1" xfId="0" applyNumberFormat="1" applyFont="1" applyFill="1" applyBorder="1" applyAlignment="1">
      <alignment horizontal="left"/>
    </xf>
    <xf numFmtId="0" fontId="10" fillId="5" borderId="0" xfId="0" applyFont="1" applyFill="1"/>
    <xf numFmtId="0" fontId="2" fillId="0" borderId="0" xfId="0" applyFont="1" applyFill="1" applyBorder="1"/>
    <xf numFmtId="0" fontId="12" fillId="0" borderId="0" xfId="0" applyFont="1" applyFill="1" applyBorder="1"/>
    <xf numFmtId="44" fontId="12" fillId="0" borderId="0" xfId="0" applyNumberFormat="1" applyFont="1" applyFill="1" applyBorder="1"/>
    <xf numFmtId="0" fontId="3" fillId="0" borderId="0" xfId="0" applyFont="1" applyFill="1" applyBorder="1"/>
    <xf numFmtId="44" fontId="2" fillId="0" borderId="0" xfId="1" applyFont="1" applyFill="1" applyBorder="1"/>
    <xf numFmtId="0" fontId="9" fillId="2" borderId="4" xfId="0" applyFont="1" applyFill="1" applyBorder="1"/>
    <xf numFmtId="0" fontId="9" fillId="2" borderId="6" xfId="0" applyFont="1" applyFill="1" applyBorder="1"/>
    <xf numFmtId="0" fontId="9" fillId="2" borderId="5" xfId="0" applyFont="1" applyFill="1" applyBorder="1"/>
    <xf numFmtId="0" fontId="11" fillId="5" borderId="2" xfId="0" applyFont="1" applyFill="1" applyBorder="1"/>
    <xf numFmtId="0" fontId="3" fillId="6" borderId="0" xfId="0" applyFont="1" applyFill="1"/>
    <xf numFmtId="0" fontId="2" fillId="6" borderId="0" xfId="0" applyFont="1" applyFill="1"/>
    <xf numFmtId="44" fontId="2" fillId="6" borderId="0" xfId="1" applyFont="1" applyFill="1"/>
    <xf numFmtId="0" fontId="13" fillId="6" borderId="0" xfId="0" applyFont="1" applyFill="1"/>
    <xf numFmtId="0" fontId="14" fillId="0" borderId="0" xfId="0" applyFont="1"/>
    <xf numFmtId="44" fontId="5" fillId="3" borderId="8" xfId="1" applyFont="1" applyFill="1" applyBorder="1" applyAlignment="1">
      <alignment horizontal="center"/>
    </xf>
    <xf numFmtId="0" fontId="5" fillId="3" borderId="8" xfId="0" applyFont="1" applyFill="1" applyBorder="1" applyAlignment="1">
      <alignment horizontal="center"/>
    </xf>
    <xf numFmtId="44" fontId="2" fillId="0" borderId="12" xfId="1" applyFont="1" applyBorder="1"/>
    <xf numFmtId="44" fontId="2" fillId="0" borderId="13" xfId="0" applyNumberFormat="1" applyFont="1" applyBorder="1"/>
    <xf numFmtId="44" fontId="2" fillId="0" borderId="14" xfId="1" applyFont="1" applyBorder="1"/>
    <xf numFmtId="44" fontId="2" fillId="7" borderId="7" xfId="0" applyNumberFormat="1" applyFont="1" applyFill="1" applyBorder="1"/>
    <xf numFmtId="0" fontId="18" fillId="7" borderId="7" xfId="0" applyFont="1" applyFill="1" applyBorder="1"/>
    <xf numFmtId="0" fontId="9" fillId="2" borderId="15" xfId="0" applyFont="1" applyFill="1" applyBorder="1"/>
    <xf numFmtId="0" fontId="18" fillId="0" borderId="0" xfId="0" applyFont="1" applyFill="1"/>
    <xf numFmtId="0" fontId="9" fillId="7" borderId="9" xfId="0" applyFont="1" applyFill="1" applyBorder="1" applyAlignment="1">
      <alignment horizontal="left"/>
    </xf>
    <xf numFmtId="0" fontId="9" fillId="7" borderId="10" xfId="0" applyFont="1" applyFill="1" applyBorder="1" applyAlignment="1">
      <alignment horizontal="left"/>
    </xf>
    <xf numFmtId="0" fontId="9" fillId="7" borderId="11" xfId="0" applyFont="1" applyFill="1" applyBorder="1" applyAlignment="1">
      <alignment horizontal="left"/>
    </xf>
    <xf numFmtId="167" fontId="6" fillId="7" borderId="9" xfId="0" applyNumberFormat="1" applyFont="1" applyFill="1" applyBorder="1" applyAlignment="1">
      <alignment horizontal="left"/>
    </xf>
    <xf numFmtId="167" fontId="6" fillId="7" borderId="10" xfId="0" applyNumberFormat="1" applyFont="1" applyFill="1" applyBorder="1" applyAlignment="1">
      <alignment horizontal="left"/>
    </xf>
    <xf numFmtId="167" fontId="6" fillId="7" borderId="11" xfId="0" applyNumberFormat="1" applyFont="1" applyFill="1" applyBorder="1" applyAlignment="1">
      <alignment horizontal="left"/>
    </xf>
    <xf numFmtId="167" fontId="6" fillId="0" borderId="0" xfId="0" applyNumberFormat="1" applyFont="1" applyAlignment="1">
      <alignment horizontal="left"/>
    </xf>
    <xf numFmtId="0" fontId="2" fillId="0" borderId="0" xfId="0" applyFont="1" applyFill="1"/>
    <xf numFmtId="0" fontId="19" fillId="0" borderId="0" xfId="0" applyFont="1" applyFill="1" applyAlignment="1">
      <alignment horizontal="center" vertical="center"/>
    </xf>
    <xf numFmtId="0" fontId="19" fillId="0" borderId="0" xfId="0" applyFont="1" applyFill="1" applyAlignment="1">
      <alignment vertical="center"/>
    </xf>
    <xf numFmtId="0" fontId="20" fillId="0" borderId="0" xfId="0" applyFont="1" applyFill="1" applyAlignment="1">
      <alignment horizontal="left" vertical="center"/>
    </xf>
    <xf numFmtId="0" fontId="3" fillId="0" borderId="0" xfId="0" applyFont="1" applyFill="1"/>
    <xf numFmtId="0" fontId="21" fillId="0" borderId="16" xfId="0" applyFont="1" applyFill="1" applyBorder="1" applyAlignment="1">
      <alignment horizontal="left" vertical="top" wrapText="1"/>
    </xf>
    <xf numFmtId="0" fontId="15" fillId="0" borderId="17" xfId="0" applyFont="1" applyFill="1" applyBorder="1" applyAlignment="1">
      <alignment horizontal="left" vertical="top" wrapText="1"/>
    </xf>
    <xf numFmtId="0" fontId="15" fillId="0" borderId="18" xfId="0" applyFont="1" applyFill="1" applyBorder="1" applyAlignment="1">
      <alignment horizontal="left" vertical="top" wrapText="1"/>
    </xf>
    <xf numFmtId="0" fontId="15" fillId="0" borderId="19" xfId="0" applyFont="1" applyFill="1" applyBorder="1" applyAlignment="1">
      <alignment horizontal="left" vertical="top" wrapText="1"/>
    </xf>
    <xf numFmtId="0" fontId="15" fillId="0" borderId="20" xfId="0" applyFont="1" applyFill="1" applyBorder="1" applyAlignment="1">
      <alignment horizontal="left" vertical="top" wrapText="1"/>
    </xf>
    <xf numFmtId="0" fontId="15" fillId="0" borderId="21" xfId="0" applyFont="1" applyFill="1" applyBorder="1" applyAlignment="1">
      <alignment horizontal="left" vertical="top" wrapText="1"/>
    </xf>
  </cellXfs>
  <cellStyles count="2">
    <cellStyle name="Currency" xfId="1" builtinId="4"/>
    <cellStyle name="Normal" xfId="0" builtinId="0"/>
  </cellStyles>
  <dxfs count="1620">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ill>
        <patternFill patternType="solid">
          <bgColor theme="9" tint="0.59996337778862885"/>
        </patternFill>
      </fill>
      <border>
        <right style="thin">
          <color rgb="FFC00000"/>
        </right>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top style="thin">
          <color rgb="FFC00000"/>
        </top>
        <bottom style="thin">
          <color rgb="FFC00000"/>
        </bottom>
      </border>
    </dxf>
    <dxf>
      <fill>
        <patternFill patternType="solid">
          <bgColor theme="9" tint="0.59996337778862885"/>
        </patternFill>
      </fill>
      <border>
        <left style="thin">
          <color rgb="FFC00000"/>
        </left>
        <top style="thin">
          <color rgb="FFC00000"/>
        </top>
        <bottom style="thin">
          <color rgb="FFC00000"/>
        </bottom>
      </border>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strike val="0"/>
        <outline val="0"/>
        <shadow val="0"/>
        <u val="none"/>
        <vertAlign val="baseline"/>
        <sz val="9"/>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strike val="0"/>
        <outline val="0"/>
        <shadow val="0"/>
        <u val="none"/>
        <vertAlign val="baseline"/>
        <sz val="9"/>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strike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strike val="0"/>
        <outline val="0"/>
        <shadow val="0"/>
        <u val="none"/>
        <vertAlign val="baseline"/>
        <sz val="9"/>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strike val="0"/>
        <outline val="0"/>
        <shadow val="0"/>
        <u val="none"/>
        <vertAlign val="baseline"/>
        <sz val="9"/>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strike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strike val="0"/>
        <outline val="0"/>
        <shadow val="0"/>
        <u val="none"/>
        <vertAlign val="baseline"/>
        <sz val="9"/>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strike val="0"/>
        <outline val="0"/>
        <shadow val="0"/>
        <u val="none"/>
        <vertAlign val="baseline"/>
        <sz val="9"/>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strike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strike val="0"/>
        <outline val="0"/>
        <shadow val="0"/>
        <u val="none"/>
        <vertAlign val="baseline"/>
        <sz val="9"/>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strike val="0"/>
        <outline val="0"/>
        <shadow val="0"/>
        <u val="none"/>
        <vertAlign val="baseline"/>
        <sz val="9"/>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strike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strike val="0"/>
        <outline val="0"/>
        <shadow val="0"/>
        <u val="none"/>
        <vertAlign val="baseline"/>
        <sz val="9"/>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strike val="0"/>
        <outline val="0"/>
        <shadow val="0"/>
        <u val="none"/>
        <vertAlign val="baseline"/>
        <sz val="9"/>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strike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strike val="0"/>
        <outline val="0"/>
        <shadow val="0"/>
        <u val="none"/>
        <vertAlign val="baseline"/>
        <sz val="9"/>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strike val="0"/>
        <outline val="0"/>
        <shadow val="0"/>
        <u val="none"/>
        <vertAlign val="baseline"/>
        <sz val="9"/>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strike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strike val="0"/>
        <outline val="0"/>
        <shadow val="0"/>
        <u val="none"/>
        <vertAlign val="baseline"/>
        <sz val="9"/>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strike val="0"/>
        <outline val="0"/>
        <shadow val="0"/>
        <u val="none"/>
        <vertAlign val="baseline"/>
        <sz val="9"/>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strike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strike val="0"/>
        <outline val="0"/>
        <shadow val="0"/>
        <u val="none"/>
        <vertAlign val="baseline"/>
        <sz val="9"/>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strike val="0"/>
        <outline val="0"/>
        <shadow val="0"/>
        <u val="none"/>
        <vertAlign val="baseline"/>
        <sz val="9"/>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strike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strike val="0"/>
        <outline val="0"/>
        <shadow val="0"/>
        <u val="none"/>
        <vertAlign val="baseline"/>
        <sz val="9"/>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strike val="0"/>
        <outline val="0"/>
        <shadow val="0"/>
        <u val="none"/>
        <vertAlign val="baseline"/>
        <sz val="9"/>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strike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strike val="0"/>
        <outline val="0"/>
        <shadow val="0"/>
        <u val="none"/>
        <vertAlign val="baseline"/>
        <sz val="9"/>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strike val="0"/>
        <outline val="0"/>
        <shadow val="0"/>
        <u val="none"/>
        <vertAlign val="baseline"/>
        <sz val="9"/>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strike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strike val="0"/>
        <outline val="0"/>
        <shadow val="0"/>
        <u val="none"/>
        <vertAlign val="baseline"/>
        <sz val="9"/>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strike val="0"/>
        <outline val="0"/>
        <shadow val="0"/>
        <u val="none"/>
        <vertAlign val="baseline"/>
        <sz val="9"/>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strike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rgb="FFF2F2F2"/>
        <name val="Segoe UI"/>
        <scheme val="none"/>
      </font>
      <fill>
        <patternFill patternType="solid">
          <fgColor rgb="FF000000"/>
          <bgColor rgb="FF404040"/>
        </patternFill>
      </fill>
    </dxf>
    <dxf>
      <font>
        <strike val="0"/>
        <outline val="0"/>
        <shadow val="0"/>
        <u val="none"/>
        <vertAlign val="baseline"/>
        <sz val="9"/>
        <color rgb="FF000000"/>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strike val="0"/>
        <outline val="0"/>
        <shadow val="0"/>
        <u val="none"/>
        <vertAlign val="baseline"/>
        <sz val="9"/>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strike val="0"/>
        <outline val="0"/>
        <shadow val="0"/>
        <u val="none"/>
        <vertAlign val="baseline"/>
        <sz val="9"/>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name val="Segoe UI"/>
        <scheme val="none"/>
      </font>
    </dxf>
    <dxf>
      <font>
        <strike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numFmt numFmtId="164" formatCode="[$-409]d\-mmm\-yy;@"/>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10"/>
        <color theme="1"/>
        <name val="Calibri"/>
        <scheme val="minor"/>
      </font>
    </dxf>
    <dxf>
      <font>
        <strike val="0"/>
        <outline val="0"/>
        <shadow val="0"/>
        <u val="none"/>
        <vertAlign val="baseline"/>
        <sz val="9"/>
        <name val="Segoe UI"/>
        <scheme val="none"/>
      </font>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numFmt numFmtId="34" formatCode="_(&quot;$&quot;* #,##0.00_);_(&quot;$&quot;* \(#,##0.00\);_(&quot;$&quot;* &quot;-&quot;??_);_(@_)"/>
    </dxf>
    <dxf>
      <font>
        <b val="0"/>
        <i val="0"/>
        <strike val="0"/>
        <condense val="0"/>
        <extend val="0"/>
        <outline val="0"/>
        <shadow val="0"/>
        <u val="none"/>
        <vertAlign val="baseline"/>
        <sz val="9"/>
        <color theme="0" tint="-4.9989318521683403E-2"/>
        <name val="Segoe UI"/>
        <scheme val="none"/>
      </font>
      <numFmt numFmtId="34" formatCode="_(&quot;$&quot;* #,##0.00_);_(&quot;$&quot;* \(#,##0.00\);_(&quot;$&quot;* &quot;-&quot;??_);_(@_)"/>
      <fill>
        <patternFill patternType="solid">
          <fgColor indexed="64"/>
          <bgColor theme="1" tint="0.249977111117893"/>
        </patternFill>
      </fill>
    </dxf>
    <dxf>
      <font>
        <b val="0"/>
        <i val="0"/>
        <strike val="0"/>
        <condense val="0"/>
        <extend val="0"/>
        <outline val="0"/>
        <shadow val="0"/>
        <u val="none"/>
        <vertAlign val="baseline"/>
        <sz val="9"/>
        <color theme="1"/>
        <name val="Segoe UI"/>
        <scheme val="none"/>
      </font>
    </dxf>
    <dxf>
      <font>
        <b val="0"/>
        <i val="0"/>
        <strike val="0"/>
        <condense val="0"/>
        <extend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strike val="0"/>
        <outline val="0"/>
        <shadow val="0"/>
        <u val="none"/>
        <vertAlign val="baseline"/>
        <sz val="9"/>
        <color theme="0" tint="-4.9989318521683403E-2"/>
        <name val="Segoe UI"/>
        <scheme val="none"/>
      </font>
      <fill>
        <patternFill patternType="solid">
          <fgColor indexed="64"/>
          <bgColor theme="1" tint="0.249977111117893"/>
        </patternFill>
      </fill>
    </dxf>
    <dxf>
      <font>
        <strike val="0"/>
        <outline val="0"/>
        <shadow val="0"/>
        <u val="none"/>
        <vertAlign val="baseline"/>
        <sz val="9"/>
        <color theme="1"/>
        <name val="Segoe UI"/>
        <scheme val="none"/>
      </font>
    </dxf>
    <dxf>
      <font>
        <b val="0"/>
        <i val="0"/>
        <strike val="0"/>
        <condense val="0"/>
        <extend val="0"/>
        <outline val="0"/>
        <shadow val="0"/>
        <u val="none"/>
        <vertAlign val="baseline"/>
        <sz val="9"/>
        <color theme="7" tint="0.79998168889431442"/>
        <name val="Segoe UI"/>
        <scheme val="none"/>
      </font>
      <fill>
        <patternFill patternType="solid">
          <fgColor indexed="64"/>
          <bgColor theme="8" tint="-0.499984740745262"/>
        </patternFill>
      </fill>
    </dxf>
  </dxfs>
  <tableStyles count="0" defaultTableStyle="TableStyleMedium2" defaultPivotStyle="PivotStyleLight16"/>
  <colors>
    <mruColors>
      <color rgb="FFCCFF99"/>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322072631526647E-2"/>
          <c:y val="0.10714305801098239"/>
          <c:w val="0.87456763252024439"/>
          <c:h val="0.67621049158322377"/>
        </c:manualLayout>
      </c:layout>
      <c:barChart>
        <c:barDir val="col"/>
        <c:grouping val="clustered"/>
        <c:varyColors val="0"/>
        <c:ser>
          <c:idx val="0"/>
          <c:order val="0"/>
          <c:tx>
            <c:strRef>
              <c:f>Mo.1!$W$1</c:f>
              <c:strCache>
                <c:ptCount val="1"/>
                <c:pt idx="0">
                  <c:v>Budget</c:v>
                </c:pt>
              </c:strCache>
            </c:strRef>
          </c:tx>
          <c:spPr>
            <a:solidFill>
              <a:srgbClr val="CCFF99"/>
            </a:solidFill>
            <a:ln w="9525" cap="flat" cmpd="sng" algn="ctr">
              <a:solidFill>
                <a:schemeClr val="bg1">
                  <a:lumMod val="50000"/>
                </a:schemeClr>
              </a:solidFill>
              <a:round/>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Mo.1!$V$3:$V$8</c:f>
              <c:strCache>
                <c:ptCount val="6"/>
                <c:pt idx="0">
                  <c:v>Housing</c:v>
                </c:pt>
                <c:pt idx="1">
                  <c:v>Transportation</c:v>
                </c:pt>
                <c:pt idx="2">
                  <c:v>Bills</c:v>
                </c:pt>
                <c:pt idx="3">
                  <c:v>Living</c:v>
                </c:pt>
                <c:pt idx="4">
                  <c:v>Entertainment</c:v>
                </c:pt>
                <c:pt idx="5">
                  <c:v>Misc.</c:v>
                </c:pt>
              </c:strCache>
            </c:strRef>
          </c:cat>
          <c:val>
            <c:numRef>
              <c:f>Mo.1!$W$3:$W$8</c:f>
              <c:numCache>
                <c:formatCode>General</c:formatCode>
                <c:ptCount val="6"/>
                <c:pt idx="0">
                  <c:v>1650</c:v>
                </c:pt>
                <c:pt idx="1">
                  <c:v>1000</c:v>
                </c:pt>
                <c:pt idx="2">
                  <c:v>385</c:v>
                </c:pt>
                <c:pt idx="3">
                  <c:v>800</c:v>
                </c:pt>
                <c:pt idx="4">
                  <c:v>300</c:v>
                </c:pt>
                <c:pt idx="5">
                  <c:v>150</c:v>
                </c:pt>
              </c:numCache>
            </c:numRef>
          </c:val>
        </c:ser>
        <c:ser>
          <c:idx val="1"/>
          <c:order val="1"/>
          <c:tx>
            <c:strRef>
              <c:f>Mo.1!$X$1</c:f>
              <c:strCache>
                <c:ptCount val="1"/>
                <c:pt idx="0">
                  <c:v>Actual</c:v>
                </c:pt>
              </c:strCache>
            </c:strRef>
          </c:tx>
          <c:spPr>
            <a:solidFill>
              <a:srgbClr val="FF5050">
                <a:alpha val="50000"/>
              </a:srgbClr>
            </a:solidFill>
            <a:ln w="9525" cap="flat" cmpd="sng" algn="ctr">
              <a:solidFill>
                <a:schemeClr val="bg1">
                  <a:lumMod val="50000"/>
                </a:schemeClr>
              </a:solidFill>
              <a:round/>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Mo.1!$V$3:$V$8</c:f>
              <c:strCache>
                <c:ptCount val="6"/>
                <c:pt idx="0">
                  <c:v>Housing</c:v>
                </c:pt>
                <c:pt idx="1">
                  <c:v>Transportation</c:v>
                </c:pt>
                <c:pt idx="2">
                  <c:v>Bills</c:v>
                </c:pt>
                <c:pt idx="3">
                  <c:v>Living</c:v>
                </c:pt>
                <c:pt idx="4">
                  <c:v>Entertainment</c:v>
                </c:pt>
                <c:pt idx="5">
                  <c:v>Misc.</c:v>
                </c:pt>
              </c:strCache>
            </c:strRef>
          </c:cat>
          <c:val>
            <c:numRef>
              <c:f>Mo.1!$X$3:$X$8</c:f>
              <c:numCache>
                <c:formatCode>General</c:formatCode>
                <c:ptCount val="6"/>
                <c:pt idx="0">
                  <c:v>1549.15</c:v>
                </c:pt>
                <c:pt idx="1">
                  <c:v>1168.79</c:v>
                </c:pt>
                <c:pt idx="2">
                  <c:v>275</c:v>
                </c:pt>
                <c:pt idx="3">
                  <c:v>21.39</c:v>
                </c:pt>
                <c:pt idx="4">
                  <c:v>10.88</c:v>
                </c:pt>
                <c:pt idx="5">
                  <c:v>0</c:v>
                </c:pt>
              </c:numCache>
            </c:numRef>
          </c:val>
        </c:ser>
        <c:dLbls>
          <c:showLegendKey val="0"/>
          <c:showVal val="0"/>
          <c:showCatName val="0"/>
          <c:showSerName val="0"/>
          <c:showPercent val="0"/>
          <c:showBubbleSize val="0"/>
        </c:dLbls>
        <c:gapWidth val="20"/>
        <c:overlap val="100"/>
        <c:axId val="240490504"/>
        <c:axId val="239370984"/>
      </c:barChart>
      <c:catAx>
        <c:axId val="240490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39370984"/>
        <c:crosses val="autoZero"/>
        <c:auto val="1"/>
        <c:lblAlgn val="ctr"/>
        <c:lblOffset val="100"/>
        <c:noMultiLvlLbl val="0"/>
      </c:catAx>
      <c:valAx>
        <c:axId val="2393709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240490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79195972389572"/>
          <c:y val="9.5238095238095233E-2"/>
          <c:w val="0.80822820634965109"/>
          <c:h val="0.68640794900637425"/>
        </c:manualLayout>
      </c:layout>
      <c:areaChart>
        <c:grouping val="standard"/>
        <c:varyColors val="0"/>
        <c:ser>
          <c:idx val="0"/>
          <c:order val="0"/>
          <c:tx>
            <c:strRef>
              <c:f>Mo.1!$Z$11</c:f>
              <c:strCache>
                <c:ptCount val="1"/>
                <c:pt idx="0">
                  <c:v>Balance</c:v>
                </c:pt>
              </c:strCache>
            </c:strRef>
          </c:tx>
          <c:spPr>
            <a:solidFill>
              <a:schemeClr val="accent6">
                <a:lumMod val="60000"/>
                <a:lumOff val="40000"/>
              </a:schemeClr>
            </a:solidFill>
            <a:ln w="9525" cap="flat" cmpd="sng" algn="ctr">
              <a:solidFill>
                <a:schemeClr val="accent6">
                  <a:lumMod val="50000"/>
                </a:schemeClr>
              </a:solidFill>
              <a:round/>
            </a:ln>
            <a:effectLst/>
          </c:spPr>
          <c:cat>
            <c:numRef>
              <c:f>Mo.1!$W$12:$W$42</c:f>
              <c:numCache>
                <c:formatCode>m/d\ \(ddd\)</c:formatCode>
                <c:ptCount val="31"/>
                <c:pt idx="0">
                  <c:v>41518</c:v>
                </c:pt>
                <c:pt idx="1">
                  <c:v>41519</c:v>
                </c:pt>
                <c:pt idx="2">
                  <c:v>41520</c:v>
                </c:pt>
                <c:pt idx="3">
                  <c:v>41521</c:v>
                </c:pt>
                <c:pt idx="4">
                  <c:v>41522</c:v>
                </c:pt>
                <c:pt idx="5">
                  <c:v>41523</c:v>
                </c:pt>
                <c:pt idx="6">
                  <c:v>41524</c:v>
                </c:pt>
                <c:pt idx="7">
                  <c:v>41525</c:v>
                </c:pt>
                <c:pt idx="8">
                  <c:v>41526</c:v>
                </c:pt>
                <c:pt idx="9">
                  <c:v>41527</c:v>
                </c:pt>
                <c:pt idx="10">
                  <c:v>41528</c:v>
                </c:pt>
                <c:pt idx="11">
                  <c:v>41529</c:v>
                </c:pt>
                <c:pt idx="12">
                  <c:v>41530</c:v>
                </c:pt>
                <c:pt idx="13">
                  <c:v>41531</c:v>
                </c:pt>
                <c:pt idx="14">
                  <c:v>41532</c:v>
                </c:pt>
                <c:pt idx="15">
                  <c:v>41533</c:v>
                </c:pt>
                <c:pt idx="16">
                  <c:v>41534</c:v>
                </c:pt>
                <c:pt idx="17">
                  <c:v>41535</c:v>
                </c:pt>
                <c:pt idx="18">
                  <c:v>41536</c:v>
                </c:pt>
                <c:pt idx="19">
                  <c:v>41537</c:v>
                </c:pt>
                <c:pt idx="20">
                  <c:v>41538</c:v>
                </c:pt>
                <c:pt idx="21">
                  <c:v>41539</c:v>
                </c:pt>
                <c:pt idx="22">
                  <c:v>41540</c:v>
                </c:pt>
                <c:pt idx="23">
                  <c:v>41541</c:v>
                </c:pt>
                <c:pt idx="24">
                  <c:v>41542</c:v>
                </c:pt>
                <c:pt idx="25">
                  <c:v>41543</c:v>
                </c:pt>
                <c:pt idx="26">
                  <c:v>41544</c:v>
                </c:pt>
                <c:pt idx="27">
                  <c:v>41545</c:v>
                </c:pt>
                <c:pt idx="28">
                  <c:v>41546</c:v>
                </c:pt>
                <c:pt idx="29">
                  <c:v>41547</c:v>
                </c:pt>
                <c:pt idx="30">
                  <c:v>41548</c:v>
                </c:pt>
              </c:numCache>
            </c:numRef>
          </c:cat>
          <c:val>
            <c:numRef>
              <c:f>Mo.1!$Z$12:$Z$42</c:f>
              <c:numCache>
                <c:formatCode>_("$"* #,##0.00_);_("$"* \(#,##0.00\);_("$"* "-"??_);_(@_)</c:formatCode>
                <c:ptCount val="31"/>
                <c:pt idx="0">
                  <c:v>283.07000000000005</c:v>
                </c:pt>
                <c:pt idx="1">
                  <c:v>283.07000000000005</c:v>
                </c:pt>
                <c:pt idx="2">
                  <c:v>283.07000000000005</c:v>
                </c:pt>
                <c:pt idx="3">
                  <c:v>283.07000000000005</c:v>
                </c:pt>
                <c:pt idx="4">
                  <c:v>1750.42</c:v>
                </c:pt>
                <c:pt idx="5">
                  <c:v>1537.14</c:v>
                </c:pt>
                <c:pt idx="6">
                  <c:v>1494.5600000000002</c:v>
                </c:pt>
                <c:pt idx="7">
                  <c:v>1494.5600000000002</c:v>
                </c:pt>
                <c:pt idx="8">
                  <c:v>1365.0100000000002</c:v>
                </c:pt>
                <c:pt idx="9">
                  <c:v>1365.0100000000002</c:v>
                </c:pt>
                <c:pt idx="10">
                  <c:v>1365.0100000000002</c:v>
                </c:pt>
                <c:pt idx="11">
                  <c:v>1365.0100000000002</c:v>
                </c:pt>
                <c:pt idx="12">
                  <c:v>2465.0100000000002</c:v>
                </c:pt>
                <c:pt idx="13">
                  <c:v>2338.84</c:v>
                </c:pt>
                <c:pt idx="14">
                  <c:v>2338.84</c:v>
                </c:pt>
                <c:pt idx="15">
                  <c:v>2338.84</c:v>
                </c:pt>
                <c:pt idx="16">
                  <c:v>2292.67</c:v>
                </c:pt>
                <c:pt idx="17">
                  <c:v>2176.88</c:v>
                </c:pt>
                <c:pt idx="18">
                  <c:v>2176.88</c:v>
                </c:pt>
                <c:pt idx="19">
                  <c:v>3676.88</c:v>
                </c:pt>
                <c:pt idx="20">
                  <c:v>3676.88</c:v>
                </c:pt>
                <c:pt idx="21">
                  <c:v>3426.88</c:v>
                </c:pt>
                <c:pt idx="22">
                  <c:v>3426.88</c:v>
                </c:pt>
                <c:pt idx="23">
                  <c:v>2926.88</c:v>
                </c:pt>
                <c:pt idx="24">
                  <c:v>2901.88</c:v>
                </c:pt>
                <c:pt idx="25">
                  <c:v>2901.88</c:v>
                </c:pt>
                <c:pt idx="26">
                  <c:v>3298.88</c:v>
                </c:pt>
                <c:pt idx="27">
                  <c:v>3298.88</c:v>
                </c:pt>
                <c:pt idx="28">
                  <c:v>3298.88</c:v>
                </c:pt>
                <c:pt idx="29">
                  <c:v>3298.88</c:v>
                </c:pt>
                <c:pt idx="30">
                  <c:v>3298.88</c:v>
                </c:pt>
              </c:numCache>
            </c:numRef>
          </c:val>
        </c:ser>
        <c:dLbls>
          <c:showLegendKey val="0"/>
          <c:showVal val="0"/>
          <c:showCatName val="0"/>
          <c:showSerName val="0"/>
          <c:showPercent val="0"/>
          <c:showBubbleSize val="0"/>
        </c:dLbls>
        <c:axId val="4534112"/>
        <c:axId val="4173496"/>
      </c:areaChart>
      <c:lineChart>
        <c:grouping val="standard"/>
        <c:varyColors val="0"/>
        <c:ser>
          <c:idx val="1"/>
          <c:order val="1"/>
          <c:tx>
            <c:v>Target</c:v>
          </c:tx>
          <c:spPr>
            <a:ln w="22225" cap="rnd" cmpd="sng" algn="ctr">
              <a:solidFill>
                <a:srgbClr val="C00000"/>
              </a:solidFill>
              <a:round/>
            </a:ln>
            <a:effectLst/>
          </c:spPr>
          <c:marker>
            <c:symbol val="none"/>
          </c:marker>
          <c:val>
            <c:numRef>
              <c:f>Mo.1!$AA$12:$AA$42</c:f>
              <c:numCache>
                <c:formatCode>General</c:formatCode>
                <c:ptCount val="31"/>
                <c:pt idx="0">
                  <c:v>2207.4038709677416</c:v>
                </c:pt>
                <c:pt idx="1">
                  <c:v>2207.4038709677416</c:v>
                </c:pt>
                <c:pt idx="2">
                  <c:v>2207.4038709677416</c:v>
                </c:pt>
                <c:pt idx="3">
                  <c:v>2207.4038709677416</c:v>
                </c:pt>
                <c:pt idx="4">
                  <c:v>2207.4038709677416</c:v>
                </c:pt>
                <c:pt idx="5">
                  <c:v>2207.4038709677416</c:v>
                </c:pt>
                <c:pt idx="6">
                  <c:v>2207.4038709677416</c:v>
                </c:pt>
                <c:pt idx="7">
                  <c:v>2207.4038709677416</c:v>
                </c:pt>
                <c:pt idx="8">
                  <c:v>2207.4038709677416</c:v>
                </c:pt>
                <c:pt idx="9">
                  <c:v>2207.4038709677416</c:v>
                </c:pt>
                <c:pt idx="10">
                  <c:v>2207.4038709677416</c:v>
                </c:pt>
                <c:pt idx="11">
                  <c:v>2207.4038709677416</c:v>
                </c:pt>
                <c:pt idx="12">
                  <c:v>2207.4038709677416</c:v>
                </c:pt>
                <c:pt idx="13">
                  <c:v>2207.4038709677416</c:v>
                </c:pt>
                <c:pt idx="14">
                  <c:v>2207.4038709677416</c:v>
                </c:pt>
                <c:pt idx="15">
                  <c:v>2207.4038709677416</c:v>
                </c:pt>
                <c:pt idx="16">
                  <c:v>2207.4038709677416</c:v>
                </c:pt>
                <c:pt idx="17">
                  <c:v>2207.4038709677416</c:v>
                </c:pt>
                <c:pt idx="18">
                  <c:v>2207.4038709677416</c:v>
                </c:pt>
                <c:pt idx="19">
                  <c:v>2207.4038709677416</c:v>
                </c:pt>
                <c:pt idx="20">
                  <c:v>2207.4038709677416</c:v>
                </c:pt>
                <c:pt idx="21">
                  <c:v>2207.4038709677416</c:v>
                </c:pt>
                <c:pt idx="22">
                  <c:v>2207.4038709677416</c:v>
                </c:pt>
                <c:pt idx="23">
                  <c:v>2207.4038709677416</c:v>
                </c:pt>
                <c:pt idx="24">
                  <c:v>2207.4038709677416</c:v>
                </c:pt>
                <c:pt idx="25">
                  <c:v>2207.4038709677416</c:v>
                </c:pt>
                <c:pt idx="26">
                  <c:v>2207.4038709677416</c:v>
                </c:pt>
                <c:pt idx="27">
                  <c:v>2207.4038709677416</c:v>
                </c:pt>
                <c:pt idx="28">
                  <c:v>2207.4038709677416</c:v>
                </c:pt>
                <c:pt idx="29">
                  <c:v>2207.4038709677416</c:v>
                </c:pt>
                <c:pt idx="30">
                  <c:v>2207.4038709677416</c:v>
                </c:pt>
              </c:numCache>
            </c:numRef>
          </c:val>
          <c:smooth val="0"/>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534112"/>
        <c:axId val="4173496"/>
      </c:lineChart>
      <c:dateAx>
        <c:axId val="4534112"/>
        <c:scaling>
          <c:orientation val="minMax"/>
        </c:scaling>
        <c:delete val="0"/>
        <c:axPos val="b"/>
        <c:numFmt formatCode="m/d"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800" b="0" i="0" u="none" strike="noStrike" kern="1200" spc="20" baseline="0">
                <a:solidFill>
                  <a:schemeClr val="bg1">
                    <a:lumMod val="50000"/>
                  </a:schemeClr>
                </a:solidFill>
                <a:latin typeface="+mn-lt"/>
                <a:ea typeface="+mn-ea"/>
                <a:cs typeface="+mn-cs"/>
              </a:defRPr>
            </a:pPr>
            <a:endParaRPr lang="en-US"/>
          </a:p>
        </c:txPr>
        <c:crossAx val="4173496"/>
        <c:crosses val="autoZero"/>
        <c:auto val="1"/>
        <c:lblOffset val="100"/>
        <c:baseTimeUnit val="days"/>
        <c:majorUnit val="5"/>
        <c:majorTimeUnit val="days"/>
      </c:dateAx>
      <c:valAx>
        <c:axId val="4173496"/>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spc="20" baseline="0">
                <a:solidFill>
                  <a:schemeClr val="bg1">
                    <a:lumMod val="50000"/>
                  </a:schemeClr>
                </a:solidFill>
                <a:latin typeface="+mn-lt"/>
                <a:ea typeface="+mn-ea"/>
                <a:cs typeface="+mn-cs"/>
              </a:defRPr>
            </a:pPr>
            <a:endParaRPr lang="en-US"/>
          </a:p>
        </c:txPr>
        <c:crossAx val="453411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322072631526647E-2"/>
          <c:y val="0.10714305801098239"/>
          <c:w val="0.87456763252024439"/>
          <c:h val="0.67621049158322377"/>
        </c:manualLayout>
      </c:layout>
      <c:barChart>
        <c:barDir val="col"/>
        <c:grouping val="clustered"/>
        <c:varyColors val="0"/>
        <c:ser>
          <c:idx val="0"/>
          <c:order val="0"/>
          <c:tx>
            <c:strRef>
              <c:f>Mo.2!$S$1</c:f>
              <c:strCache>
                <c:ptCount val="1"/>
                <c:pt idx="0">
                  <c:v>Budget</c:v>
                </c:pt>
              </c:strCache>
            </c:strRef>
          </c:tx>
          <c:spPr>
            <a:solidFill>
              <a:srgbClr val="CCFF99"/>
            </a:solidFill>
            <a:ln w="9525" cap="flat" cmpd="sng" algn="ctr">
              <a:solidFill>
                <a:schemeClr val="bg1">
                  <a:lumMod val="50000"/>
                </a:schemeClr>
              </a:solidFill>
              <a:round/>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Mo.2!$R$3:$R$8</c:f>
              <c:strCache>
                <c:ptCount val="6"/>
                <c:pt idx="0">
                  <c:v>Housing</c:v>
                </c:pt>
                <c:pt idx="1">
                  <c:v>Transportation</c:v>
                </c:pt>
                <c:pt idx="2">
                  <c:v>Bills</c:v>
                </c:pt>
                <c:pt idx="3">
                  <c:v>Living</c:v>
                </c:pt>
                <c:pt idx="4">
                  <c:v>Entertainment</c:v>
                </c:pt>
                <c:pt idx="5">
                  <c:v>Misc.</c:v>
                </c:pt>
              </c:strCache>
            </c:strRef>
          </c:cat>
          <c:val>
            <c:numRef>
              <c:f>Mo.2!$S$3:$S$8</c:f>
              <c:numCache>
                <c:formatCode>General</c:formatCode>
                <c:ptCount val="6"/>
                <c:pt idx="0">
                  <c:v>0</c:v>
                </c:pt>
                <c:pt idx="1">
                  <c:v>0</c:v>
                </c:pt>
                <c:pt idx="2">
                  <c:v>0</c:v>
                </c:pt>
                <c:pt idx="3">
                  <c:v>0</c:v>
                </c:pt>
                <c:pt idx="4">
                  <c:v>0</c:v>
                </c:pt>
                <c:pt idx="5">
                  <c:v>0</c:v>
                </c:pt>
              </c:numCache>
            </c:numRef>
          </c:val>
        </c:ser>
        <c:ser>
          <c:idx val="1"/>
          <c:order val="1"/>
          <c:tx>
            <c:strRef>
              <c:f>Mo.2!$T$1</c:f>
              <c:strCache>
                <c:ptCount val="1"/>
                <c:pt idx="0">
                  <c:v>Actual</c:v>
                </c:pt>
              </c:strCache>
            </c:strRef>
          </c:tx>
          <c:spPr>
            <a:solidFill>
              <a:srgbClr val="FF5050">
                <a:alpha val="50000"/>
              </a:srgbClr>
            </a:solidFill>
            <a:ln w="9525" cap="flat" cmpd="sng" algn="ctr">
              <a:solidFill>
                <a:schemeClr val="bg1">
                  <a:lumMod val="50000"/>
                </a:schemeClr>
              </a:solidFill>
              <a:round/>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Mo.2!$R$3:$R$8</c:f>
              <c:strCache>
                <c:ptCount val="6"/>
                <c:pt idx="0">
                  <c:v>Housing</c:v>
                </c:pt>
                <c:pt idx="1">
                  <c:v>Transportation</c:v>
                </c:pt>
                <c:pt idx="2">
                  <c:v>Bills</c:v>
                </c:pt>
                <c:pt idx="3">
                  <c:v>Living</c:v>
                </c:pt>
                <c:pt idx="4">
                  <c:v>Entertainment</c:v>
                </c:pt>
                <c:pt idx="5">
                  <c:v>Misc.</c:v>
                </c:pt>
              </c:strCache>
            </c:strRef>
          </c:cat>
          <c:val>
            <c:numRef>
              <c:f>Mo.2!$T$3:$T$8</c:f>
              <c:numCache>
                <c:formatCode>General</c:formatCode>
                <c:ptCount val="6"/>
                <c:pt idx="0">
                  <c:v>0</c:v>
                </c:pt>
                <c:pt idx="1">
                  <c:v>0</c:v>
                </c:pt>
                <c:pt idx="2">
                  <c:v>0</c:v>
                </c:pt>
                <c:pt idx="3">
                  <c:v>0</c:v>
                </c:pt>
                <c:pt idx="4">
                  <c:v>0</c:v>
                </c:pt>
                <c:pt idx="5">
                  <c:v>0</c:v>
                </c:pt>
              </c:numCache>
            </c:numRef>
          </c:val>
        </c:ser>
        <c:dLbls>
          <c:showLegendKey val="0"/>
          <c:showVal val="0"/>
          <c:showCatName val="0"/>
          <c:showSerName val="0"/>
          <c:showPercent val="0"/>
          <c:showBubbleSize val="0"/>
        </c:dLbls>
        <c:gapWidth val="20"/>
        <c:overlap val="100"/>
        <c:axId val="241316440"/>
        <c:axId val="241015008"/>
      </c:barChart>
      <c:catAx>
        <c:axId val="241316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41015008"/>
        <c:crosses val="autoZero"/>
        <c:auto val="1"/>
        <c:lblAlgn val="ctr"/>
        <c:lblOffset val="100"/>
        <c:noMultiLvlLbl val="0"/>
      </c:catAx>
      <c:valAx>
        <c:axId val="2410150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241316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79195972389572"/>
          <c:y val="9.5238095238095233E-2"/>
          <c:w val="0.80822820634965109"/>
          <c:h val="0.68640794900637425"/>
        </c:manualLayout>
      </c:layout>
      <c:areaChart>
        <c:grouping val="standard"/>
        <c:varyColors val="0"/>
        <c:ser>
          <c:idx val="0"/>
          <c:order val="0"/>
          <c:tx>
            <c:strRef>
              <c:f>Mo.2!$V$11</c:f>
              <c:strCache>
                <c:ptCount val="1"/>
                <c:pt idx="0">
                  <c:v>Balance</c:v>
                </c:pt>
              </c:strCache>
            </c:strRef>
          </c:tx>
          <c:spPr>
            <a:solidFill>
              <a:schemeClr val="accent6">
                <a:lumMod val="60000"/>
                <a:lumOff val="40000"/>
              </a:schemeClr>
            </a:solidFill>
            <a:ln w="9525" cap="flat" cmpd="sng" algn="ctr">
              <a:solidFill>
                <a:schemeClr val="accent6">
                  <a:lumMod val="50000"/>
                </a:schemeClr>
              </a:solidFill>
              <a:round/>
            </a:ln>
            <a:effectLst/>
          </c:spPr>
          <c:cat>
            <c:numRef>
              <c:f>Mo.2!$S$12:$S$42</c:f>
              <c:numCache>
                <c:formatCode>m/d\ \(ddd\)</c:formatCode>
                <c:ptCount val="31"/>
                <c:pt idx="0">
                  <c:v>41548</c:v>
                </c:pt>
                <c:pt idx="1">
                  <c:v>41549</c:v>
                </c:pt>
                <c:pt idx="2">
                  <c:v>41550</c:v>
                </c:pt>
                <c:pt idx="3">
                  <c:v>41551</c:v>
                </c:pt>
                <c:pt idx="4">
                  <c:v>41552</c:v>
                </c:pt>
                <c:pt idx="5">
                  <c:v>41553</c:v>
                </c:pt>
                <c:pt idx="6">
                  <c:v>41554</c:v>
                </c:pt>
                <c:pt idx="7">
                  <c:v>41555</c:v>
                </c:pt>
                <c:pt idx="8">
                  <c:v>41556</c:v>
                </c:pt>
                <c:pt idx="9">
                  <c:v>41557</c:v>
                </c:pt>
                <c:pt idx="10">
                  <c:v>41558</c:v>
                </c:pt>
                <c:pt idx="11">
                  <c:v>41559</c:v>
                </c:pt>
                <c:pt idx="12">
                  <c:v>41560</c:v>
                </c:pt>
                <c:pt idx="13">
                  <c:v>41561</c:v>
                </c:pt>
                <c:pt idx="14">
                  <c:v>41562</c:v>
                </c:pt>
                <c:pt idx="15">
                  <c:v>41563</c:v>
                </c:pt>
                <c:pt idx="16">
                  <c:v>41564</c:v>
                </c:pt>
                <c:pt idx="17">
                  <c:v>41565</c:v>
                </c:pt>
                <c:pt idx="18">
                  <c:v>41566</c:v>
                </c:pt>
                <c:pt idx="19">
                  <c:v>41567</c:v>
                </c:pt>
                <c:pt idx="20">
                  <c:v>41568</c:v>
                </c:pt>
                <c:pt idx="21">
                  <c:v>41569</c:v>
                </c:pt>
                <c:pt idx="22">
                  <c:v>41570</c:v>
                </c:pt>
                <c:pt idx="23">
                  <c:v>41571</c:v>
                </c:pt>
                <c:pt idx="24">
                  <c:v>41572</c:v>
                </c:pt>
                <c:pt idx="25">
                  <c:v>41573</c:v>
                </c:pt>
                <c:pt idx="26">
                  <c:v>41574</c:v>
                </c:pt>
                <c:pt idx="27">
                  <c:v>41575</c:v>
                </c:pt>
                <c:pt idx="28">
                  <c:v>41576</c:v>
                </c:pt>
                <c:pt idx="29">
                  <c:v>41577</c:v>
                </c:pt>
                <c:pt idx="30">
                  <c:v>41578</c:v>
                </c:pt>
              </c:numCache>
            </c:numRef>
          </c:cat>
          <c:val>
            <c:numRef>
              <c:f>Mo.2!$V$12:$V$42</c:f>
              <c:numCache>
                <c:formatCode>_("$"* #,##0.00_);_("$"* \(#,##0.00\);_("$"* "-"??_);_(@_)</c:formatCode>
                <c:ptCount val="31"/>
                <c:pt idx="0">
                  <c:v>3298.88</c:v>
                </c:pt>
                <c:pt idx="1">
                  <c:v>3298.88</c:v>
                </c:pt>
                <c:pt idx="2">
                  <c:v>3298.88</c:v>
                </c:pt>
                <c:pt idx="3">
                  <c:v>3298.88</c:v>
                </c:pt>
                <c:pt idx="4">
                  <c:v>3298.88</c:v>
                </c:pt>
                <c:pt idx="5">
                  <c:v>3298.88</c:v>
                </c:pt>
                <c:pt idx="6">
                  <c:v>3298.88</c:v>
                </c:pt>
                <c:pt idx="7">
                  <c:v>3298.88</c:v>
                </c:pt>
                <c:pt idx="8">
                  <c:v>3298.88</c:v>
                </c:pt>
                <c:pt idx="9">
                  <c:v>3298.88</c:v>
                </c:pt>
                <c:pt idx="10">
                  <c:v>3298.88</c:v>
                </c:pt>
                <c:pt idx="11">
                  <c:v>3298.88</c:v>
                </c:pt>
                <c:pt idx="12">
                  <c:v>3298.88</c:v>
                </c:pt>
                <c:pt idx="13">
                  <c:v>3298.88</c:v>
                </c:pt>
                <c:pt idx="14">
                  <c:v>3298.88</c:v>
                </c:pt>
                <c:pt idx="15">
                  <c:v>3298.88</c:v>
                </c:pt>
                <c:pt idx="16">
                  <c:v>3298.88</c:v>
                </c:pt>
                <c:pt idx="17">
                  <c:v>3298.88</c:v>
                </c:pt>
                <c:pt idx="18">
                  <c:v>3298.88</c:v>
                </c:pt>
                <c:pt idx="19">
                  <c:v>3298.88</c:v>
                </c:pt>
                <c:pt idx="20">
                  <c:v>3298.88</c:v>
                </c:pt>
                <c:pt idx="21">
                  <c:v>3298.88</c:v>
                </c:pt>
                <c:pt idx="22">
                  <c:v>3298.88</c:v>
                </c:pt>
                <c:pt idx="23">
                  <c:v>3298.88</c:v>
                </c:pt>
                <c:pt idx="24">
                  <c:v>3298.88</c:v>
                </c:pt>
                <c:pt idx="25">
                  <c:v>3298.88</c:v>
                </c:pt>
                <c:pt idx="26">
                  <c:v>3298.88</c:v>
                </c:pt>
                <c:pt idx="27">
                  <c:v>3298.88</c:v>
                </c:pt>
                <c:pt idx="28">
                  <c:v>3298.88</c:v>
                </c:pt>
                <c:pt idx="29">
                  <c:v>3298.88</c:v>
                </c:pt>
                <c:pt idx="30">
                  <c:v>3298.88</c:v>
                </c:pt>
              </c:numCache>
            </c:numRef>
          </c:val>
        </c:ser>
        <c:dLbls>
          <c:showLegendKey val="0"/>
          <c:showVal val="0"/>
          <c:showCatName val="0"/>
          <c:showSerName val="0"/>
          <c:showPercent val="0"/>
          <c:showBubbleSize val="0"/>
        </c:dLbls>
        <c:axId val="241315032"/>
        <c:axId val="241433840"/>
      </c:areaChart>
      <c:lineChart>
        <c:grouping val="standard"/>
        <c:varyColors val="0"/>
        <c:ser>
          <c:idx val="1"/>
          <c:order val="1"/>
          <c:tx>
            <c:v>Target</c:v>
          </c:tx>
          <c:spPr>
            <a:ln w="22225" cap="rnd" cmpd="sng" algn="ctr">
              <a:solidFill>
                <a:srgbClr val="C00000"/>
              </a:solidFill>
              <a:round/>
            </a:ln>
            <a:effectLst/>
          </c:spPr>
          <c:marker>
            <c:symbol val="none"/>
          </c:marker>
          <c:val>
            <c:numRef>
              <c:f>Mo.2!$W$12:$W$42</c:f>
              <c:numCache>
                <c:formatCode>General</c:formatCode>
                <c:ptCount val="31"/>
                <c:pt idx="0">
                  <c:v>3298.880000000001</c:v>
                </c:pt>
                <c:pt idx="1">
                  <c:v>3298.880000000001</c:v>
                </c:pt>
                <c:pt idx="2">
                  <c:v>3298.880000000001</c:v>
                </c:pt>
                <c:pt idx="3">
                  <c:v>3298.880000000001</c:v>
                </c:pt>
                <c:pt idx="4">
                  <c:v>3298.880000000001</c:v>
                </c:pt>
                <c:pt idx="5">
                  <c:v>3298.880000000001</c:v>
                </c:pt>
                <c:pt idx="6">
                  <c:v>3298.880000000001</c:v>
                </c:pt>
                <c:pt idx="7">
                  <c:v>3298.880000000001</c:v>
                </c:pt>
                <c:pt idx="8">
                  <c:v>3298.880000000001</c:v>
                </c:pt>
                <c:pt idx="9">
                  <c:v>3298.880000000001</c:v>
                </c:pt>
                <c:pt idx="10">
                  <c:v>3298.880000000001</c:v>
                </c:pt>
                <c:pt idx="11">
                  <c:v>3298.880000000001</c:v>
                </c:pt>
                <c:pt idx="12">
                  <c:v>3298.880000000001</c:v>
                </c:pt>
                <c:pt idx="13">
                  <c:v>3298.880000000001</c:v>
                </c:pt>
                <c:pt idx="14">
                  <c:v>3298.880000000001</c:v>
                </c:pt>
                <c:pt idx="15">
                  <c:v>3298.880000000001</c:v>
                </c:pt>
                <c:pt idx="16">
                  <c:v>3298.880000000001</c:v>
                </c:pt>
                <c:pt idx="17">
                  <c:v>3298.880000000001</c:v>
                </c:pt>
                <c:pt idx="18">
                  <c:v>3298.880000000001</c:v>
                </c:pt>
                <c:pt idx="19">
                  <c:v>3298.880000000001</c:v>
                </c:pt>
                <c:pt idx="20">
                  <c:v>3298.880000000001</c:v>
                </c:pt>
                <c:pt idx="21">
                  <c:v>3298.880000000001</c:v>
                </c:pt>
                <c:pt idx="22">
                  <c:v>3298.880000000001</c:v>
                </c:pt>
                <c:pt idx="23">
                  <c:v>3298.880000000001</c:v>
                </c:pt>
                <c:pt idx="24">
                  <c:v>3298.880000000001</c:v>
                </c:pt>
                <c:pt idx="25">
                  <c:v>3298.880000000001</c:v>
                </c:pt>
                <c:pt idx="26">
                  <c:v>3298.880000000001</c:v>
                </c:pt>
                <c:pt idx="27">
                  <c:v>3298.880000000001</c:v>
                </c:pt>
                <c:pt idx="28">
                  <c:v>3298.880000000001</c:v>
                </c:pt>
                <c:pt idx="29">
                  <c:v>3298.880000000001</c:v>
                </c:pt>
                <c:pt idx="30">
                  <c:v>3298.880000000001</c:v>
                </c:pt>
              </c:numCache>
            </c:numRef>
          </c:val>
          <c:smooth val="0"/>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41315032"/>
        <c:axId val="241433840"/>
      </c:lineChart>
      <c:dateAx>
        <c:axId val="241315032"/>
        <c:scaling>
          <c:orientation val="minMax"/>
        </c:scaling>
        <c:delete val="0"/>
        <c:axPos val="b"/>
        <c:numFmt formatCode="m/d"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800" b="0" i="0" u="none" strike="noStrike" kern="1200" spc="20" baseline="0">
                <a:solidFill>
                  <a:schemeClr val="bg1">
                    <a:lumMod val="50000"/>
                  </a:schemeClr>
                </a:solidFill>
                <a:latin typeface="+mn-lt"/>
                <a:ea typeface="+mn-ea"/>
                <a:cs typeface="+mn-cs"/>
              </a:defRPr>
            </a:pPr>
            <a:endParaRPr lang="en-US"/>
          </a:p>
        </c:txPr>
        <c:crossAx val="241433840"/>
        <c:crosses val="autoZero"/>
        <c:auto val="1"/>
        <c:lblOffset val="100"/>
        <c:baseTimeUnit val="days"/>
        <c:majorUnit val="5"/>
        <c:majorTimeUnit val="days"/>
      </c:dateAx>
      <c:valAx>
        <c:axId val="241433840"/>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spc="20" baseline="0">
                <a:solidFill>
                  <a:schemeClr val="bg1">
                    <a:lumMod val="50000"/>
                  </a:schemeClr>
                </a:solidFill>
                <a:latin typeface="+mn-lt"/>
                <a:ea typeface="+mn-ea"/>
                <a:cs typeface="+mn-cs"/>
              </a:defRPr>
            </a:pPr>
            <a:endParaRPr lang="en-US"/>
          </a:p>
        </c:txPr>
        <c:crossAx val="24131503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322072631526647E-2"/>
          <c:y val="0.10714305801098239"/>
          <c:w val="0.87456763252024439"/>
          <c:h val="0.67621049158322377"/>
        </c:manualLayout>
      </c:layout>
      <c:barChart>
        <c:barDir val="col"/>
        <c:grouping val="clustered"/>
        <c:varyColors val="0"/>
        <c:ser>
          <c:idx val="0"/>
          <c:order val="0"/>
          <c:tx>
            <c:strRef>
              <c:f>Mo.3!$S$1</c:f>
              <c:strCache>
                <c:ptCount val="1"/>
                <c:pt idx="0">
                  <c:v>Budget</c:v>
                </c:pt>
              </c:strCache>
            </c:strRef>
          </c:tx>
          <c:spPr>
            <a:solidFill>
              <a:srgbClr val="CCFF99"/>
            </a:solidFill>
            <a:ln w="9525" cap="flat" cmpd="sng" algn="ctr">
              <a:solidFill>
                <a:schemeClr val="bg1">
                  <a:lumMod val="50000"/>
                </a:schemeClr>
              </a:solidFill>
              <a:round/>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Mo.3!$R$3:$R$8</c:f>
              <c:strCache>
                <c:ptCount val="6"/>
                <c:pt idx="0">
                  <c:v>Housing</c:v>
                </c:pt>
                <c:pt idx="1">
                  <c:v>Transportation</c:v>
                </c:pt>
                <c:pt idx="2">
                  <c:v>Bills</c:v>
                </c:pt>
                <c:pt idx="3">
                  <c:v>Living</c:v>
                </c:pt>
                <c:pt idx="4">
                  <c:v>Entertainment</c:v>
                </c:pt>
                <c:pt idx="5">
                  <c:v>Misc.</c:v>
                </c:pt>
              </c:strCache>
            </c:strRef>
          </c:cat>
          <c:val>
            <c:numRef>
              <c:f>Mo.3!$S$3:$S$8</c:f>
              <c:numCache>
                <c:formatCode>General</c:formatCode>
                <c:ptCount val="6"/>
                <c:pt idx="0">
                  <c:v>0</c:v>
                </c:pt>
                <c:pt idx="1">
                  <c:v>0</c:v>
                </c:pt>
                <c:pt idx="2">
                  <c:v>0</c:v>
                </c:pt>
                <c:pt idx="3">
                  <c:v>0</c:v>
                </c:pt>
                <c:pt idx="4">
                  <c:v>0</c:v>
                </c:pt>
                <c:pt idx="5">
                  <c:v>0</c:v>
                </c:pt>
              </c:numCache>
            </c:numRef>
          </c:val>
        </c:ser>
        <c:ser>
          <c:idx val="1"/>
          <c:order val="1"/>
          <c:tx>
            <c:strRef>
              <c:f>Mo.3!$T$1</c:f>
              <c:strCache>
                <c:ptCount val="1"/>
                <c:pt idx="0">
                  <c:v>Actual</c:v>
                </c:pt>
              </c:strCache>
            </c:strRef>
          </c:tx>
          <c:spPr>
            <a:solidFill>
              <a:srgbClr val="FF5050">
                <a:alpha val="50000"/>
              </a:srgbClr>
            </a:solidFill>
            <a:ln w="9525" cap="flat" cmpd="sng" algn="ctr">
              <a:solidFill>
                <a:schemeClr val="bg1">
                  <a:lumMod val="50000"/>
                </a:schemeClr>
              </a:solidFill>
              <a:round/>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Mo.3!$R$3:$R$8</c:f>
              <c:strCache>
                <c:ptCount val="6"/>
                <c:pt idx="0">
                  <c:v>Housing</c:v>
                </c:pt>
                <c:pt idx="1">
                  <c:v>Transportation</c:v>
                </c:pt>
                <c:pt idx="2">
                  <c:v>Bills</c:v>
                </c:pt>
                <c:pt idx="3">
                  <c:v>Living</c:v>
                </c:pt>
                <c:pt idx="4">
                  <c:v>Entertainment</c:v>
                </c:pt>
                <c:pt idx="5">
                  <c:v>Misc.</c:v>
                </c:pt>
              </c:strCache>
            </c:strRef>
          </c:cat>
          <c:val>
            <c:numRef>
              <c:f>Mo.3!$T$3:$T$8</c:f>
              <c:numCache>
                <c:formatCode>General</c:formatCode>
                <c:ptCount val="6"/>
                <c:pt idx="0">
                  <c:v>0</c:v>
                </c:pt>
                <c:pt idx="1">
                  <c:v>0</c:v>
                </c:pt>
                <c:pt idx="2">
                  <c:v>0</c:v>
                </c:pt>
                <c:pt idx="3">
                  <c:v>0</c:v>
                </c:pt>
                <c:pt idx="4">
                  <c:v>0</c:v>
                </c:pt>
                <c:pt idx="5">
                  <c:v>0</c:v>
                </c:pt>
              </c:numCache>
            </c:numRef>
          </c:val>
        </c:ser>
        <c:dLbls>
          <c:showLegendKey val="0"/>
          <c:showVal val="0"/>
          <c:showCatName val="0"/>
          <c:showSerName val="0"/>
          <c:showPercent val="0"/>
          <c:showBubbleSize val="0"/>
        </c:dLbls>
        <c:gapWidth val="20"/>
        <c:overlap val="100"/>
        <c:axId val="241039776"/>
        <c:axId val="238508936"/>
      </c:barChart>
      <c:catAx>
        <c:axId val="2410397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38508936"/>
        <c:crosses val="autoZero"/>
        <c:auto val="1"/>
        <c:lblAlgn val="ctr"/>
        <c:lblOffset val="100"/>
        <c:noMultiLvlLbl val="0"/>
      </c:catAx>
      <c:valAx>
        <c:axId val="2385089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241039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79195972389572"/>
          <c:y val="9.5238095238095233E-2"/>
          <c:w val="0.80822820634965109"/>
          <c:h val="0.68640794900637425"/>
        </c:manualLayout>
      </c:layout>
      <c:areaChart>
        <c:grouping val="standard"/>
        <c:varyColors val="0"/>
        <c:ser>
          <c:idx val="0"/>
          <c:order val="0"/>
          <c:tx>
            <c:strRef>
              <c:f>Mo.3!$V$11</c:f>
              <c:strCache>
                <c:ptCount val="1"/>
                <c:pt idx="0">
                  <c:v>Balance</c:v>
                </c:pt>
              </c:strCache>
            </c:strRef>
          </c:tx>
          <c:spPr>
            <a:solidFill>
              <a:schemeClr val="accent6">
                <a:lumMod val="60000"/>
                <a:lumOff val="40000"/>
              </a:schemeClr>
            </a:solidFill>
            <a:ln w="9525" cap="flat" cmpd="sng" algn="ctr">
              <a:solidFill>
                <a:schemeClr val="accent6">
                  <a:lumMod val="50000"/>
                </a:schemeClr>
              </a:solidFill>
              <a:round/>
            </a:ln>
            <a:effectLst/>
          </c:spPr>
          <c:cat>
            <c:numRef>
              <c:f>Mo.3!$S$12:$S$42</c:f>
              <c:numCache>
                <c:formatCode>m/d\ \(ddd\)</c:formatCode>
                <c:ptCount val="31"/>
                <c:pt idx="0">
                  <c:v>41579</c:v>
                </c:pt>
                <c:pt idx="1">
                  <c:v>41580</c:v>
                </c:pt>
                <c:pt idx="2">
                  <c:v>41581</c:v>
                </c:pt>
                <c:pt idx="3">
                  <c:v>41582</c:v>
                </c:pt>
                <c:pt idx="4">
                  <c:v>41583</c:v>
                </c:pt>
                <c:pt idx="5">
                  <c:v>41584</c:v>
                </c:pt>
                <c:pt idx="6">
                  <c:v>41585</c:v>
                </c:pt>
                <c:pt idx="7">
                  <c:v>41586</c:v>
                </c:pt>
                <c:pt idx="8">
                  <c:v>41587</c:v>
                </c:pt>
                <c:pt idx="9">
                  <c:v>41588</c:v>
                </c:pt>
                <c:pt idx="10">
                  <c:v>41589</c:v>
                </c:pt>
                <c:pt idx="11">
                  <c:v>41590</c:v>
                </c:pt>
                <c:pt idx="12">
                  <c:v>41591</c:v>
                </c:pt>
                <c:pt idx="13">
                  <c:v>41592</c:v>
                </c:pt>
                <c:pt idx="14">
                  <c:v>41593</c:v>
                </c:pt>
                <c:pt idx="15">
                  <c:v>41594</c:v>
                </c:pt>
                <c:pt idx="16">
                  <c:v>41595</c:v>
                </c:pt>
                <c:pt idx="17">
                  <c:v>41596</c:v>
                </c:pt>
                <c:pt idx="18">
                  <c:v>41597</c:v>
                </c:pt>
                <c:pt idx="19">
                  <c:v>41598</c:v>
                </c:pt>
                <c:pt idx="20">
                  <c:v>41599</c:v>
                </c:pt>
                <c:pt idx="21">
                  <c:v>41600</c:v>
                </c:pt>
                <c:pt idx="22">
                  <c:v>41601</c:v>
                </c:pt>
                <c:pt idx="23">
                  <c:v>41602</c:v>
                </c:pt>
                <c:pt idx="24">
                  <c:v>41603</c:v>
                </c:pt>
                <c:pt idx="25">
                  <c:v>41604</c:v>
                </c:pt>
                <c:pt idx="26">
                  <c:v>41605</c:v>
                </c:pt>
                <c:pt idx="27">
                  <c:v>41606</c:v>
                </c:pt>
                <c:pt idx="28">
                  <c:v>41607</c:v>
                </c:pt>
                <c:pt idx="29">
                  <c:v>41608</c:v>
                </c:pt>
                <c:pt idx="30">
                  <c:v>41609</c:v>
                </c:pt>
              </c:numCache>
            </c:numRef>
          </c:cat>
          <c:val>
            <c:numRef>
              <c:f>Mo.3!$V$12:$V$42</c:f>
              <c:numCache>
                <c:formatCode>_("$"* #,##0.00_);_("$"* \(#,##0.00\);_("$"* "-"??_);_(@_)</c:formatCode>
                <c:ptCount val="31"/>
                <c:pt idx="0">
                  <c:v>3298.88</c:v>
                </c:pt>
                <c:pt idx="1">
                  <c:v>3298.88</c:v>
                </c:pt>
                <c:pt idx="2">
                  <c:v>3298.88</c:v>
                </c:pt>
                <c:pt idx="3">
                  <c:v>3298.88</c:v>
                </c:pt>
                <c:pt idx="4">
                  <c:v>3298.88</c:v>
                </c:pt>
                <c:pt idx="5">
                  <c:v>3298.88</c:v>
                </c:pt>
                <c:pt idx="6">
                  <c:v>3298.88</c:v>
                </c:pt>
                <c:pt idx="7">
                  <c:v>3298.88</c:v>
                </c:pt>
                <c:pt idx="8">
                  <c:v>3298.88</c:v>
                </c:pt>
                <c:pt idx="9">
                  <c:v>3298.88</c:v>
                </c:pt>
                <c:pt idx="10">
                  <c:v>3298.88</c:v>
                </c:pt>
                <c:pt idx="11">
                  <c:v>3298.88</c:v>
                </c:pt>
                <c:pt idx="12">
                  <c:v>3298.88</c:v>
                </c:pt>
                <c:pt idx="13">
                  <c:v>3298.88</c:v>
                </c:pt>
                <c:pt idx="14">
                  <c:v>3298.88</c:v>
                </c:pt>
                <c:pt idx="15">
                  <c:v>3298.88</c:v>
                </c:pt>
                <c:pt idx="16">
                  <c:v>3298.88</c:v>
                </c:pt>
                <c:pt idx="17">
                  <c:v>3298.88</c:v>
                </c:pt>
                <c:pt idx="18">
                  <c:v>3298.88</c:v>
                </c:pt>
                <c:pt idx="19">
                  <c:v>3298.88</c:v>
                </c:pt>
                <c:pt idx="20">
                  <c:v>3298.88</c:v>
                </c:pt>
                <c:pt idx="21">
                  <c:v>3298.88</c:v>
                </c:pt>
                <c:pt idx="22">
                  <c:v>3298.88</c:v>
                </c:pt>
                <c:pt idx="23">
                  <c:v>3298.88</c:v>
                </c:pt>
                <c:pt idx="24">
                  <c:v>3298.88</c:v>
                </c:pt>
                <c:pt idx="25">
                  <c:v>3298.88</c:v>
                </c:pt>
                <c:pt idx="26">
                  <c:v>3298.88</c:v>
                </c:pt>
                <c:pt idx="27">
                  <c:v>3298.88</c:v>
                </c:pt>
                <c:pt idx="28">
                  <c:v>3298.88</c:v>
                </c:pt>
                <c:pt idx="29">
                  <c:v>3298.88</c:v>
                </c:pt>
                <c:pt idx="30">
                  <c:v>3298.88</c:v>
                </c:pt>
              </c:numCache>
            </c:numRef>
          </c:val>
        </c:ser>
        <c:dLbls>
          <c:showLegendKey val="0"/>
          <c:showVal val="0"/>
          <c:showCatName val="0"/>
          <c:showSerName val="0"/>
          <c:showPercent val="0"/>
          <c:showBubbleSize val="0"/>
        </c:dLbls>
        <c:axId val="238509720"/>
        <c:axId val="238510112"/>
      </c:areaChart>
      <c:lineChart>
        <c:grouping val="standard"/>
        <c:varyColors val="0"/>
        <c:ser>
          <c:idx val="1"/>
          <c:order val="1"/>
          <c:tx>
            <c:v>Target</c:v>
          </c:tx>
          <c:spPr>
            <a:ln w="22225" cap="rnd" cmpd="sng" algn="ctr">
              <a:solidFill>
                <a:srgbClr val="C00000"/>
              </a:solidFill>
              <a:round/>
            </a:ln>
            <a:effectLst/>
          </c:spPr>
          <c:marker>
            <c:symbol val="none"/>
          </c:marker>
          <c:val>
            <c:numRef>
              <c:f>Mo.3!$W$12:$W$42</c:f>
              <c:numCache>
                <c:formatCode>General</c:formatCode>
                <c:ptCount val="31"/>
                <c:pt idx="0">
                  <c:v>3298.880000000001</c:v>
                </c:pt>
                <c:pt idx="1">
                  <c:v>3298.880000000001</c:v>
                </c:pt>
                <c:pt idx="2">
                  <c:v>3298.880000000001</c:v>
                </c:pt>
                <c:pt idx="3">
                  <c:v>3298.880000000001</c:v>
                </c:pt>
                <c:pt idx="4">
                  <c:v>3298.880000000001</c:v>
                </c:pt>
                <c:pt idx="5">
                  <c:v>3298.880000000001</c:v>
                </c:pt>
                <c:pt idx="6">
                  <c:v>3298.880000000001</c:v>
                </c:pt>
                <c:pt idx="7">
                  <c:v>3298.880000000001</c:v>
                </c:pt>
                <c:pt idx="8">
                  <c:v>3298.880000000001</c:v>
                </c:pt>
                <c:pt idx="9">
                  <c:v>3298.880000000001</c:v>
                </c:pt>
                <c:pt idx="10">
                  <c:v>3298.880000000001</c:v>
                </c:pt>
                <c:pt idx="11">
                  <c:v>3298.880000000001</c:v>
                </c:pt>
                <c:pt idx="12">
                  <c:v>3298.880000000001</c:v>
                </c:pt>
                <c:pt idx="13">
                  <c:v>3298.880000000001</c:v>
                </c:pt>
                <c:pt idx="14">
                  <c:v>3298.880000000001</c:v>
                </c:pt>
                <c:pt idx="15">
                  <c:v>3298.880000000001</c:v>
                </c:pt>
                <c:pt idx="16">
                  <c:v>3298.880000000001</c:v>
                </c:pt>
                <c:pt idx="17">
                  <c:v>3298.880000000001</c:v>
                </c:pt>
                <c:pt idx="18">
                  <c:v>3298.880000000001</c:v>
                </c:pt>
                <c:pt idx="19">
                  <c:v>3298.880000000001</c:v>
                </c:pt>
                <c:pt idx="20">
                  <c:v>3298.880000000001</c:v>
                </c:pt>
                <c:pt idx="21">
                  <c:v>3298.880000000001</c:v>
                </c:pt>
                <c:pt idx="22">
                  <c:v>3298.880000000001</c:v>
                </c:pt>
                <c:pt idx="23">
                  <c:v>3298.880000000001</c:v>
                </c:pt>
                <c:pt idx="24">
                  <c:v>3298.880000000001</c:v>
                </c:pt>
                <c:pt idx="25">
                  <c:v>3298.880000000001</c:v>
                </c:pt>
                <c:pt idx="26">
                  <c:v>3298.880000000001</c:v>
                </c:pt>
                <c:pt idx="27">
                  <c:v>3298.880000000001</c:v>
                </c:pt>
                <c:pt idx="28">
                  <c:v>3298.880000000001</c:v>
                </c:pt>
                <c:pt idx="29">
                  <c:v>3298.880000000001</c:v>
                </c:pt>
                <c:pt idx="30">
                  <c:v>3298.880000000001</c:v>
                </c:pt>
              </c:numCache>
            </c:numRef>
          </c:val>
          <c:smooth val="0"/>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38509720"/>
        <c:axId val="238510112"/>
      </c:lineChart>
      <c:dateAx>
        <c:axId val="238509720"/>
        <c:scaling>
          <c:orientation val="minMax"/>
        </c:scaling>
        <c:delete val="0"/>
        <c:axPos val="b"/>
        <c:numFmt formatCode="m/d"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800" b="0" i="0" u="none" strike="noStrike" kern="1200" spc="20" baseline="0">
                <a:solidFill>
                  <a:schemeClr val="bg1">
                    <a:lumMod val="50000"/>
                  </a:schemeClr>
                </a:solidFill>
                <a:latin typeface="+mn-lt"/>
                <a:ea typeface="+mn-ea"/>
                <a:cs typeface="+mn-cs"/>
              </a:defRPr>
            </a:pPr>
            <a:endParaRPr lang="en-US"/>
          </a:p>
        </c:txPr>
        <c:crossAx val="238510112"/>
        <c:crosses val="autoZero"/>
        <c:auto val="1"/>
        <c:lblOffset val="100"/>
        <c:baseTimeUnit val="days"/>
        <c:majorUnit val="5"/>
        <c:majorTimeUnit val="days"/>
      </c:dateAx>
      <c:valAx>
        <c:axId val="238510112"/>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spc="20" baseline="0">
                <a:solidFill>
                  <a:schemeClr val="bg1">
                    <a:lumMod val="50000"/>
                  </a:schemeClr>
                </a:solidFill>
                <a:latin typeface="+mn-lt"/>
                <a:ea typeface="+mn-ea"/>
                <a:cs typeface="+mn-cs"/>
              </a:defRPr>
            </a:pPr>
            <a:endParaRPr lang="en-US"/>
          </a:p>
        </c:txPr>
        <c:crossAx val="23850972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322072631526647E-2"/>
          <c:y val="0.10714305801098239"/>
          <c:w val="0.87456763252024439"/>
          <c:h val="0.67621049158322377"/>
        </c:manualLayout>
      </c:layout>
      <c:barChart>
        <c:barDir val="col"/>
        <c:grouping val="clustered"/>
        <c:varyColors val="0"/>
        <c:ser>
          <c:idx val="0"/>
          <c:order val="0"/>
          <c:tx>
            <c:strRef>
              <c:f>Mo.4!$S$1</c:f>
              <c:strCache>
                <c:ptCount val="1"/>
                <c:pt idx="0">
                  <c:v>Budget</c:v>
                </c:pt>
              </c:strCache>
            </c:strRef>
          </c:tx>
          <c:spPr>
            <a:solidFill>
              <a:srgbClr val="CCFF99"/>
            </a:solidFill>
            <a:ln w="9525" cap="flat" cmpd="sng" algn="ctr">
              <a:solidFill>
                <a:schemeClr val="bg1">
                  <a:lumMod val="50000"/>
                </a:schemeClr>
              </a:solidFill>
              <a:round/>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Mo.4!$R$3:$R$8</c:f>
              <c:strCache>
                <c:ptCount val="6"/>
                <c:pt idx="0">
                  <c:v>Housing</c:v>
                </c:pt>
                <c:pt idx="1">
                  <c:v>Transportation</c:v>
                </c:pt>
                <c:pt idx="2">
                  <c:v>Bills</c:v>
                </c:pt>
                <c:pt idx="3">
                  <c:v>Living</c:v>
                </c:pt>
                <c:pt idx="4">
                  <c:v>Entertainment</c:v>
                </c:pt>
                <c:pt idx="5">
                  <c:v>Misc.</c:v>
                </c:pt>
              </c:strCache>
            </c:strRef>
          </c:cat>
          <c:val>
            <c:numRef>
              <c:f>Mo.4!$S$3:$S$8</c:f>
              <c:numCache>
                <c:formatCode>General</c:formatCode>
                <c:ptCount val="6"/>
                <c:pt idx="0">
                  <c:v>0</c:v>
                </c:pt>
                <c:pt idx="1">
                  <c:v>0</c:v>
                </c:pt>
                <c:pt idx="2">
                  <c:v>0</c:v>
                </c:pt>
                <c:pt idx="3">
                  <c:v>0</c:v>
                </c:pt>
                <c:pt idx="4">
                  <c:v>0</c:v>
                </c:pt>
                <c:pt idx="5">
                  <c:v>0</c:v>
                </c:pt>
              </c:numCache>
            </c:numRef>
          </c:val>
        </c:ser>
        <c:ser>
          <c:idx val="1"/>
          <c:order val="1"/>
          <c:tx>
            <c:strRef>
              <c:f>Mo.4!$T$1</c:f>
              <c:strCache>
                <c:ptCount val="1"/>
                <c:pt idx="0">
                  <c:v>Actual</c:v>
                </c:pt>
              </c:strCache>
            </c:strRef>
          </c:tx>
          <c:spPr>
            <a:solidFill>
              <a:srgbClr val="FF5050">
                <a:alpha val="50000"/>
              </a:srgbClr>
            </a:solidFill>
            <a:ln w="9525" cap="flat" cmpd="sng" algn="ctr">
              <a:solidFill>
                <a:schemeClr val="bg1">
                  <a:lumMod val="50000"/>
                </a:schemeClr>
              </a:solidFill>
              <a:round/>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Mo.4!$R$3:$R$8</c:f>
              <c:strCache>
                <c:ptCount val="6"/>
                <c:pt idx="0">
                  <c:v>Housing</c:v>
                </c:pt>
                <c:pt idx="1">
                  <c:v>Transportation</c:v>
                </c:pt>
                <c:pt idx="2">
                  <c:v>Bills</c:v>
                </c:pt>
                <c:pt idx="3">
                  <c:v>Living</c:v>
                </c:pt>
                <c:pt idx="4">
                  <c:v>Entertainment</c:v>
                </c:pt>
                <c:pt idx="5">
                  <c:v>Misc.</c:v>
                </c:pt>
              </c:strCache>
            </c:strRef>
          </c:cat>
          <c:val>
            <c:numRef>
              <c:f>Mo.4!$T$3:$T$8</c:f>
              <c:numCache>
                <c:formatCode>General</c:formatCode>
                <c:ptCount val="6"/>
                <c:pt idx="0">
                  <c:v>0</c:v>
                </c:pt>
                <c:pt idx="1">
                  <c:v>0</c:v>
                </c:pt>
                <c:pt idx="2">
                  <c:v>0</c:v>
                </c:pt>
                <c:pt idx="3">
                  <c:v>0</c:v>
                </c:pt>
                <c:pt idx="4">
                  <c:v>0</c:v>
                </c:pt>
                <c:pt idx="5">
                  <c:v>0</c:v>
                </c:pt>
              </c:numCache>
            </c:numRef>
          </c:val>
        </c:ser>
        <c:dLbls>
          <c:showLegendKey val="0"/>
          <c:showVal val="0"/>
          <c:showCatName val="0"/>
          <c:showSerName val="0"/>
          <c:showPercent val="0"/>
          <c:showBubbleSize val="0"/>
        </c:dLbls>
        <c:gapWidth val="20"/>
        <c:overlap val="100"/>
        <c:axId val="238508544"/>
        <c:axId val="238508152"/>
      </c:barChart>
      <c:catAx>
        <c:axId val="238508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38508152"/>
        <c:crosses val="autoZero"/>
        <c:auto val="1"/>
        <c:lblAlgn val="ctr"/>
        <c:lblOffset val="100"/>
        <c:noMultiLvlLbl val="0"/>
      </c:catAx>
      <c:valAx>
        <c:axId val="2385081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2385085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79195972389572"/>
          <c:y val="9.5238095238095233E-2"/>
          <c:w val="0.80822820634965109"/>
          <c:h val="0.68640794900637425"/>
        </c:manualLayout>
      </c:layout>
      <c:areaChart>
        <c:grouping val="standard"/>
        <c:varyColors val="0"/>
        <c:ser>
          <c:idx val="0"/>
          <c:order val="0"/>
          <c:tx>
            <c:strRef>
              <c:f>Mo.4!$V$11</c:f>
              <c:strCache>
                <c:ptCount val="1"/>
                <c:pt idx="0">
                  <c:v>Balance</c:v>
                </c:pt>
              </c:strCache>
            </c:strRef>
          </c:tx>
          <c:spPr>
            <a:solidFill>
              <a:schemeClr val="accent6">
                <a:lumMod val="60000"/>
                <a:lumOff val="40000"/>
              </a:schemeClr>
            </a:solidFill>
            <a:ln w="9525" cap="flat" cmpd="sng" algn="ctr">
              <a:solidFill>
                <a:schemeClr val="accent6">
                  <a:lumMod val="50000"/>
                </a:schemeClr>
              </a:solidFill>
              <a:round/>
            </a:ln>
            <a:effectLst/>
          </c:spPr>
          <c:cat>
            <c:numRef>
              <c:f>Mo.4!$S$12:$S$42</c:f>
              <c:numCache>
                <c:formatCode>m/d\ \(ddd\)</c:formatCode>
                <c:ptCount val="31"/>
                <c:pt idx="0">
                  <c:v>41609</c:v>
                </c:pt>
                <c:pt idx="1">
                  <c:v>41610</c:v>
                </c:pt>
                <c:pt idx="2">
                  <c:v>41611</c:v>
                </c:pt>
                <c:pt idx="3">
                  <c:v>41612</c:v>
                </c:pt>
                <c:pt idx="4">
                  <c:v>41613</c:v>
                </c:pt>
                <c:pt idx="5">
                  <c:v>41614</c:v>
                </c:pt>
                <c:pt idx="6">
                  <c:v>41615</c:v>
                </c:pt>
                <c:pt idx="7">
                  <c:v>41616</c:v>
                </c:pt>
                <c:pt idx="8">
                  <c:v>41617</c:v>
                </c:pt>
                <c:pt idx="9">
                  <c:v>41618</c:v>
                </c:pt>
                <c:pt idx="10">
                  <c:v>41619</c:v>
                </c:pt>
                <c:pt idx="11">
                  <c:v>41620</c:v>
                </c:pt>
                <c:pt idx="12">
                  <c:v>41621</c:v>
                </c:pt>
                <c:pt idx="13">
                  <c:v>41622</c:v>
                </c:pt>
                <c:pt idx="14">
                  <c:v>41623</c:v>
                </c:pt>
                <c:pt idx="15">
                  <c:v>41624</c:v>
                </c:pt>
                <c:pt idx="16">
                  <c:v>41625</c:v>
                </c:pt>
                <c:pt idx="17">
                  <c:v>41626</c:v>
                </c:pt>
                <c:pt idx="18">
                  <c:v>41627</c:v>
                </c:pt>
                <c:pt idx="19">
                  <c:v>41628</c:v>
                </c:pt>
                <c:pt idx="20">
                  <c:v>41629</c:v>
                </c:pt>
                <c:pt idx="21">
                  <c:v>41630</c:v>
                </c:pt>
                <c:pt idx="22">
                  <c:v>41631</c:v>
                </c:pt>
                <c:pt idx="23">
                  <c:v>41632</c:v>
                </c:pt>
                <c:pt idx="24">
                  <c:v>41633</c:v>
                </c:pt>
                <c:pt idx="25">
                  <c:v>41634</c:v>
                </c:pt>
                <c:pt idx="26">
                  <c:v>41635</c:v>
                </c:pt>
                <c:pt idx="27">
                  <c:v>41636</c:v>
                </c:pt>
                <c:pt idx="28">
                  <c:v>41637</c:v>
                </c:pt>
                <c:pt idx="29">
                  <c:v>41638</c:v>
                </c:pt>
                <c:pt idx="30">
                  <c:v>41639</c:v>
                </c:pt>
              </c:numCache>
            </c:numRef>
          </c:cat>
          <c:val>
            <c:numRef>
              <c:f>Mo.4!$V$12:$V$42</c:f>
              <c:numCache>
                <c:formatCode>_("$"* #,##0.00_);_("$"* \(#,##0.00\);_("$"* "-"??_);_(@_)</c:formatCode>
                <c:ptCount val="31"/>
                <c:pt idx="0">
                  <c:v>1156.74</c:v>
                </c:pt>
                <c:pt idx="1">
                  <c:v>1156.74</c:v>
                </c:pt>
                <c:pt idx="2">
                  <c:v>1156.74</c:v>
                </c:pt>
                <c:pt idx="3">
                  <c:v>1156.74</c:v>
                </c:pt>
                <c:pt idx="4">
                  <c:v>1156.74</c:v>
                </c:pt>
                <c:pt idx="5">
                  <c:v>1156.74</c:v>
                </c:pt>
                <c:pt idx="6">
                  <c:v>1156.74</c:v>
                </c:pt>
                <c:pt idx="7">
                  <c:v>1156.74</c:v>
                </c:pt>
                <c:pt idx="8">
                  <c:v>1156.74</c:v>
                </c:pt>
                <c:pt idx="9">
                  <c:v>1156.74</c:v>
                </c:pt>
                <c:pt idx="10">
                  <c:v>1156.74</c:v>
                </c:pt>
                <c:pt idx="11">
                  <c:v>1156.74</c:v>
                </c:pt>
                <c:pt idx="12">
                  <c:v>1156.74</c:v>
                </c:pt>
                <c:pt idx="13">
                  <c:v>1156.74</c:v>
                </c:pt>
                <c:pt idx="14">
                  <c:v>1156.74</c:v>
                </c:pt>
                <c:pt idx="15">
                  <c:v>1156.74</c:v>
                </c:pt>
                <c:pt idx="16">
                  <c:v>1156.74</c:v>
                </c:pt>
                <c:pt idx="17">
                  <c:v>1156.74</c:v>
                </c:pt>
                <c:pt idx="18">
                  <c:v>1156.74</c:v>
                </c:pt>
                <c:pt idx="19">
                  <c:v>1156.74</c:v>
                </c:pt>
                <c:pt idx="20">
                  <c:v>1156.74</c:v>
                </c:pt>
                <c:pt idx="21">
                  <c:v>1156.74</c:v>
                </c:pt>
                <c:pt idx="22">
                  <c:v>1156.74</c:v>
                </c:pt>
                <c:pt idx="23">
                  <c:v>1156.74</c:v>
                </c:pt>
                <c:pt idx="24">
                  <c:v>1156.74</c:v>
                </c:pt>
                <c:pt idx="25">
                  <c:v>1156.74</c:v>
                </c:pt>
                <c:pt idx="26">
                  <c:v>1156.74</c:v>
                </c:pt>
                <c:pt idx="27">
                  <c:v>1156.74</c:v>
                </c:pt>
                <c:pt idx="28">
                  <c:v>1156.74</c:v>
                </c:pt>
                <c:pt idx="29">
                  <c:v>1156.74</c:v>
                </c:pt>
                <c:pt idx="30">
                  <c:v>1156.74</c:v>
                </c:pt>
              </c:numCache>
            </c:numRef>
          </c:val>
        </c:ser>
        <c:dLbls>
          <c:showLegendKey val="0"/>
          <c:showVal val="0"/>
          <c:showCatName val="0"/>
          <c:showSerName val="0"/>
          <c:showPercent val="0"/>
          <c:showBubbleSize val="0"/>
        </c:dLbls>
        <c:axId val="238507760"/>
        <c:axId val="238506976"/>
      </c:areaChart>
      <c:lineChart>
        <c:grouping val="standard"/>
        <c:varyColors val="0"/>
        <c:ser>
          <c:idx val="1"/>
          <c:order val="1"/>
          <c:tx>
            <c:v>Target</c:v>
          </c:tx>
          <c:spPr>
            <a:ln w="22225" cap="rnd" cmpd="sng" algn="ctr">
              <a:solidFill>
                <a:srgbClr val="C00000"/>
              </a:solidFill>
              <a:round/>
            </a:ln>
            <a:effectLst/>
          </c:spPr>
          <c:marker>
            <c:symbol val="none"/>
          </c:marker>
          <c:val>
            <c:numRef>
              <c:f>Mo.4!$W$12:$W$42</c:f>
              <c:numCache>
                <c:formatCode>General</c:formatCode>
                <c:ptCount val="31"/>
                <c:pt idx="0">
                  <c:v>1156.7400000000005</c:v>
                </c:pt>
                <c:pt idx="1">
                  <c:v>1156.7400000000005</c:v>
                </c:pt>
                <c:pt idx="2">
                  <c:v>1156.7400000000005</c:v>
                </c:pt>
                <c:pt idx="3">
                  <c:v>1156.7400000000005</c:v>
                </c:pt>
                <c:pt idx="4">
                  <c:v>1156.7400000000005</c:v>
                </c:pt>
                <c:pt idx="5">
                  <c:v>1156.7400000000005</c:v>
                </c:pt>
                <c:pt idx="6">
                  <c:v>1156.7400000000005</c:v>
                </c:pt>
                <c:pt idx="7">
                  <c:v>1156.7400000000005</c:v>
                </c:pt>
                <c:pt idx="8">
                  <c:v>1156.7400000000005</c:v>
                </c:pt>
                <c:pt idx="9">
                  <c:v>1156.7400000000005</c:v>
                </c:pt>
                <c:pt idx="10">
                  <c:v>1156.7400000000005</c:v>
                </c:pt>
                <c:pt idx="11">
                  <c:v>1156.7400000000005</c:v>
                </c:pt>
                <c:pt idx="12">
                  <c:v>1156.7400000000005</c:v>
                </c:pt>
                <c:pt idx="13">
                  <c:v>1156.7400000000005</c:v>
                </c:pt>
                <c:pt idx="14">
                  <c:v>1156.7400000000005</c:v>
                </c:pt>
                <c:pt idx="15">
                  <c:v>1156.7400000000005</c:v>
                </c:pt>
                <c:pt idx="16">
                  <c:v>1156.7400000000005</c:v>
                </c:pt>
                <c:pt idx="17">
                  <c:v>1156.7400000000005</c:v>
                </c:pt>
                <c:pt idx="18">
                  <c:v>1156.7400000000005</c:v>
                </c:pt>
                <c:pt idx="19">
                  <c:v>1156.7400000000005</c:v>
                </c:pt>
                <c:pt idx="20">
                  <c:v>1156.7400000000005</c:v>
                </c:pt>
                <c:pt idx="21">
                  <c:v>1156.7400000000005</c:v>
                </c:pt>
                <c:pt idx="22">
                  <c:v>1156.7400000000005</c:v>
                </c:pt>
                <c:pt idx="23">
                  <c:v>1156.7400000000005</c:v>
                </c:pt>
                <c:pt idx="24">
                  <c:v>1156.7400000000005</c:v>
                </c:pt>
                <c:pt idx="25">
                  <c:v>1156.7400000000005</c:v>
                </c:pt>
                <c:pt idx="26">
                  <c:v>1156.7400000000005</c:v>
                </c:pt>
                <c:pt idx="27">
                  <c:v>1156.7400000000005</c:v>
                </c:pt>
                <c:pt idx="28">
                  <c:v>1156.7400000000005</c:v>
                </c:pt>
                <c:pt idx="29">
                  <c:v>1156.7400000000005</c:v>
                </c:pt>
                <c:pt idx="30">
                  <c:v>1156.7400000000005</c:v>
                </c:pt>
              </c:numCache>
            </c:numRef>
          </c:val>
          <c:smooth val="0"/>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38507760"/>
        <c:axId val="238506976"/>
      </c:lineChart>
      <c:dateAx>
        <c:axId val="238507760"/>
        <c:scaling>
          <c:orientation val="minMax"/>
        </c:scaling>
        <c:delete val="0"/>
        <c:axPos val="b"/>
        <c:numFmt formatCode="m/d"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800" b="0" i="0" u="none" strike="noStrike" kern="1200" spc="20" baseline="0">
                <a:solidFill>
                  <a:schemeClr val="bg1">
                    <a:lumMod val="50000"/>
                  </a:schemeClr>
                </a:solidFill>
                <a:latin typeface="+mn-lt"/>
                <a:ea typeface="+mn-ea"/>
                <a:cs typeface="+mn-cs"/>
              </a:defRPr>
            </a:pPr>
            <a:endParaRPr lang="en-US"/>
          </a:p>
        </c:txPr>
        <c:crossAx val="238506976"/>
        <c:crosses val="autoZero"/>
        <c:auto val="1"/>
        <c:lblOffset val="100"/>
        <c:baseTimeUnit val="days"/>
        <c:majorUnit val="5"/>
        <c:majorTimeUnit val="days"/>
      </c:dateAx>
      <c:valAx>
        <c:axId val="238506976"/>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spc="20" baseline="0">
                <a:solidFill>
                  <a:schemeClr val="bg1">
                    <a:lumMod val="50000"/>
                  </a:schemeClr>
                </a:solidFill>
                <a:latin typeface="+mn-lt"/>
                <a:ea typeface="+mn-ea"/>
                <a:cs typeface="+mn-cs"/>
              </a:defRPr>
            </a:pPr>
            <a:endParaRPr lang="en-US"/>
          </a:p>
        </c:txPr>
        <c:crossAx val="23850776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322072631526647E-2"/>
          <c:y val="0.10714305801098239"/>
          <c:w val="0.87456763252024439"/>
          <c:h val="0.67621049158322377"/>
        </c:manualLayout>
      </c:layout>
      <c:barChart>
        <c:barDir val="col"/>
        <c:grouping val="clustered"/>
        <c:varyColors val="0"/>
        <c:ser>
          <c:idx val="0"/>
          <c:order val="0"/>
          <c:tx>
            <c:strRef>
              <c:f>Mo.5!$S$1</c:f>
              <c:strCache>
                <c:ptCount val="1"/>
                <c:pt idx="0">
                  <c:v>Budget</c:v>
                </c:pt>
              </c:strCache>
            </c:strRef>
          </c:tx>
          <c:spPr>
            <a:solidFill>
              <a:srgbClr val="CCFF99"/>
            </a:solidFill>
            <a:ln w="9525" cap="flat" cmpd="sng" algn="ctr">
              <a:solidFill>
                <a:schemeClr val="bg1">
                  <a:lumMod val="50000"/>
                </a:schemeClr>
              </a:solidFill>
              <a:round/>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Mo.5!$R$3:$R$8</c:f>
              <c:strCache>
                <c:ptCount val="6"/>
                <c:pt idx="0">
                  <c:v>Housing</c:v>
                </c:pt>
                <c:pt idx="1">
                  <c:v>Transportation</c:v>
                </c:pt>
                <c:pt idx="2">
                  <c:v>Bills</c:v>
                </c:pt>
                <c:pt idx="3">
                  <c:v>Living</c:v>
                </c:pt>
                <c:pt idx="4">
                  <c:v>Entertainment</c:v>
                </c:pt>
                <c:pt idx="5">
                  <c:v>Misc.</c:v>
                </c:pt>
              </c:strCache>
            </c:strRef>
          </c:cat>
          <c:val>
            <c:numRef>
              <c:f>Mo.5!$S$3:$S$8</c:f>
              <c:numCache>
                <c:formatCode>General</c:formatCode>
                <c:ptCount val="6"/>
                <c:pt idx="0">
                  <c:v>0</c:v>
                </c:pt>
                <c:pt idx="1">
                  <c:v>0</c:v>
                </c:pt>
                <c:pt idx="2">
                  <c:v>0</c:v>
                </c:pt>
                <c:pt idx="3">
                  <c:v>0</c:v>
                </c:pt>
                <c:pt idx="4">
                  <c:v>0</c:v>
                </c:pt>
                <c:pt idx="5">
                  <c:v>0</c:v>
                </c:pt>
              </c:numCache>
            </c:numRef>
          </c:val>
        </c:ser>
        <c:ser>
          <c:idx val="1"/>
          <c:order val="1"/>
          <c:tx>
            <c:strRef>
              <c:f>Mo.5!$T$1</c:f>
              <c:strCache>
                <c:ptCount val="1"/>
                <c:pt idx="0">
                  <c:v>Actual</c:v>
                </c:pt>
              </c:strCache>
            </c:strRef>
          </c:tx>
          <c:spPr>
            <a:solidFill>
              <a:srgbClr val="FF5050">
                <a:alpha val="50000"/>
              </a:srgbClr>
            </a:solidFill>
            <a:ln w="9525" cap="flat" cmpd="sng" algn="ctr">
              <a:solidFill>
                <a:schemeClr val="bg1">
                  <a:lumMod val="50000"/>
                </a:schemeClr>
              </a:solidFill>
              <a:round/>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Mo.5!$R$3:$R$8</c:f>
              <c:strCache>
                <c:ptCount val="6"/>
                <c:pt idx="0">
                  <c:v>Housing</c:v>
                </c:pt>
                <c:pt idx="1">
                  <c:v>Transportation</c:v>
                </c:pt>
                <c:pt idx="2">
                  <c:v>Bills</c:v>
                </c:pt>
                <c:pt idx="3">
                  <c:v>Living</c:v>
                </c:pt>
                <c:pt idx="4">
                  <c:v>Entertainment</c:v>
                </c:pt>
                <c:pt idx="5">
                  <c:v>Misc.</c:v>
                </c:pt>
              </c:strCache>
            </c:strRef>
          </c:cat>
          <c:val>
            <c:numRef>
              <c:f>Mo.5!$T$3:$T$8</c:f>
              <c:numCache>
                <c:formatCode>General</c:formatCode>
                <c:ptCount val="6"/>
                <c:pt idx="0">
                  <c:v>0</c:v>
                </c:pt>
                <c:pt idx="1">
                  <c:v>0</c:v>
                </c:pt>
                <c:pt idx="2">
                  <c:v>0</c:v>
                </c:pt>
                <c:pt idx="3">
                  <c:v>0</c:v>
                </c:pt>
                <c:pt idx="4">
                  <c:v>0</c:v>
                </c:pt>
                <c:pt idx="5">
                  <c:v>0</c:v>
                </c:pt>
              </c:numCache>
            </c:numRef>
          </c:val>
        </c:ser>
        <c:dLbls>
          <c:showLegendKey val="0"/>
          <c:showVal val="0"/>
          <c:showCatName val="0"/>
          <c:showSerName val="0"/>
          <c:showPercent val="0"/>
          <c:showBubbleSize val="0"/>
        </c:dLbls>
        <c:gapWidth val="20"/>
        <c:overlap val="100"/>
        <c:axId val="238511288"/>
        <c:axId val="238511680"/>
      </c:barChart>
      <c:catAx>
        <c:axId val="238511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38511680"/>
        <c:crosses val="autoZero"/>
        <c:auto val="1"/>
        <c:lblAlgn val="ctr"/>
        <c:lblOffset val="100"/>
        <c:noMultiLvlLbl val="0"/>
      </c:catAx>
      <c:valAx>
        <c:axId val="2385116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238511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79195972389572"/>
          <c:y val="9.5238095238095233E-2"/>
          <c:w val="0.80822820634965109"/>
          <c:h val="0.68640794900637425"/>
        </c:manualLayout>
      </c:layout>
      <c:areaChart>
        <c:grouping val="standard"/>
        <c:varyColors val="0"/>
        <c:ser>
          <c:idx val="0"/>
          <c:order val="0"/>
          <c:tx>
            <c:strRef>
              <c:f>Mo.5!$V$11</c:f>
              <c:strCache>
                <c:ptCount val="1"/>
                <c:pt idx="0">
                  <c:v>Balance</c:v>
                </c:pt>
              </c:strCache>
            </c:strRef>
          </c:tx>
          <c:spPr>
            <a:solidFill>
              <a:schemeClr val="accent6">
                <a:lumMod val="60000"/>
                <a:lumOff val="40000"/>
              </a:schemeClr>
            </a:solidFill>
            <a:ln w="9525" cap="flat" cmpd="sng" algn="ctr">
              <a:solidFill>
                <a:schemeClr val="accent6">
                  <a:lumMod val="50000"/>
                </a:schemeClr>
              </a:solidFill>
              <a:round/>
            </a:ln>
            <a:effectLst/>
          </c:spPr>
          <c:cat>
            <c:numRef>
              <c:f>Mo.5!$S$12:$S$42</c:f>
              <c:numCache>
                <c:formatCode>m/d\ \(ddd\)</c:formatCode>
                <c:ptCount val="31"/>
                <c:pt idx="0">
                  <c:v>41640</c:v>
                </c:pt>
                <c:pt idx="1">
                  <c:v>41641</c:v>
                </c:pt>
                <c:pt idx="2">
                  <c:v>41642</c:v>
                </c:pt>
                <c:pt idx="3">
                  <c:v>41643</c:v>
                </c:pt>
                <c:pt idx="4">
                  <c:v>41644</c:v>
                </c:pt>
                <c:pt idx="5">
                  <c:v>41645</c:v>
                </c:pt>
                <c:pt idx="6">
                  <c:v>41646</c:v>
                </c:pt>
                <c:pt idx="7">
                  <c:v>41647</c:v>
                </c:pt>
                <c:pt idx="8">
                  <c:v>41648</c:v>
                </c:pt>
                <c:pt idx="9">
                  <c:v>41649</c:v>
                </c:pt>
                <c:pt idx="10">
                  <c:v>41650</c:v>
                </c:pt>
                <c:pt idx="11">
                  <c:v>41651</c:v>
                </c:pt>
                <c:pt idx="12">
                  <c:v>41652</c:v>
                </c:pt>
                <c:pt idx="13">
                  <c:v>41653</c:v>
                </c:pt>
                <c:pt idx="14">
                  <c:v>41654</c:v>
                </c:pt>
                <c:pt idx="15">
                  <c:v>41655</c:v>
                </c:pt>
                <c:pt idx="16">
                  <c:v>41656</c:v>
                </c:pt>
                <c:pt idx="17">
                  <c:v>41657</c:v>
                </c:pt>
                <c:pt idx="18">
                  <c:v>41658</c:v>
                </c:pt>
                <c:pt idx="19">
                  <c:v>41659</c:v>
                </c:pt>
                <c:pt idx="20">
                  <c:v>41660</c:v>
                </c:pt>
                <c:pt idx="21">
                  <c:v>41661</c:v>
                </c:pt>
                <c:pt idx="22">
                  <c:v>41662</c:v>
                </c:pt>
                <c:pt idx="23">
                  <c:v>41663</c:v>
                </c:pt>
                <c:pt idx="24">
                  <c:v>41664</c:v>
                </c:pt>
                <c:pt idx="25">
                  <c:v>41665</c:v>
                </c:pt>
                <c:pt idx="26">
                  <c:v>41666</c:v>
                </c:pt>
                <c:pt idx="27">
                  <c:v>41667</c:v>
                </c:pt>
                <c:pt idx="28">
                  <c:v>41668</c:v>
                </c:pt>
                <c:pt idx="29">
                  <c:v>41669</c:v>
                </c:pt>
                <c:pt idx="30">
                  <c:v>41670</c:v>
                </c:pt>
              </c:numCache>
            </c:numRef>
          </c:cat>
          <c:val>
            <c:numRef>
              <c:f>Mo.5!$V$12:$V$42</c:f>
              <c:numCache>
                <c:formatCode>_("$"* #,##0.00_);_("$"* \(#,##0.00\);_("$"* "-"??_);_(@_)</c:formatCode>
                <c:ptCount val="31"/>
                <c:pt idx="0">
                  <c:v>1156.74</c:v>
                </c:pt>
                <c:pt idx="1">
                  <c:v>1156.74</c:v>
                </c:pt>
                <c:pt idx="2">
                  <c:v>1156.74</c:v>
                </c:pt>
                <c:pt idx="3">
                  <c:v>1156.74</c:v>
                </c:pt>
                <c:pt idx="4">
                  <c:v>1156.74</c:v>
                </c:pt>
                <c:pt idx="5">
                  <c:v>1156.74</c:v>
                </c:pt>
                <c:pt idx="6">
                  <c:v>1156.74</c:v>
                </c:pt>
                <c:pt idx="7">
                  <c:v>1156.74</c:v>
                </c:pt>
                <c:pt idx="8">
                  <c:v>1156.74</c:v>
                </c:pt>
                <c:pt idx="9">
                  <c:v>1156.74</c:v>
                </c:pt>
                <c:pt idx="10">
                  <c:v>1156.74</c:v>
                </c:pt>
                <c:pt idx="11">
                  <c:v>1156.74</c:v>
                </c:pt>
                <c:pt idx="12">
                  <c:v>1156.74</c:v>
                </c:pt>
                <c:pt idx="13">
                  <c:v>1156.74</c:v>
                </c:pt>
                <c:pt idx="14">
                  <c:v>1156.74</c:v>
                </c:pt>
                <c:pt idx="15">
                  <c:v>1156.74</c:v>
                </c:pt>
                <c:pt idx="16">
                  <c:v>1156.74</c:v>
                </c:pt>
                <c:pt idx="17">
                  <c:v>1156.74</c:v>
                </c:pt>
                <c:pt idx="18">
                  <c:v>1156.74</c:v>
                </c:pt>
                <c:pt idx="19">
                  <c:v>1156.74</c:v>
                </c:pt>
                <c:pt idx="20">
                  <c:v>1156.74</c:v>
                </c:pt>
                <c:pt idx="21">
                  <c:v>1156.74</c:v>
                </c:pt>
                <c:pt idx="22">
                  <c:v>1156.74</c:v>
                </c:pt>
                <c:pt idx="23">
                  <c:v>1156.74</c:v>
                </c:pt>
                <c:pt idx="24">
                  <c:v>1156.74</c:v>
                </c:pt>
                <c:pt idx="25">
                  <c:v>1156.74</c:v>
                </c:pt>
                <c:pt idx="26">
                  <c:v>1156.74</c:v>
                </c:pt>
                <c:pt idx="27">
                  <c:v>1156.74</c:v>
                </c:pt>
                <c:pt idx="28">
                  <c:v>1156.74</c:v>
                </c:pt>
                <c:pt idx="29">
                  <c:v>1156.74</c:v>
                </c:pt>
                <c:pt idx="30">
                  <c:v>1156.74</c:v>
                </c:pt>
              </c:numCache>
            </c:numRef>
          </c:val>
        </c:ser>
        <c:dLbls>
          <c:showLegendKey val="0"/>
          <c:showVal val="0"/>
          <c:showCatName val="0"/>
          <c:showSerName val="0"/>
          <c:showPercent val="0"/>
          <c:showBubbleSize val="0"/>
        </c:dLbls>
        <c:axId val="238512464"/>
        <c:axId val="238512856"/>
      </c:areaChart>
      <c:lineChart>
        <c:grouping val="standard"/>
        <c:varyColors val="0"/>
        <c:ser>
          <c:idx val="1"/>
          <c:order val="1"/>
          <c:tx>
            <c:v>Target</c:v>
          </c:tx>
          <c:spPr>
            <a:ln w="22225" cap="rnd" cmpd="sng" algn="ctr">
              <a:solidFill>
                <a:srgbClr val="C00000"/>
              </a:solidFill>
              <a:round/>
            </a:ln>
            <a:effectLst/>
          </c:spPr>
          <c:marker>
            <c:symbol val="none"/>
          </c:marker>
          <c:val>
            <c:numRef>
              <c:f>Mo.5!$W$12:$W$42</c:f>
              <c:numCache>
                <c:formatCode>General</c:formatCode>
                <c:ptCount val="31"/>
                <c:pt idx="0">
                  <c:v>1156.7400000000005</c:v>
                </c:pt>
                <c:pt idx="1">
                  <c:v>1156.7400000000005</c:v>
                </c:pt>
                <c:pt idx="2">
                  <c:v>1156.7400000000005</c:v>
                </c:pt>
                <c:pt idx="3">
                  <c:v>1156.7400000000005</c:v>
                </c:pt>
                <c:pt idx="4">
                  <c:v>1156.7400000000005</c:v>
                </c:pt>
                <c:pt idx="5">
                  <c:v>1156.7400000000005</c:v>
                </c:pt>
                <c:pt idx="6">
                  <c:v>1156.7400000000005</c:v>
                </c:pt>
                <c:pt idx="7">
                  <c:v>1156.7400000000005</c:v>
                </c:pt>
                <c:pt idx="8">
                  <c:v>1156.7400000000005</c:v>
                </c:pt>
                <c:pt idx="9">
                  <c:v>1156.7400000000005</c:v>
                </c:pt>
                <c:pt idx="10">
                  <c:v>1156.7400000000005</c:v>
                </c:pt>
                <c:pt idx="11">
                  <c:v>1156.7400000000005</c:v>
                </c:pt>
                <c:pt idx="12">
                  <c:v>1156.7400000000005</c:v>
                </c:pt>
                <c:pt idx="13">
                  <c:v>1156.7400000000005</c:v>
                </c:pt>
                <c:pt idx="14">
                  <c:v>1156.7400000000005</c:v>
                </c:pt>
                <c:pt idx="15">
                  <c:v>1156.7400000000005</c:v>
                </c:pt>
                <c:pt idx="16">
                  <c:v>1156.7400000000005</c:v>
                </c:pt>
                <c:pt idx="17">
                  <c:v>1156.7400000000005</c:v>
                </c:pt>
                <c:pt idx="18">
                  <c:v>1156.7400000000005</c:v>
                </c:pt>
                <c:pt idx="19">
                  <c:v>1156.7400000000005</c:v>
                </c:pt>
                <c:pt idx="20">
                  <c:v>1156.7400000000005</c:v>
                </c:pt>
                <c:pt idx="21">
                  <c:v>1156.7400000000005</c:v>
                </c:pt>
                <c:pt idx="22">
                  <c:v>1156.7400000000005</c:v>
                </c:pt>
                <c:pt idx="23">
                  <c:v>1156.7400000000005</c:v>
                </c:pt>
                <c:pt idx="24">
                  <c:v>1156.7400000000005</c:v>
                </c:pt>
                <c:pt idx="25">
                  <c:v>1156.7400000000005</c:v>
                </c:pt>
                <c:pt idx="26">
                  <c:v>1156.7400000000005</c:v>
                </c:pt>
                <c:pt idx="27">
                  <c:v>1156.7400000000005</c:v>
                </c:pt>
                <c:pt idx="28">
                  <c:v>1156.7400000000005</c:v>
                </c:pt>
                <c:pt idx="29">
                  <c:v>1156.7400000000005</c:v>
                </c:pt>
                <c:pt idx="30">
                  <c:v>1156.7400000000005</c:v>
                </c:pt>
              </c:numCache>
            </c:numRef>
          </c:val>
          <c:smooth val="0"/>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38512464"/>
        <c:axId val="238512856"/>
      </c:lineChart>
      <c:dateAx>
        <c:axId val="238512464"/>
        <c:scaling>
          <c:orientation val="minMax"/>
        </c:scaling>
        <c:delete val="0"/>
        <c:axPos val="b"/>
        <c:numFmt formatCode="m/d"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800" b="0" i="0" u="none" strike="noStrike" kern="1200" spc="20" baseline="0">
                <a:solidFill>
                  <a:schemeClr val="bg1">
                    <a:lumMod val="50000"/>
                  </a:schemeClr>
                </a:solidFill>
                <a:latin typeface="+mn-lt"/>
                <a:ea typeface="+mn-ea"/>
                <a:cs typeface="+mn-cs"/>
              </a:defRPr>
            </a:pPr>
            <a:endParaRPr lang="en-US"/>
          </a:p>
        </c:txPr>
        <c:crossAx val="238512856"/>
        <c:crosses val="autoZero"/>
        <c:auto val="1"/>
        <c:lblOffset val="100"/>
        <c:baseTimeUnit val="days"/>
        <c:majorUnit val="5"/>
        <c:majorTimeUnit val="days"/>
      </c:dateAx>
      <c:valAx>
        <c:axId val="238512856"/>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spc="20" baseline="0">
                <a:solidFill>
                  <a:schemeClr val="bg1">
                    <a:lumMod val="50000"/>
                  </a:schemeClr>
                </a:solidFill>
                <a:latin typeface="+mn-lt"/>
                <a:ea typeface="+mn-ea"/>
                <a:cs typeface="+mn-cs"/>
              </a:defRPr>
            </a:pPr>
            <a:endParaRPr lang="en-US"/>
          </a:p>
        </c:txPr>
        <c:crossAx val="23851246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322072631526647E-2"/>
          <c:y val="0.10714305801098239"/>
          <c:w val="0.87456763252024439"/>
          <c:h val="0.67621049158322377"/>
        </c:manualLayout>
      </c:layout>
      <c:barChart>
        <c:barDir val="col"/>
        <c:grouping val="clustered"/>
        <c:varyColors val="0"/>
        <c:ser>
          <c:idx val="0"/>
          <c:order val="0"/>
          <c:tx>
            <c:strRef>
              <c:f>Mo.6!$S$1</c:f>
              <c:strCache>
                <c:ptCount val="1"/>
                <c:pt idx="0">
                  <c:v>Budget</c:v>
                </c:pt>
              </c:strCache>
            </c:strRef>
          </c:tx>
          <c:spPr>
            <a:solidFill>
              <a:srgbClr val="CCFF99"/>
            </a:solidFill>
            <a:ln w="9525" cap="flat" cmpd="sng" algn="ctr">
              <a:solidFill>
                <a:schemeClr val="bg1">
                  <a:lumMod val="50000"/>
                </a:schemeClr>
              </a:solidFill>
              <a:round/>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Mo.6!$R$3:$R$8</c:f>
              <c:strCache>
                <c:ptCount val="6"/>
                <c:pt idx="0">
                  <c:v>Housing</c:v>
                </c:pt>
                <c:pt idx="1">
                  <c:v>Transportation</c:v>
                </c:pt>
                <c:pt idx="2">
                  <c:v>Bills</c:v>
                </c:pt>
                <c:pt idx="3">
                  <c:v>Living</c:v>
                </c:pt>
                <c:pt idx="4">
                  <c:v>Entertainment</c:v>
                </c:pt>
                <c:pt idx="5">
                  <c:v>Misc.</c:v>
                </c:pt>
              </c:strCache>
            </c:strRef>
          </c:cat>
          <c:val>
            <c:numRef>
              <c:f>Mo.6!$S$3:$S$8</c:f>
              <c:numCache>
                <c:formatCode>General</c:formatCode>
                <c:ptCount val="6"/>
                <c:pt idx="0">
                  <c:v>0</c:v>
                </c:pt>
                <c:pt idx="1">
                  <c:v>0</c:v>
                </c:pt>
                <c:pt idx="2">
                  <c:v>0</c:v>
                </c:pt>
                <c:pt idx="3">
                  <c:v>0</c:v>
                </c:pt>
                <c:pt idx="4">
                  <c:v>0</c:v>
                </c:pt>
                <c:pt idx="5">
                  <c:v>0</c:v>
                </c:pt>
              </c:numCache>
            </c:numRef>
          </c:val>
        </c:ser>
        <c:ser>
          <c:idx val="1"/>
          <c:order val="1"/>
          <c:tx>
            <c:strRef>
              <c:f>Mo.6!$T$1</c:f>
              <c:strCache>
                <c:ptCount val="1"/>
                <c:pt idx="0">
                  <c:v>Actual</c:v>
                </c:pt>
              </c:strCache>
            </c:strRef>
          </c:tx>
          <c:spPr>
            <a:solidFill>
              <a:srgbClr val="FF5050">
                <a:alpha val="50000"/>
              </a:srgbClr>
            </a:solidFill>
            <a:ln w="9525" cap="flat" cmpd="sng" algn="ctr">
              <a:solidFill>
                <a:schemeClr val="bg1">
                  <a:lumMod val="50000"/>
                </a:schemeClr>
              </a:solidFill>
              <a:round/>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Mo.6!$R$3:$R$8</c:f>
              <c:strCache>
                <c:ptCount val="6"/>
                <c:pt idx="0">
                  <c:v>Housing</c:v>
                </c:pt>
                <c:pt idx="1">
                  <c:v>Transportation</c:v>
                </c:pt>
                <c:pt idx="2">
                  <c:v>Bills</c:v>
                </c:pt>
                <c:pt idx="3">
                  <c:v>Living</c:v>
                </c:pt>
                <c:pt idx="4">
                  <c:v>Entertainment</c:v>
                </c:pt>
                <c:pt idx="5">
                  <c:v>Misc.</c:v>
                </c:pt>
              </c:strCache>
            </c:strRef>
          </c:cat>
          <c:val>
            <c:numRef>
              <c:f>Mo.6!$T$3:$T$8</c:f>
              <c:numCache>
                <c:formatCode>General</c:formatCode>
                <c:ptCount val="6"/>
                <c:pt idx="0">
                  <c:v>0</c:v>
                </c:pt>
                <c:pt idx="1">
                  <c:v>0</c:v>
                </c:pt>
                <c:pt idx="2">
                  <c:v>0</c:v>
                </c:pt>
                <c:pt idx="3">
                  <c:v>0</c:v>
                </c:pt>
                <c:pt idx="4">
                  <c:v>0</c:v>
                </c:pt>
                <c:pt idx="5">
                  <c:v>0</c:v>
                </c:pt>
              </c:numCache>
            </c:numRef>
          </c:val>
        </c:ser>
        <c:dLbls>
          <c:showLegendKey val="0"/>
          <c:showVal val="0"/>
          <c:showCatName val="0"/>
          <c:showSerName val="0"/>
          <c:showPercent val="0"/>
          <c:showBubbleSize val="0"/>
        </c:dLbls>
        <c:gapWidth val="20"/>
        <c:overlap val="100"/>
        <c:axId val="365449712"/>
        <c:axId val="365450104"/>
      </c:barChart>
      <c:catAx>
        <c:axId val="365449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65450104"/>
        <c:crosses val="autoZero"/>
        <c:auto val="1"/>
        <c:lblAlgn val="ctr"/>
        <c:lblOffset val="100"/>
        <c:noMultiLvlLbl val="0"/>
      </c:catAx>
      <c:valAx>
        <c:axId val="3654501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365449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79195972389572"/>
          <c:y val="9.5238095238095233E-2"/>
          <c:w val="0.80822820634965109"/>
          <c:h val="0.68640794900637425"/>
        </c:manualLayout>
      </c:layout>
      <c:areaChart>
        <c:grouping val="standard"/>
        <c:varyColors val="0"/>
        <c:ser>
          <c:idx val="0"/>
          <c:order val="0"/>
          <c:tx>
            <c:strRef>
              <c:f>Mo.6!$V$11</c:f>
              <c:strCache>
                <c:ptCount val="1"/>
                <c:pt idx="0">
                  <c:v>Balance</c:v>
                </c:pt>
              </c:strCache>
            </c:strRef>
          </c:tx>
          <c:spPr>
            <a:solidFill>
              <a:schemeClr val="accent6">
                <a:lumMod val="60000"/>
                <a:lumOff val="40000"/>
              </a:schemeClr>
            </a:solidFill>
            <a:ln w="9525" cap="flat" cmpd="sng" algn="ctr">
              <a:solidFill>
                <a:schemeClr val="accent6">
                  <a:lumMod val="50000"/>
                </a:schemeClr>
              </a:solidFill>
              <a:round/>
            </a:ln>
            <a:effectLst/>
          </c:spPr>
          <c:cat>
            <c:numRef>
              <c:f>Mo.6!$S$12:$S$42</c:f>
              <c:numCache>
                <c:formatCode>m/d\ \(ddd\)</c:formatCode>
                <c:ptCount val="31"/>
                <c:pt idx="0">
                  <c:v>41671</c:v>
                </c:pt>
                <c:pt idx="1">
                  <c:v>41672</c:v>
                </c:pt>
                <c:pt idx="2">
                  <c:v>41673</c:v>
                </c:pt>
                <c:pt idx="3">
                  <c:v>41674</c:v>
                </c:pt>
                <c:pt idx="4">
                  <c:v>41675</c:v>
                </c:pt>
                <c:pt idx="5">
                  <c:v>41676</c:v>
                </c:pt>
                <c:pt idx="6">
                  <c:v>41677</c:v>
                </c:pt>
                <c:pt idx="7">
                  <c:v>41678</c:v>
                </c:pt>
                <c:pt idx="8">
                  <c:v>41679</c:v>
                </c:pt>
                <c:pt idx="9">
                  <c:v>41680</c:v>
                </c:pt>
                <c:pt idx="10">
                  <c:v>41681</c:v>
                </c:pt>
                <c:pt idx="11">
                  <c:v>41682</c:v>
                </c:pt>
                <c:pt idx="12">
                  <c:v>41683</c:v>
                </c:pt>
                <c:pt idx="13">
                  <c:v>41684</c:v>
                </c:pt>
                <c:pt idx="14">
                  <c:v>41685</c:v>
                </c:pt>
                <c:pt idx="15">
                  <c:v>41686</c:v>
                </c:pt>
                <c:pt idx="16">
                  <c:v>41687</c:v>
                </c:pt>
                <c:pt idx="17">
                  <c:v>41688</c:v>
                </c:pt>
                <c:pt idx="18">
                  <c:v>41689</c:v>
                </c:pt>
                <c:pt idx="19">
                  <c:v>41690</c:v>
                </c:pt>
                <c:pt idx="20">
                  <c:v>41691</c:v>
                </c:pt>
                <c:pt idx="21">
                  <c:v>41692</c:v>
                </c:pt>
                <c:pt idx="22">
                  <c:v>41693</c:v>
                </c:pt>
                <c:pt idx="23">
                  <c:v>41694</c:v>
                </c:pt>
                <c:pt idx="24">
                  <c:v>41695</c:v>
                </c:pt>
                <c:pt idx="25">
                  <c:v>41696</c:v>
                </c:pt>
                <c:pt idx="26">
                  <c:v>41697</c:v>
                </c:pt>
                <c:pt idx="27">
                  <c:v>41698</c:v>
                </c:pt>
                <c:pt idx="28">
                  <c:v>41699</c:v>
                </c:pt>
                <c:pt idx="29">
                  <c:v>41700</c:v>
                </c:pt>
                <c:pt idx="30">
                  <c:v>41701</c:v>
                </c:pt>
              </c:numCache>
            </c:numRef>
          </c:cat>
          <c:val>
            <c:numRef>
              <c:f>Mo.6!$V$12:$V$42</c:f>
              <c:numCache>
                <c:formatCode>_("$"* #,##0.00_);_("$"* \(#,##0.00\);_("$"* "-"??_);_(@_)</c:formatCode>
                <c:ptCount val="31"/>
                <c:pt idx="0">
                  <c:v>1156.74</c:v>
                </c:pt>
                <c:pt idx="1">
                  <c:v>1156.74</c:v>
                </c:pt>
                <c:pt idx="2">
                  <c:v>1156.74</c:v>
                </c:pt>
                <c:pt idx="3">
                  <c:v>1156.74</c:v>
                </c:pt>
                <c:pt idx="4">
                  <c:v>1156.74</c:v>
                </c:pt>
                <c:pt idx="5">
                  <c:v>1156.74</c:v>
                </c:pt>
                <c:pt idx="6">
                  <c:v>1156.74</c:v>
                </c:pt>
                <c:pt idx="7">
                  <c:v>1156.74</c:v>
                </c:pt>
                <c:pt idx="8">
                  <c:v>1156.74</c:v>
                </c:pt>
                <c:pt idx="9">
                  <c:v>1156.74</c:v>
                </c:pt>
                <c:pt idx="10">
                  <c:v>1156.74</c:v>
                </c:pt>
                <c:pt idx="11">
                  <c:v>1156.74</c:v>
                </c:pt>
                <c:pt idx="12">
                  <c:v>1156.74</c:v>
                </c:pt>
                <c:pt idx="13">
                  <c:v>1156.74</c:v>
                </c:pt>
                <c:pt idx="14">
                  <c:v>1156.74</c:v>
                </c:pt>
                <c:pt idx="15">
                  <c:v>1156.74</c:v>
                </c:pt>
                <c:pt idx="16">
                  <c:v>1156.74</c:v>
                </c:pt>
                <c:pt idx="17">
                  <c:v>1156.74</c:v>
                </c:pt>
                <c:pt idx="18">
                  <c:v>1156.74</c:v>
                </c:pt>
                <c:pt idx="19">
                  <c:v>1156.74</c:v>
                </c:pt>
                <c:pt idx="20">
                  <c:v>1156.74</c:v>
                </c:pt>
                <c:pt idx="21">
                  <c:v>1156.74</c:v>
                </c:pt>
                <c:pt idx="22">
                  <c:v>1156.74</c:v>
                </c:pt>
                <c:pt idx="23">
                  <c:v>1156.74</c:v>
                </c:pt>
                <c:pt idx="24">
                  <c:v>1156.74</c:v>
                </c:pt>
                <c:pt idx="25">
                  <c:v>1156.74</c:v>
                </c:pt>
                <c:pt idx="26">
                  <c:v>1156.74</c:v>
                </c:pt>
                <c:pt idx="27">
                  <c:v>1156.74</c:v>
                </c:pt>
                <c:pt idx="28">
                  <c:v>1156.74</c:v>
                </c:pt>
                <c:pt idx="29">
                  <c:v>1156.74</c:v>
                </c:pt>
                <c:pt idx="30">
                  <c:v>1156.74</c:v>
                </c:pt>
              </c:numCache>
            </c:numRef>
          </c:val>
        </c:ser>
        <c:dLbls>
          <c:showLegendKey val="0"/>
          <c:showVal val="0"/>
          <c:showCatName val="0"/>
          <c:showSerName val="0"/>
          <c:showPercent val="0"/>
          <c:showBubbleSize val="0"/>
        </c:dLbls>
        <c:axId val="365450888"/>
        <c:axId val="365451280"/>
      </c:areaChart>
      <c:lineChart>
        <c:grouping val="standard"/>
        <c:varyColors val="0"/>
        <c:ser>
          <c:idx val="1"/>
          <c:order val="1"/>
          <c:tx>
            <c:v>Target</c:v>
          </c:tx>
          <c:spPr>
            <a:ln w="22225" cap="rnd" cmpd="sng" algn="ctr">
              <a:solidFill>
                <a:srgbClr val="C00000"/>
              </a:solidFill>
              <a:round/>
            </a:ln>
            <a:effectLst/>
          </c:spPr>
          <c:marker>
            <c:symbol val="none"/>
          </c:marker>
          <c:val>
            <c:numRef>
              <c:f>Mo.6!$W$12:$W$42</c:f>
              <c:numCache>
                <c:formatCode>General</c:formatCode>
                <c:ptCount val="31"/>
                <c:pt idx="0">
                  <c:v>1156.7400000000005</c:v>
                </c:pt>
                <c:pt idx="1">
                  <c:v>1156.7400000000005</c:v>
                </c:pt>
                <c:pt idx="2">
                  <c:v>1156.7400000000005</c:v>
                </c:pt>
                <c:pt idx="3">
                  <c:v>1156.7400000000005</c:v>
                </c:pt>
                <c:pt idx="4">
                  <c:v>1156.7400000000005</c:v>
                </c:pt>
                <c:pt idx="5">
                  <c:v>1156.7400000000005</c:v>
                </c:pt>
                <c:pt idx="6">
                  <c:v>1156.7400000000005</c:v>
                </c:pt>
                <c:pt idx="7">
                  <c:v>1156.7400000000005</c:v>
                </c:pt>
                <c:pt idx="8">
                  <c:v>1156.7400000000005</c:v>
                </c:pt>
                <c:pt idx="9">
                  <c:v>1156.7400000000005</c:v>
                </c:pt>
                <c:pt idx="10">
                  <c:v>1156.7400000000005</c:v>
                </c:pt>
                <c:pt idx="11">
                  <c:v>1156.7400000000005</c:v>
                </c:pt>
                <c:pt idx="12">
                  <c:v>1156.7400000000005</c:v>
                </c:pt>
                <c:pt idx="13">
                  <c:v>1156.7400000000005</c:v>
                </c:pt>
                <c:pt idx="14">
                  <c:v>1156.7400000000005</c:v>
                </c:pt>
                <c:pt idx="15">
                  <c:v>1156.7400000000005</c:v>
                </c:pt>
                <c:pt idx="16">
                  <c:v>1156.7400000000005</c:v>
                </c:pt>
                <c:pt idx="17">
                  <c:v>1156.7400000000005</c:v>
                </c:pt>
                <c:pt idx="18">
                  <c:v>1156.7400000000005</c:v>
                </c:pt>
                <c:pt idx="19">
                  <c:v>1156.7400000000005</c:v>
                </c:pt>
                <c:pt idx="20">
                  <c:v>1156.7400000000005</c:v>
                </c:pt>
                <c:pt idx="21">
                  <c:v>1156.7400000000005</c:v>
                </c:pt>
                <c:pt idx="22">
                  <c:v>1156.7400000000005</c:v>
                </c:pt>
                <c:pt idx="23">
                  <c:v>1156.7400000000005</c:v>
                </c:pt>
                <c:pt idx="24">
                  <c:v>1156.7400000000005</c:v>
                </c:pt>
                <c:pt idx="25">
                  <c:v>1156.7400000000005</c:v>
                </c:pt>
                <c:pt idx="26">
                  <c:v>1156.7400000000005</c:v>
                </c:pt>
                <c:pt idx="27">
                  <c:v>1156.7400000000005</c:v>
                </c:pt>
                <c:pt idx="28">
                  <c:v>1156.7400000000005</c:v>
                </c:pt>
                <c:pt idx="29">
                  <c:v>1156.7400000000005</c:v>
                </c:pt>
                <c:pt idx="30">
                  <c:v>1156.7400000000005</c:v>
                </c:pt>
              </c:numCache>
            </c:numRef>
          </c:val>
          <c:smooth val="0"/>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65450888"/>
        <c:axId val="365451280"/>
      </c:lineChart>
      <c:dateAx>
        <c:axId val="365450888"/>
        <c:scaling>
          <c:orientation val="minMax"/>
        </c:scaling>
        <c:delete val="0"/>
        <c:axPos val="b"/>
        <c:numFmt formatCode="m/d"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800" b="0" i="0" u="none" strike="noStrike" kern="1200" spc="20" baseline="0">
                <a:solidFill>
                  <a:schemeClr val="bg1">
                    <a:lumMod val="50000"/>
                  </a:schemeClr>
                </a:solidFill>
                <a:latin typeface="+mn-lt"/>
                <a:ea typeface="+mn-ea"/>
                <a:cs typeface="+mn-cs"/>
              </a:defRPr>
            </a:pPr>
            <a:endParaRPr lang="en-US"/>
          </a:p>
        </c:txPr>
        <c:crossAx val="365451280"/>
        <c:crosses val="autoZero"/>
        <c:auto val="1"/>
        <c:lblOffset val="100"/>
        <c:baseTimeUnit val="days"/>
        <c:majorUnit val="5"/>
        <c:majorTimeUnit val="days"/>
      </c:dateAx>
      <c:valAx>
        <c:axId val="365451280"/>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spc="20" baseline="0">
                <a:solidFill>
                  <a:schemeClr val="bg1">
                    <a:lumMod val="50000"/>
                  </a:schemeClr>
                </a:solidFill>
                <a:latin typeface="+mn-lt"/>
                <a:ea typeface="+mn-ea"/>
                <a:cs typeface="+mn-cs"/>
              </a:defRPr>
            </a:pPr>
            <a:endParaRPr lang="en-US"/>
          </a:p>
        </c:txPr>
        <c:crossAx val="36545088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322072631526647E-2"/>
          <c:y val="0.10714305801098239"/>
          <c:w val="0.87456763252024439"/>
          <c:h val="0.67621049158322377"/>
        </c:manualLayout>
      </c:layout>
      <c:barChart>
        <c:barDir val="col"/>
        <c:grouping val="clustered"/>
        <c:varyColors val="0"/>
        <c:ser>
          <c:idx val="0"/>
          <c:order val="0"/>
          <c:tx>
            <c:strRef>
              <c:f>Mo.7!$S$1</c:f>
              <c:strCache>
                <c:ptCount val="1"/>
                <c:pt idx="0">
                  <c:v>Budget</c:v>
                </c:pt>
              </c:strCache>
            </c:strRef>
          </c:tx>
          <c:spPr>
            <a:solidFill>
              <a:srgbClr val="CCFF99"/>
            </a:solidFill>
            <a:ln w="9525" cap="flat" cmpd="sng" algn="ctr">
              <a:solidFill>
                <a:schemeClr val="bg1">
                  <a:lumMod val="50000"/>
                </a:schemeClr>
              </a:solidFill>
              <a:round/>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Mo.7!$R$3:$R$8</c:f>
              <c:strCache>
                <c:ptCount val="6"/>
                <c:pt idx="0">
                  <c:v>Housing</c:v>
                </c:pt>
                <c:pt idx="1">
                  <c:v>Transportation</c:v>
                </c:pt>
                <c:pt idx="2">
                  <c:v>Bills</c:v>
                </c:pt>
                <c:pt idx="3">
                  <c:v>Living</c:v>
                </c:pt>
                <c:pt idx="4">
                  <c:v>Entertainment</c:v>
                </c:pt>
                <c:pt idx="5">
                  <c:v>Misc.</c:v>
                </c:pt>
              </c:strCache>
            </c:strRef>
          </c:cat>
          <c:val>
            <c:numRef>
              <c:f>Mo.7!$S$3:$S$8</c:f>
              <c:numCache>
                <c:formatCode>General</c:formatCode>
                <c:ptCount val="6"/>
                <c:pt idx="0">
                  <c:v>0</c:v>
                </c:pt>
                <c:pt idx="1">
                  <c:v>0</c:v>
                </c:pt>
                <c:pt idx="2">
                  <c:v>0</c:v>
                </c:pt>
                <c:pt idx="3">
                  <c:v>0</c:v>
                </c:pt>
                <c:pt idx="4">
                  <c:v>0</c:v>
                </c:pt>
                <c:pt idx="5">
                  <c:v>0</c:v>
                </c:pt>
              </c:numCache>
            </c:numRef>
          </c:val>
        </c:ser>
        <c:ser>
          <c:idx val="1"/>
          <c:order val="1"/>
          <c:tx>
            <c:strRef>
              <c:f>Mo.7!$T$1</c:f>
              <c:strCache>
                <c:ptCount val="1"/>
                <c:pt idx="0">
                  <c:v>Actual</c:v>
                </c:pt>
              </c:strCache>
            </c:strRef>
          </c:tx>
          <c:spPr>
            <a:solidFill>
              <a:srgbClr val="FF5050">
                <a:alpha val="50000"/>
              </a:srgbClr>
            </a:solidFill>
            <a:ln w="9525" cap="flat" cmpd="sng" algn="ctr">
              <a:solidFill>
                <a:schemeClr val="bg1">
                  <a:lumMod val="50000"/>
                </a:schemeClr>
              </a:solidFill>
              <a:round/>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Mo.7!$R$3:$R$8</c:f>
              <c:strCache>
                <c:ptCount val="6"/>
                <c:pt idx="0">
                  <c:v>Housing</c:v>
                </c:pt>
                <c:pt idx="1">
                  <c:v>Transportation</c:v>
                </c:pt>
                <c:pt idx="2">
                  <c:v>Bills</c:v>
                </c:pt>
                <c:pt idx="3">
                  <c:v>Living</c:v>
                </c:pt>
                <c:pt idx="4">
                  <c:v>Entertainment</c:v>
                </c:pt>
                <c:pt idx="5">
                  <c:v>Misc.</c:v>
                </c:pt>
              </c:strCache>
            </c:strRef>
          </c:cat>
          <c:val>
            <c:numRef>
              <c:f>Mo.7!$T$3:$T$8</c:f>
              <c:numCache>
                <c:formatCode>General</c:formatCode>
                <c:ptCount val="6"/>
                <c:pt idx="0">
                  <c:v>0</c:v>
                </c:pt>
                <c:pt idx="1">
                  <c:v>0</c:v>
                </c:pt>
                <c:pt idx="2">
                  <c:v>0</c:v>
                </c:pt>
                <c:pt idx="3">
                  <c:v>0</c:v>
                </c:pt>
                <c:pt idx="4">
                  <c:v>0</c:v>
                </c:pt>
                <c:pt idx="5">
                  <c:v>0</c:v>
                </c:pt>
              </c:numCache>
            </c:numRef>
          </c:val>
        </c:ser>
        <c:dLbls>
          <c:showLegendKey val="0"/>
          <c:showVal val="0"/>
          <c:showCatName val="0"/>
          <c:showSerName val="0"/>
          <c:showPercent val="0"/>
          <c:showBubbleSize val="0"/>
        </c:dLbls>
        <c:gapWidth val="20"/>
        <c:overlap val="100"/>
        <c:axId val="365452064"/>
        <c:axId val="365452456"/>
      </c:barChart>
      <c:catAx>
        <c:axId val="365452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65452456"/>
        <c:crosses val="autoZero"/>
        <c:auto val="1"/>
        <c:lblAlgn val="ctr"/>
        <c:lblOffset val="100"/>
        <c:noMultiLvlLbl val="0"/>
      </c:catAx>
      <c:valAx>
        <c:axId val="3654524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365452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79195972389572"/>
          <c:y val="9.5238095238095233E-2"/>
          <c:w val="0.80822820634965109"/>
          <c:h val="0.68640794900637425"/>
        </c:manualLayout>
      </c:layout>
      <c:areaChart>
        <c:grouping val="standard"/>
        <c:varyColors val="0"/>
        <c:ser>
          <c:idx val="0"/>
          <c:order val="0"/>
          <c:tx>
            <c:strRef>
              <c:f>Mo.7!$V$11</c:f>
              <c:strCache>
                <c:ptCount val="1"/>
                <c:pt idx="0">
                  <c:v>Balance</c:v>
                </c:pt>
              </c:strCache>
            </c:strRef>
          </c:tx>
          <c:spPr>
            <a:solidFill>
              <a:schemeClr val="accent6">
                <a:lumMod val="60000"/>
                <a:lumOff val="40000"/>
              </a:schemeClr>
            </a:solidFill>
            <a:ln w="9525" cap="flat" cmpd="sng" algn="ctr">
              <a:solidFill>
                <a:schemeClr val="accent6">
                  <a:lumMod val="50000"/>
                </a:schemeClr>
              </a:solidFill>
              <a:round/>
            </a:ln>
            <a:effectLst/>
          </c:spPr>
          <c:cat>
            <c:numRef>
              <c:f>Mo.7!$S$12:$S$42</c:f>
              <c:numCache>
                <c:formatCode>m/d\ \(ddd\)</c:formatCode>
                <c:ptCount val="31"/>
                <c:pt idx="0">
                  <c:v>41699</c:v>
                </c:pt>
                <c:pt idx="1">
                  <c:v>41700</c:v>
                </c:pt>
                <c:pt idx="2">
                  <c:v>41701</c:v>
                </c:pt>
                <c:pt idx="3">
                  <c:v>41702</c:v>
                </c:pt>
                <c:pt idx="4">
                  <c:v>41703</c:v>
                </c:pt>
                <c:pt idx="5">
                  <c:v>41704</c:v>
                </c:pt>
                <c:pt idx="6">
                  <c:v>41705</c:v>
                </c:pt>
                <c:pt idx="7">
                  <c:v>41706</c:v>
                </c:pt>
                <c:pt idx="8">
                  <c:v>41707</c:v>
                </c:pt>
                <c:pt idx="9">
                  <c:v>41708</c:v>
                </c:pt>
                <c:pt idx="10">
                  <c:v>41709</c:v>
                </c:pt>
                <c:pt idx="11">
                  <c:v>41710</c:v>
                </c:pt>
                <c:pt idx="12">
                  <c:v>41711</c:v>
                </c:pt>
                <c:pt idx="13">
                  <c:v>41712</c:v>
                </c:pt>
                <c:pt idx="14">
                  <c:v>41713</c:v>
                </c:pt>
                <c:pt idx="15">
                  <c:v>41714</c:v>
                </c:pt>
                <c:pt idx="16">
                  <c:v>41715</c:v>
                </c:pt>
                <c:pt idx="17">
                  <c:v>41716</c:v>
                </c:pt>
                <c:pt idx="18">
                  <c:v>41717</c:v>
                </c:pt>
                <c:pt idx="19">
                  <c:v>41718</c:v>
                </c:pt>
                <c:pt idx="20">
                  <c:v>41719</c:v>
                </c:pt>
                <c:pt idx="21">
                  <c:v>41720</c:v>
                </c:pt>
                <c:pt idx="22">
                  <c:v>41721</c:v>
                </c:pt>
                <c:pt idx="23">
                  <c:v>41722</c:v>
                </c:pt>
                <c:pt idx="24">
                  <c:v>41723</c:v>
                </c:pt>
                <c:pt idx="25">
                  <c:v>41724</c:v>
                </c:pt>
                <c:pt idx="26">
                  <c:v>41725</c:v>
                </c:pt>
                <c:pt idx="27">
                  <c:v>41726</c:v>
                </c:pt>
                <c:pt idx="28">
                  <c:v>41727</c:v>
                </c:pt>
                <c:pt idx="29">
                  <c:v>41728</c:v>
                </c:pt>
                <c:pt idx="30">
                  <c:v>41729</c:v>
                </c:pt>
              </c:numCache>
            </c:numRef>
          </c:cat>
          <c:val>
            <c:numRef>
              <c:f>Mo.7!$V$12:$V$42</c:f>
              <c:numCache>
                <c:formatCode>_("$"* #,##0.00_);_("$"* \(#,##0.00\);_("$"* "-"??_);_(@_)</c:formatCode>
                <c:ptCount val="31"/>
                <c:pt idx="0">
                  <c:v>1156.74</c:v>
                </c:pt>
                <c:pt idx="1">
                  <c:v>1156.74</c:v>
                </c:pt>
                <c:pt idx="2">
                  <c:v>1156.74</c:v>
                </c:pt>
                <c:pt idx="3">
                  <c:v>1156.74</c:v>
                </c:pt>
                <c:pt idx="4">
                  <c:v>1156.74</c:v>
                </c:pt>
                <c:pt idx="5">
                  <c:v>1156.74</c:v>
                </c:pt>
                <c:pt idx="6">
                  <c:v>1156.74</c:v>
                </c:pt>
                <c:pt idx="7">
                  <c:v>1156.74</c:v>
                </c:pt>
                <c:pt idx="8">
                  <c:v>1156.74</c:v>
                </c:pt>
                <c:pt idx="9">
                  <c:v>1156.74</c:v>
                </c:pt>
                <c:pt idx="10">
                  <c:v>1156.74</c:v>
                </c:pt>
                <c:pt idx="11">
                  <c:v>1156.74</c:v>
                </c:pt>
                <c:pt idx="12">
                  <c:v>1156.74</c:v>
                </c:pt>
                <c:pt idx="13">
                  <c:v>1156.74</c:v>
                </c:pt>
                <c:pt idx="14">
                  <c:v>1156.74</c:v>
                </c:pt>
                <c:pt idx="15">
                  <c:v>1156.74</c:v>
                </c:pt>
                <c:pt idx="16">
                  <c:v>1156.74</c:v>
                </c:pt>
                <c:pt idx="17">
                  <c:v>1156.74</c:v>
                </c:pt>
                <c:pt idx="18">
                  <c:v>1156.74</c:v>
                </c:pt>
                <c:pt idx="19">
                  <c:v>1156.74</c:v>
                </c:pt>
                <c:pt idx="20">
                  <c:v>1156.74</c:v>
                </c:pt>
                <c:pt idx="21">
                  <c:v>1156.74</c:v>
                </c:pt>
                <c:pt idx="22">
                  <c:v>1156.74</c:v>
                </c:pt>
                <c:pt idx="23">
                  <c:v>1156.74</c:v>
                </c:pt>
                <c:pt idx="24">
                  <c:v>1156.74</c:v>
                </c:pt>
                <c:pt idx="25">
                  <c:v>1156.74</c:v>
                </c:pt>
                <c:pt idx="26">
                  <c:v>1156.74</c:v>
                </c:pt>
                <c:pt idx="27">
                  <c:v>1156.74</c:v>
                </c:pt>
                <c:pt idx="28">
                  <c:v>1156.74</c:v>
                </c:pt>
                <c:pt idx="29">
                  <c:v>1156.74</c:v>
                </c:pt>
                <c:pt idx="30">
                  <c:v>1156.74</c:v>
                </c:pt>
              </c:numCache>
            </c:numRef>
          </c:val>
        </c:ser>
        <c:dLbls>
          <c:showLegendKey val="0"/>
          <c:showVal val="0"/>
          <c:showCatName val="0"/>
          <c:showSerName val="0"/>
          <c:showPercent val="0"/>
          <c:showBubbleSize val="0"/>
        </c:dLbls>
        <c:axId val="365453240"/>
        <c:axId val="365453632"/>
      </c:areaChart>
      <c:lineChart>
        <c:grouping val="standard"/>
        <c:varyColors val="0"/>
        <c:ser>
          <c:idx val="1"/>
          <c:order val="1"/>
          <c:tx>
            <c:v>Target</c:v>
          </c:tx>
          <c:spPr>
            <a:ln w="22225" cap="rnd" cmpd="sng" algn="ctr">
              <a:solidFill>
                <a:srgbClr val="C00000"/>
              </a:solidFill>
              <a:round/>
            </a:ln>
            <a:effectLst/>
          </c:spPr>
          <c:marker>
            <c:symbol val="none"/>
          </c:marker>
          <c:val>
            <c:numRef>
              <c:f>Mo.7!$W$12:$W$42</c:f>
              <c:numCache>
                <c:formatCode>General</c:formatCode>
                <c:ptCount val="31"/>
                <c:pt idx="0">
                  <c:v>1156.7400000000005</c:v>
                </c:pt>
                <c:pt idx="1">
                  <c:v>1156.7400000000005</c:v>
                </c:pt>
                <c:pt idx="2">
                  <c:v>1156.7400000000005</c:v>
                </c:pt>
                <c:pt idx="3">
                  <c:v>1156.7400000000005</c:v>
                </c:pt>
                <c:pt idx="4">
                  <c:v>1156.7400000000005</c:v>
                </c:pt>
                <c:pt idx="5">
                  <c:v>1156.7400000000005</c:v>
                </c:pt>
                <c:pt idx="6">
                  <c:v>1156.7400000000005</c:v>
                </c:pt>
                <c:pt idx="7">
                  <c:v>1156.7400000000005</c:v>
                </c:pt>
                <c:pt idx="8">
                  <c:v>1156.7400000000005</c:v>
                </c:pt>
                <c:pt idx="9">
                  <c:v>1156.7400000000005</c:v>
                </c:pt>
                <c:pt idx="10">
                  <c:v>1156.7400000000005</c:v>
                </c:pt>
                <c:pt idx="11">
                  <c:v>1156.7400000000005</c:v>
                </c:pt>
                <c:pt idx="12">
                  <c:v>1156.7400000000005</c:v>
                </c:pt>
                <c:pt idx="13">
                  <c:v>1156.7400000000005</c:v>
                </c:pt>
                <c:pt idx="14">
                  <c:v>1156.7400000000005</c:v>
                </c:pt>
                <c:pt idx="15">
                  <c:v>1156.7400000000005</c:v>
                </c:pt>
                <c:pt idx="16">
                  <c:v>1156.7400000000005</c:v>
                </c:pt>
                <c:pt idx="17">
                  <c:v>1156.7400000000005</c:v>
                </c:pt>
                <c:pt idx="18">
                  <c:v>1156.7400000000005</c:v>
                </c:pt>
                <c:pt idx="19">
                  <c:v>1156.7400000000005</c:v>
                </c:pt>
                <c:pt idx="20">
                  <c:v>1156.7400000000005</c:v>
                </c:pt>
                <c:pt idx="21">
                  <c:v>1156.7400000000005</c:v>
                </c:pt>
                <c:pt idx="22">
                  <c:v>1156.7400000000005</c:v>
                </c:pt>
                <c:pt idx="23">
                  <c:v>1156.7400000000005</c:v>
                </c:pt>
                <c:pt idx="24">
                  <c:v>1156.7400000000005</c:v>
                </c:pt>
                <c:pt idx="25">
                  <c:v>1156.7400000000005</c:v>
                </c:pt>
                <c:pt idx="26">
                  <c:v>1156.7400000000005</c:v>
                </c:pt>
                <c:pt idx="27">
                  <c:v>1156.7400000000005</c:v>
                </c:pt>
                <c:pt idx="28">
                  <c:v>1156.7400000000005</c:v>
                </c:pt>
                <c:pt idx="29">
                  <c:v>1156.7400000000005</c:v>
                </c:pt>
                <c:pt idx="30">
                  <c:v>1156.7400000000005</c:v>
                </c:pt>
              </c:numCache>
            </c:numRef>
          </c:val>
          <c:smooth val="0"/>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65453240"/>
        <c:axId val="365453632"/>
      </c:lineChart>
      <c:dateAx>
        <c:axId val="365453240"/>
        <c:scaling>
          <c:orientation val="minMax"/>
        </c:scaling>
        <c:delete val="0"/>
        <c:axPos val="b"/>
        <c:numFmt formatCode="m/d"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800" b="0" i="0" u="none" strike="noStrike" kern="1200" spc="20" baseline="0">
                <a:solidFill>
                  <a:schemeClr val="bg1">
                    <a:lumMod val="50000"/>
                  </a:schemeClr>
                </a:solidFill>
                <a:latin typeface="+mn-lt"/>
                <a:ea typeface="+mn-ea"/>
                <a:cs typeface="+mn-cs"/>
              </a:defRPr>
            </a:pPr>
            <a:endParaRPr lang="en-US"/>
          </a:p>
        </c:txPr>
        <c:crossAx val="365453632"/>
        <c:crosses val="autoZero"/>
        <c:auto val="1"/>
        <c:lblOffset val="100"/>
        <c:baseTimeUnit val="days"/>
        <c:majorUnit val="5"/>
        <c:majorTimeUnit val="days"/>
      </c:dateAx>
      <c:valAx>
        <c:axId val="365453632"/>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spc="20" baseline="0">
                <a:solidFill>
                  <a:schemeClr val="bg1">
                    <a:lumMod val="50000"/>
                  </a:schemeClr>
                </a:solidFill>
                <a:latin typeface="+mn-lt"/>
                <a:ea typeface="+mn-ea"/>
                <a:cs typeface="+mn-cs"/>
              </a:defRPr>
            </a:pPr>
            <a:endParaRPr lang="en-US"/>
          </a:p>
        </c:txPr>
        <c:crossAx val="36545324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322072631526647E-2"/>
          <c:y val="0.10714305801098239"/>
          <c:w val="0.87456763252024439"/>
          <c:h val="0.67621049158322377"/>
        </c:manualLayout>
      </c:layout>
      <c:barChart>
        <c:barDir val="col"/>
        <c:grouping val="clustered"/>
        <c:varyColors val="0"/>
        <c:ser>
          <c:idx val="0"/>
          <c:order val="0"/>
          <c:tx>
            <c:strRef>
              <c:f>Mo.8!$S$1</c:f>
              <c:strCache>
                <c:ptCount val="1"/>
                <c:pt idx="0">
                  <c:v>Budget</c:v>
                </c:pt>
              </c:strCache>
            </c:strRef>
          </c:tx>
          <c:spPr>
            <a:solidFill>
              <a:srgbClr val="CCFF99"/>
            </a:solidFill>
            <a:ln w="9525" cap="flat" cmpd="sng" algn="ctr">
              <a:solidFill>
                <a:schemeClr val="bg1">
                  <a:lumMod val="50000"/>
                </a:schemeClr>
              </a:solidFill>
              <a:round/>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Mo.8!$R$3:$R$8</c:f>
              <c:strCache>
                <c:ptCount val="6"/>
                <c:pt idx="0">
                  <c:v>Housing</c:v>
                </c:pt>
                <c:pt idx="1">
                  <c:v>Transportation</c:v>
                </c:pt>
                <c:pt idx="2">
                  <c:v>Bills</c:v>
                </c:pt>
                <c:pt idx="3">
                  <c:v>Living</c:v>
                </c:pt>
                <c:pt idx="4">
                  <c:v>Entertainment</c:v>
                </c:pt>
                <c:pt idx="5">
                  <c:v>Misc.</c:v>
                </c:pt>
              </c:strCache>
            </c:strRef>
          </c:cat>
          <c:val>
            <c:numRef>
              <c:f>Mo.8!$S$3:$S$8</c:f>
              <c:numCache>
                <c:formatCode>General</c:formatCode>
                <c:ptCount val="6"/>
                <c:pt idx="0">
                  <c:v>0</c:v>
                </c:pt>
                <c:pt idx="1">
                  <c:v>0</c:v>
                </c:pt>
                <c:pt idx="2">
                  <c:v>0</c:v>
                </c:pt>
                <c:pt idx="3">
                  <c:v>0</c:v>
                </c:pt>
                <c:pt idx="4">
                  <c:v>0</c:v>
                </c:pt>
                <c:pt idx="5">
                  <c:v>0</c:v>
                </c:pt>
              </c:numCache>
            </c:numRef>
          </c:val>
        </c:ser>
        <c:ser>
          <c:idx val="1"/>
          <c:order val="1"/>
          <c:tx>
            <c:strRef>
              <c:f>Mo.8!$T$1</c:f>
              <c:strCache>
                <c:ptCount val="1"/>
                <c:pt idx="0">
                  <c:v>Actual</c:v>
                </c:pt>
              </c:strCache>
            </c:strRef>
          </c:tx>
          <c:spPr>
            <a:solidFill>
              <a:srgbClr val="FF5050">
                <a:alpha val="50000"/>
              </a:srgbClr>
            </a:solidFill>
            <a:ln w="9525" cap="flat" cmpd="sng" algn="ctr">
              <a:solidFill>
                <a:schemeClr val="bg1">
                  <a:lumMod val="50000"/>
                </a:schemeClr>
              </a:solidFill>
              <a:round/>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Mo.8!$R$3:$R$8</c:f>
              <c:strCache>
                <c:ptCount val="6"/>
                <c:pt idx="0">
                  <c:v>Housing</c:v>
                </c:pt>
                <c:pt idx="1">
                  <c:v>Transportation</c:v>
                </c:pt>
                <c:pt idx="2">
                  <c:v>Bills</c:v>
                </c:pt>
                <c:pt idx="3">
                  <c:v>Living</c:v>
                </c:pt>
                <c:pt idx="4">
                  <c:v>Entertainment</c:v>
                </c:pt>
                <c:pt idx="5">
                  <c:v>Misc.</c:v>
                </c:pt>
              </c:strCache>
            </c:strRef>
          </c:cat>
          <c:val>
            <c:numRef>
              <c:f>Mo.8!$T$3:$T$8</c:f>
              <c:numCache>
                <c:formatCode>General</c:formatCode>
                <c:ptCount val="6"/>
                <c:pt idx="0">
                  <c:v>0</c:v>
                </c:pt>
                <c:pt idx="1">
                  <c:v>0</c:v>
                </c:pt>
                <c:pt idx="2">
                  <c:v>0</c:v>
                </c:pt>
                <c:pt idx="3">
                  <c:v>0</c:v>
                </c:pt>
                <c:pt idx="4">
                  <c:v>0</c:v>
                </c:pt>
                <c:pt idx="5">
                  <c:v>0</c:v>
                </c:pt>
              </c:numCache>
            </c:numRef>
          </c:val>
        </c:ser>
        <c:dLbls>
          <c:showLegendKey val="0"/>
          <c:showVal val="0"/>
          <c:showCatName val="0"/>
          <c:showSerName val="0"/>
          <c:showPercent val="0"/>
          <c:showBubbleSize val="0"/>
        </c:dLbls>
        <c:gapWidth val="20"/>
        <c:overlap val="100"/>
        <c:axId val="365454024"/>
        <c:axId val="365454416"/>
      </c:barChart>
      <c:catAx>
        <c:axId val="365454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65454416"/>
        <c:crosses val="autoZero"/>
        <c:auto val="1"/>
        <c:lblAlgn val="ctr"/>
        <c:lblOffset val="100"/>
        <c:noMultiLvlLbl val="0"/>
      </c:catAx>
      <c:valAx>
        <c:axId val="365454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365454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79195972389572"/>
          <c:y val="9.5238095238095233E-2"/>
          <c:w val="0.80822820634965109"/>
          <c:h val="0.68640794900637425"/>
        </c:manualLayout>
      </c:layout>
      <c:areaChart>
        <c:grouping val="standard"/>
        <c:varyColors val="0"/>
        <c:ser>
          <c:idx val="0"/>
          <c:order val="0"/>
          <c:tx>
            <c:strRef>
              <c:f>Mo.8!$V$11</c:f>
              <c:strCache>
                <c:ptCount val="1"/>
                <c:pt idx="0">
                  <c:v>Balance</c:v>
                </c:pt>
              </c:strCache>
            </c:strRef>
          </c:tx>
          <c:spPr>
            <a:solidFill>
              <a:schemeClr val="accent6">
                <a:lumMod val="60000"/>
                <a:lumOff val="40000"/>
              </a:schemeClr>
            </a:solidFill>
            <a:ln w="9525" cap="flat" cmpd="sng" algn="ctr">
              <a:solidFill>
                <a:schemeClr val="accent6">
                  <a:lumMod val="50000"/>
                </a:schemeClr>
              </a:solidFill>
              <a:round/>
            </a:ln>
            <a:effectLst/>
          </c:spPr>
          <c:cat>
            <c:numRef>
              <c:f>Mo.8!$S$12:$S$42</c:f>
              <c:numCache>
                <c:formatCode>m/d\ \(ddd\)</c:formatCode>
                <c:ptCount val="31"/>
                <c:pt idx="0">
                  <c:v>41730</c:v>
                </c:pt>
                <c:pt idx="1">
                  <c:v>41731</c:v>
                </c:pt>
                <c:pt idx="2">
                  <c:v>41732</c:v>
                </c:pt>
                <c:pt idx="3">
                  <c:v>41733</c:v>
                </c:pt>
                <c:pt idx="4">
                  <c:v>41734</c:v>
                </c:pt>
                <c:pt idx="5">
                  <c:v>41735</c:v>
                </c:pt>
                <c:pt idx="6">
                  <c:v>41736</c:v>
                </c:pt>
                <c:pt idx="7">
                  <c:v>41737</c:v>
                </c:pt>
                <c:pt idx="8">
                  <c:v>41738</c:v>
                </c:pt>
                <c:pt idx="9">
                  <c:v>41739</c:v>
                </c:pt>
                <c:pt idx="10">
                  <c:v>41740</c:v>
                </c:pt>
                <c:pt idx="11">
                  <c:v>41741</c:v>
                </c:pt>
                <c:pt idx="12">
                  <c:v>41742</c:v>
                </c:pt>
                <c:pt idx="13">
                  <c:v>41743</c:v>
                </c:pt>
                <c:pt idx="14">
                  <c:v>41744</c:v>
                </c:pt>
                <c:pt idx="15">
                  <c:v>41745</c:v>
                </c:pt>
                <c:pt idx="16">
                  <c:v>41746</c:v>
                </c:pt>
                <c:pt idx="17">
                  <c:v>41747</c:v>
                </c:pt>
                <c:pt idx="18">
                  <c:v>41748</c:v>
                </c:pt>
                <c:pt idx="19">
                  <c:v>41749</c:v>
                </c:pt>
                <c:pt idx="20">
                  <c:v>41750</c:v>
                </c:pt>
                <c:pt idx="21">
                  <c:v>41751</c:v>
                </c:pt>
                <c:pt idx="22">
                  <c:v>41752</c:v>
                </c:pt>
                <c:pt idx="23">
                  <c:v>41753</c:v>
                </c:pt>
                <c:pt idx="24">
                  <c:v>41754</c:v>
                </c:pt>
                <c:pt idx="25">
                  <c:v>41755</c:v>
                </c:pt>
                <c:pt idx="26">
                  <c:v>41756</c:v>
                </c:pt>
                <c:pt idx="27">
                  <c:v>41757</c:v>
                </c:pt>
                <c:pt idx="28">
                  <c:v>41758</c:v>
                </c:pt>
                <c:pt idx="29">
                  <c:v>41759</c:v>
                </c:pt>
                <c:pt idx="30">
                  <c:v>41760</c:v>
                </c:pt>
              </c:numCache>
            </c:numRef>
          </c:cat>
          <c:val>
            <c:numRef>
              <c:f>Mo.8!$V$12:$V$42</c:f>
              <c:numCache>
                <c:formatCode>_("$"* #,##0.00_);_("$"* \(#,##0.00\);_("$"* "-"??_);_(@_)</c:formatCode>
                <c:ptCount val="31"/>
                <c:pt idx="0">
                  <c:v>1156.74</c:v>
                </c:pt>
                <c:pt idx="1">
                  <c:v>1156.74</c:v>
                </c:pt>
                <c:pt idx="2">
                  <c:v>1156.74</c:v>
                </c:pt>
                <c:pt idx="3">
                  <c:v>1156.74</c:v>
                </c:pt>
                <c:pt idx="4">
                  <c:v>1156.74</c:v>
                </c:pt>
                <c:pt idx="5">
                  <c:v>1156.74</c:v>
                </c:pt>
                <c:pt idx="6">
                  <c:v>1156.74</c:v>
                </c:pt>
                <c:pt idx="7">
                  <c:v>1156.74</c:v>
                </c:pt>
                <c:pt idx="8">
                  <c:v>1156.74</c:v>
                </c:pt>
                <c:pt idx="9">
                  <c:v>1156.74</c:v>
                </c:pt>
                <c:pt idx="10">
                  <c:v>1156.74</c:v>
                </c:pt>
                <c:pt idx="11">
                  <c:v>1156.74</c:v>
                </c:pt>
                <c:pt idx="12">
                  <c:v>1156.74</c:v>
                </c:pt>
                <c:pt idx="13">
                  <c:v>1156.74</c:v>
                </c:pt>
                <c:pt idx="14">
                  <c:v>1156.74</c:v>
                </c:pt>
                <c:pt idx="15">
                  <c:v>1156.74</c:v>
                </c:pt>
                <c:pt idx="16">
                  <c:v>1156.74</c:v>
                </c:pt>
                <c:pt idx="17">
                  <c:v>1156.74</c:v>
                </c:pt>
                <c:pt idx="18">
                  <c:v>1156.74</c:v>
                </c:pt>
                <c:pt idx="19">
                  <c:v>1156.74</c:v>
                </c:pt>
                <c:pt idx="20">
                  <c:v>1156.74</c:v>
                </c:pt>
                <c:pt idx="21">
                  <c:v>1156.74</c:v>
                </c:pt>
                <c:pt idx="22">
                  <c:v>1156.74</c:v>
                </c:pt>
                <c:pt idx="23">
                  <c:v>1156.74</c:v>
                </c:pt>
                <c:pt idx="24">
                  <c:v>1156.74</c:v>
                </c:pt>
                <c:pt idx="25">
                  <c:v>1156.74</c:v>
                </c:pt>
                <c:pt idx="26">
                  <c:v>1156.74</c:v>
                </c:pt>
                <c:pt idx="27">
                  <c:v>1156.74</c:v>
                </c:pt>
                <c:pt idx="28">
                  <c:v>1156.74</c:v>
                </c:pt>
                <c:pt idx="29">
                  <c:v>1156.74</c:v>
                </c:pt>
                <c:pt idx="30">
                  <c:v>1156.74</c:v>
                </c:pt>
              </c:numCache>
            </c:numRef>
          </c:val>
        </c:ser>
        <c:dLbls>
          <c:showLegendKey val="0"/>
          <c:showVal val="0"/>
          <c:showCatName val="0"/>
          <c:showSerName val="0"/>
          <c:showPercent val="0"/>
          <c:showBubbleSize val="0"/>
        </c:dLbls>
        <c:axId val="365455200"/>
        <c:axId val="365455592"/>
      </c:areaChart>
      <c:lineChart>
        <c:grouping val="standard"/>
        <c:varyColors val="0"/>
        <c:ser>
          <c:idx val="1"/>
          <c:order val="1"/>
          <c:tx>
            <c:v>Target</c:v>
          </c:tx>
          <c:spPr>
            <a:ln w="22225" cap="rnd" cmpd="sng" algn="ctr">
              <a:solidFill>
                <a:srgbClr val="C00000"/>
              </a:solidFill>
              <a:round/>
            </a:ln>
            <a:effectLst/>
          </c:spPr>
          <c:marker>
            <c:symbol val="none"/>
          </c:marker>
          <c:val>
            <c:numRef>
              <c:f>Mo.8!$W$12:$W$42</c:f>
              <c:numCache>
                <c:formatCode>General</c:formatCode>
                <c:ptCount val="31"/>
                <c:pt idx="0">
                  <c:v>1156.7400000000005</c:v>
                </c:pt>
                <c:pt idx="1">
                  <c:v>1156.7400000000005</c:v>
                </c:pt>
                <c:pt idx="2">
                  <c:v>1156.7400000000005</c:v>
                </c:pt>
                <c:pt idx="3">
                  <c:v>1156.7400000000005</c:v>
                </c:pt>
                <c:pt idx="4">
                  <c:v>1156.7400000000005</c:v>
                </c:pt>
                <c:pt idx="5">
                  <c:v>1156.7400000000005</c:v>
                </c:pt>
                <c:pt idx="6">
                  <c:v>1156.7400000000005</c:v>
                </c:pt>
                <c:pt idx="7">
                  <c:v>1156.7400000000005</c:v>
                </c:pt>
                <c:pt idx="8">
                  <c:v>1156.7400000000005</c:v>
                </c:pt>
                <c:pt idx="9">
                  <c:v>1156.7400000000005</c:v>
                </c:pt>
                <c:pt idx="10">
                  <c:v>1156.7400000000005</c:v>
                </c:pt>
                <c:pt idx="11">
                  <c:v>1156.7400000000005</c:v>
                </c:pt>
                <c:pt idx="12">
                  <c:v>1156.7400000000005</c:v>
                </c:pt>
                <c:pt idx="13">
                  <c:v>1156.7400000000005</c:v>
                </c:pt>
                <c:pt idx="14">
                  <c:v>1156.7400000000005</c:v>
                </c:pt>
                <c:pt idx="15">
                  <c:v>1156.7400000000005</c:v>
                </c:pt>
                <c:pt idx="16">
                  <c:v>1156.7400000000005</c:v>
                </c:pt>
                <c:pt idx="17">
                  <c:v>1156.7400000000005</c:v>
                </c:pt>
                <c:pt idx="18">
                  <c:v>1156.7400000000005</c:v>
                </c:pt>
                <c:pt idx="19">
                  <c:v>1156.7400000000005</c:v>
                </c:pt>
                <c:pt idx="20">
                  <c:v>1156.7400000000005</c:v>
                </c:pt>
                <c:pt idx="21">
                  <c:v>1156.7400000000005</c:v>
                </c:pt>
                <c:pt idx="22">
                  <c:v>1156.7400000000005</c:v>
                </c:pt>
                <c:pt idx="23">
                  <c:v>1156.7400000000005</c:v>
                </c:pt>
                <c:pt idx="24">
                  <c:v>1156.7400000000005</c:v>
                </c:pt>
                <c:pt idx="25">
                  <c:v>1156.7400000000005</c:v>
                </c:pt>
                <c:pt idx="26">
                  <c:v>1156.7400000000005</c:v>
                </c:pt>
                <c:pt idx="27">
                  <c:v>1156.7400000000005</c:v>
                </c:pt>
                <c:pt idx="28">
                  <c:v>1156.7400000000005</c:v>
                </c:pt>
                <c:pt idx="29">
                  <c:v>1156.7400000000005</c:v>
                </c:pt>
                <c:pt idx="30">
                  <c:v>1156.7400000000005</c:v>
                </c:pt>
              </c:numCache>
            </c:numRef>
          </c:val>
          <c:smooth val="0"/>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65455200"/>
        <c:axId val="365455592"/>
      </c:lineChart>
      <c:dateAx>
        <c:axId val="365455200"/>
        <c:scaling>
          <c:orientation val="minMax"/>
        </c:scaling>
        <c:delete val="0"/>
        <c:axPos val="b"/>
        <c:numFmt formatCode="m/d"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800" b="0" i="0" u="none" strike="noStrike" kern="1200" spc="20" baseline="0">
                <a:solidFill>
                  <a:schemeClr val="bg1">
                    <a:lumMod val="50000"/>
                  </a:schemeClr>
                </a:solidFill>
                <a:latin typeface="+mn-lt"/>
                <a:ea typeface="+mn-ea"/>
                <a:cs typeface="+mn-cs"/>
              </a:defRPr>
            </a:pPr>
            <a:endParaRPr lang="en-US"/>
          </a:p>
        </c:txPr>
        <c:crossAx val="365455592"/>
        <c:crosses val="autoZero"/>
        <c:auto val="1"/>
        <c:lblOffset val="100"/>
        <c:baseTimeUnit val="days"/>
        <c:majorUnit val="5"/>
        <c:majorTimeUnit val="days"/>
      </c:dateAx>
      <c:valAx>
        <c:axId val="365455592"/>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spc="20" baseline="0">
                <a:solidFill>
                  <a:schemeClr val="bg1">
                    <a:lumMod val="50000"/>
                  </a:schemeClr>
                </a:solidFill>
                <a:latin typeface="+mn-lt"/>
                <a:ea typeface="+mn-ea"/>
                <a:cs typeface="+mn-cs"/>
              </a:defRPr>
            </a:pPr>
            <a:endParaRPr lang="en-US"/>
          </a:p>
        </c:txPr>
        <c:crossAx val="36545520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322072631526647E-2"/>
          <c:y val="0.10714305801098239"/>
          <c:w val="0.87456763252024439"/>
          <c:h val="0.67621049158322377"/>
        </c:manualLayout>
      </c:layout>
      <c:barChart>
        <c:barDir val="col"/>
        <c:grouping val="clustered"/>
        <c:varyColors val="0"/>
        <c:ser>
          <c:idx val="0"/>
          <c:order val="0"/>
          <c:tx>
            <c:strRef>
              <c:f>Mo.9!$S$1</c:f>
              <c:strCache>
                <c:ptCount val="1"/>
                <c:pt idx="0">
                  <c:v>Budget</c:v>
                </c:pt>
              </c:strCache>
            </c:strRef>
          </c:tx>
          <c:spPr>
            <a:solidFill>
              <a:srgbClr val="CCFF99"/>
            </a:solidFill>
            <a:ln w="9525" cap="flat" cmpd="sng" algn="ctr">
              <a:solidFill>
                <a:schemeClr val="bg1">
                  <a:lumMod val="50000"/>
                </a:schemeClr>
              </a:solidFill>
              <a:round/>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Mo.9!$R$3:$R$8</c:f>
              <c:strCache>
                <c:ptCount val="6"/>
                <c:pt idx="0">
                  <c:v>Housing</c:v>
                </c:pt>
                <c:pt idx="1">
                  <c:v>Transportation</c:v>
                </c:pt>
                <c:pt idx="2">
                  <c:v>Bills</c:v>
                </c:pt>
                <c:pt idx="3">
                  <c:v>Living</c:v>
                </c:pt>
                <c:pt idx="4">
                  <c:v>Entertainment</c:v>
                </c:pt>
                <c:pt idx="5">
                  <c:v>Misc.</c:v>
                </c:pt>
              </c:strCache>
            </c:strRef>
          </c:cat>
          <c:val>
            <c:numRef>
              <c:f>Mo.9!$S$3:$S$8</c:f>
              <c:numCache>
                <c:formatCode>General</c:formatCode>
                <c:ptCount val="6"/>
                <c:pt idx="0">
                  <c:v>0</c:v>
                </c:pt>
                <c:pt idx="1">
                  <c:v>0</c:v>
                </c:pt>
                <c:pt idx="2">
                  <c:v>0</c:v>
                </c:pt>
                <c:pt idx="3">
                  <c:v>0</c:v>
                </c:pt>
                <c:pt idx="4">
                  <c:v>0</c:v>
                </c:pt>
                <c:pt idx="5">
                  <c:v>0</c:v>
                </c:pt>
              </c:numCache>
            </c:numRef>
          </c:val>
        </c:ser>
        <c:ser>
          <c:idx val="1"/>
          <c:order val="1"/>
          <c:tx>
            <c:strRef>
              <c:f>Mo.9!$T$1</c:f>
              <c:strCache>
                <c:ptCount val="1"/>
                <c:pt idx="0">
                  <c:v>Actual</c:v>
                </c:pt>
              </c:strCache>
            </c:strRef>
          </c:tx>
          <c:spPr>
            <a:solidFill>
              <a:srgbClr val="FF5050">
                <a:alpha val="50000"/>
              </a:srgbClr>
            </a:solidFill>
            <a:ln w="9525" cap="flat" cmpd="sng" algn="ctr">
              <a:solidFill>
                <a:schemeClr val="bg1">
                  <a:lumMod val="50000"/>
                </a:schemeClr>
              </a:solidFill>
              <a:round/>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Mo.9!$R$3:$R$8</c:f>
              <c:strCache>
                <c:ptCount val="6"/>
                <c:pt idx="0">
                  <c:v>Housing</c:v>
                </c:pt>
                <c:pt idx="1">
                  <c:v>Transportation</c:v>
                </c:pt>
                <c:pt idx="2">
                  <c:v>Bills</c:v>
                </c:pt>
                <c:pt idx="3">
                  <c:v>Living</c:v>
                </c:pt>
                <c:pt idx="4">
                  <c:v>Entertainment</c:v>
                </c:pt>
                <c:pt idx="5">
                  <c:v>Misc.</c:v>
                </c:pt>
              </c:strCache>
            </c:strRef>
          </c:cat>
          <c:val>
            <c:numRef>
              <c:f>Mo.9!$T$3:$T$8</c:f>
              <c:numCache>
                <c:formatCode>General</c:formatCode>
                <c:ptCount val="6"/>
                <c:pt idx="0">
                  <c:v>0</c:v>
                </c:pt>
                <c:pt idx="1">
                  <c:v>0</c:v>
                </c:pt>
                <c:pt idx="2">
                  <c:v>0</c:v>
                </c:pt>
                <c:pt idx="3">
                  <c:v>0</c:v>
                </c:pt>
                <c:pt idx="4">
                  <c:v>0</c:v>
                </c:pt>
                <c:pt idx="5">
                  <c:v>0</c:v>
                </c:pt>
              </c:numCache>
            </c:numRef>
          </c:val>
        </c:ser>
        <c:dLbls>
          <c:showLegendKey val="0"/>
          <c:showVal val="0"/>
          <c:showCatName val="0"/>
          <c:showSerName val="0"/>
          <c:showPercent val="0"/>
          <c:showBubbleSize val="0"/>
        </c:dLbls>
        <c:gapWidth val="20"/>
        <c:overlap val="100"/>
        <c:axId val="365456376"/>
        <c:axId val="366373976"/>
      </c:barChart>
      <c:catAx>
        <c:axId val="365456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66373976"/>
        <c:crosses val="autoZero"/>
        <c:auto val="1"/>
        <c:lblAlgn val="ctr"/>
        <c:lblOffset val="100"/>
        <c:noMultiLvlLbl val="0"/>
      </c:catAx>
      <c:valAx>
        <c:axId val="366373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365456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79195972389572"/>
          <c:y val="9.5238095238095233E-2"/>
          <c:w val="0.80822820634965109"/>
          <c:h val="0.68640794900637425"/>
        </c:manualLayout>
      </c:layout>
      <c:areaChart>
        <c:grouping val="standard"/>
        <c:varyColors val="0"/>
        <c:ser>
          <c:idx val="0"/>
          <c:order val="0"/>
          <c:tx>
            <c:strRef>
              <c:f>Mo.9!$V$11</c:f>
              <c:strCache>
                <c:ptCount val="1"/>
                <c:pt idx="0">
                  <c:v>Balance</c:v>
                </c:pt>
              </c:strCache>
            </c:strRef>
          </c:tx>
          <c:spPr>
            <a:solidFill>
              <a:schemeClr val="accent6">
                <a:lumMod val="60000"/>
                <a:lumOff val="40000"/>
              </a:schemeClr>
            </a:solidFill>
            <a:ln w="9525" cap="flat" cmpd="sng" algn="ctr">
              <a:solidFill>
                <a:schemeClr val="accent6">
                  <a:lumMod val="50000"/>
                </a:schemeClr>
              </a:solidFill>
              <a:round/>
            </a:ln>
            <a:effectLst/>
          </c:spPr>
          <c:cat>
            <c:numRef>
              <c:f>Mo.9!$S$12:$S$42</c:f>
              <c:numCache>
                <c:formatCode>m/d\ \(ddd\)</c:formatCode>
                <c:ptCount val="31"/>
                <c:pt idx="0">
                  <c:v>41760</c:v>
                </c:pt>
                <c:pt idx="1">
                  <c:v>41761</c:v>
                </c:pt>
                <c:pt idx="2">
                  <c:v>41762</c:v>
                </c:pt>
                <c:pt idx="3">
                  <c:v>41763</c:v>
                </c:pt>
                <c:pt idx="4">
                  <c:v>41764</c:v>
                </c:pt>
                <c:pt idx="5">
                  <c:v>41765</c:v>
                </c:pt>
                <c:pt idx="6">
                  <c:v>41766</c:v>
                </c:pt>
                <c:pt idx="7">
                  <c:v>41767</c:v>
                </c:pt>
                <c:pt idx="8">
                  <c:v>41768</c:v>
                </c:pt>
                <c:pt idx="9">
                  <c:v>41769</c:v>
                </c:pt>
                <c:pt idx="10">
                  <c:v>41770</c:v>
                </c:pt>
                <c:pt idx="11">
                  <c:v>41771</c:v>
                </c:pt>
                <c:pt idx="12">
                  <c:v>41772</c:v>
                </c:pt>
                <c:pt idx="13">
                  <c:v>41773</c:v>
                </c:pt>
                <c:pt idx="14">
                  <c:v>41774</c:v>
                </c:pt>
                <c:pt idx="15">
                  <c:v>41775</c:v>
                </c:pt>
                <c:pt idx="16">
                  <c:v>41776</c:v>
                </c:pt>
                <c:pt idx="17">
                  <c:v>41777</c:v>
                </c:pt>
                <c:pt idx="18">
                  <c:v>41778</c:v>
                </c:pt>
                <c:pt idx="19">
                  <c:v>41779</c:v>
                </c:pt>
                <c:pt idx="20">
                  <c:v>41780</c:v>
                </c:pt>
                <c:pt idx="21">
                  <c:v>41781</c:v>
                </c:pt>
                <c:pt idx="22">
                  <c:v>41782</c:v>
                </c:pt>
                <c:pt idx="23">
                  <c:v>41783</c:v>
                </c:pt>
                <c:pt idx="24">
                  <c:v>41784</c:v>
                </c:pt>
                <c:pt idx="25">
                  <c:v>41785</c:v>
                </c:pt>
                <c:pt idx="26">
                  <c:v>41786</c:v>
                </c:pt>
                <c:pt idx="27">
                  <c:v>41787</c:v>
                </c:pt>
                <c:pt idx="28">
                  <c:v>41788</c:v>
                </c:pt>
                <c:pt idx="29">
                  <c:v>41789</c:v>
                </c:pt>
                <c:pt idx="30">
                  <c:v>41790</c:v>
                </c:pt>
              </c:numCache>
            </c:numRef>
          </c:cat>
          <c:val>
            <c:numRef>
              <c:f>Mo.9!$V$12:$V$42</c:f>
              <c:numCache>
                <c:formatCode>_("$"* #,##0.00_);_("$"* \(#,##0.00\);_("$"* "-"??_);_(@_)</c:formatCode>
                <c:ptCount val="31"/>
                <c:pt idx="0">
                  <c:v>1156.74</c:v>
                </c:pt>
                <c:pt idx="1">
                  <c:v>1156.74</c:v>
                </c:pt>
                <c:pt idx="2">
                  <c:v>1156.74</c:v>
                </c:pt>
                <c:pt idx="3">
                  <c:v>1156.74</c:v>
                </c:pt>
                <c:pt idx="4">
                  <c:v>1156.74</c:v>
                </c:pt>
                <c:pt idx="5">
                  <c:v>1156.74</c:v>
                </c:pt>
                <c:pt idx="6">
                  <c:v>1156.74</c:v>
                </c:pt>
                <c:pt idx="7">
                  <c:v>1156.74</c:v>
                </c:pt>
                <c:pt idx="8">
                  <c:v>1156.74</c:v>
                </c:pt>
                <c:pt idx="9">
                  <c:v>1156.74</c:v>
                </c:pt>
                <c:pt idx="10">
                  <c:v>1156.74</c:v>
                </c:pt>
                <c:pt idx="11">
                  <c:v>1156.74</c:v>
                </c:pt>
                <c:pt idx="12">
                  <c:v>1156.74</c:v>
                </c:pt>
                <c:pt idx="13">
                  <c:v>1156.74</c:v>
                </c:pt>
                <c:pt idx="14">
                  <c:v>1156.74</c:v>
                </c:pt>
                <c:pt idx="15">
                  <c:v>1156.74</c:v>
                </c:pt>
                <c:pt idx="16">
                  <c:v>1156.74</c:v>
                </c:pt>
                <c:pt idx="17">
                  <c:v>1156.74</c:v>
                </c:pt>
                <c:pt idx="18">
                  <c:v>1156.74</c:v>
                </c:pt>
                <c:pt idx="19">
                  <c:v>1156.74</c:v>
                </c:pt>
                <c:pt idx="20">
                  <c:v>1156.74</c:v>
                </c:pt>
                <c:pt idx="21">
                  <c:v>1156.74</c:v>
                </c:pt>
                <c:pt idx="22">
                  <c:v>1156.74</c:v>
                </c:pt>
                <c:pt idx="23">
                  <c:v>1156.74</c:v>
                </c:pt>
                <c:pt idx="24">
                  <c:v>1156.74</c:v>
                </c:pt>
                <c:pt idx="25">
                  <c:v>1156.74</c:v>
                </c:pt>
                <c:pt idx="26">
                  <c:v>1156.74</c:v>
                </c:pt>
                <c:pt idx="27">
                  <c:v>1156.74</c:v>
                </c:pt>
                <c:pt idx="28">
                  <c:v>1156.74</c:v>
                </c:pt>
                <c:pt idx="29">
                  <c:v>1156.74</c:v>
                </c:pt>
                <c:pt idx="30">
                  <c:v>1156.74</c:v>
                </c:pt>
              </c:numCache>
            </c:numRef>
          </c:val>
        </c:ser>
        <c:dLbls>
          <c:showLegendKey val="0"/>
          <c:showVal val="0"/>
          <c:showCatName val="0"/>
          <c:showSerName val="0"/>
          <c:showPercent val="0"/>
          <c:showBubbleSize val="0"/>
        </c:dLbls>
        <c:axId val="366374760"/>
        <c:axId val="366375152"/>
      </c:areaChart>
      <c:lineChart>
        <c:grouping val="standard"/>
        <c:varyColors val="0"/>
        <c:ser>
          <c:idx val="1"/>
          <c:order val="1"/>
          <c:tx>
            <c:v>Target</c:v>
          </c:tx>
          <c:spPr>
            <a:ln w="22225" cap="rnd" cmpd="sng" algn="ctr">
              <a:solidFill>
                <a:srgbClr val="C00000"/>
              </a:solidFill>
              <a:round/>
            </a:ln>
            <a:effectLst/>
          </c:spPr>
          <c:marker>
            <c:symbol val="none"/>
          </c:marker>
          <c:val>
            <c:numRef>
              <c:f>Mo.9!$W$12:$W$42</c:f>
              <c:numCache>
                <c:formatCode>General</c:formatCode>
                <c:ptCount val="31"/>
                <c:pt idx="0">
                  <c:v>1156.7400000000005</c:v>
                </c:pt>
                <c:pt idx="1">
                  <c:v>1156.7400000000005</c:v>
                </c:pt>
                <c:pt idx="2">
                  <c:v>1156.7400000000005</c:v>
                </c:pt>
                <c:pt idx="3">
                  <c:v>1156.7400000000005</c:v>
                </c:pt>
                <c:pt idx="4">
                  <c:v>1156.7400000000005</c:v>
                </c:pt>
                <c:pt idx="5">
                  <c:v>1156.7400000000005</c:v>
                </c:pt>
                <c:pt idx="6">
                  <c:v>1156.7400000000005</c:v>
                </c:pt>
                <c:pt idx="7">
                  <c:v>1156.7400000000005</c:v>
                </c:pt>
                <c:pt idx="8">
                  <c:v>1156.7400000000005</c:v>
                </c:pt>
                <c:pt idx="9">
                  <c:v>1156.7400000000005</c:v>
                </c:pt>
                <c:pt idx="10">
                  <c:v>1156.7400000000005</c:v>
                </c:pt>
                <c:pt idx="11">
                  <c:v>1156.7400000000005</c:v>
                </c:pt>
                <c:pt idx="12">
                  <c:v>1156.7400000000005</c:v>
                </c:pt>
                <c:pt idx="13">
                  <c:v>1156.7400000000005</c:v>
                </c:pt>
                <c:pt idx="14">
                  <c:v>1156.7400000000005</c:v>
                </c:pt>
                <c:pt idx="15">
                  <c:v>1156.7400000000005</c:v>
                </c:pt>
                <c:pt idx="16">
                  <c:v>1156.7400000000005</c:v>
                </c:pt>
                <c:pt idx="17">
                  <c:v>1156.7400000000005</c:v>
                </c:pt>
                <c:pt idx="18">
                  <c:v>1156.7400000000005</c:v>
                </c:pt>
                <c:pt idx="19">
                  <c:v>1156.7400000000005</c:v>
                </c:pt>
                <c:pt idx="20">
                  <c:v>1156.7400000000005</c:v>
                </c:pt>
                <c:pt idx="21">
                  <c:v>1156.7400000000005</c:v>
                </c:pt>
                <c:pt idx="22">
                  <c:v>1156.7400000000005</c:v>
                </c:pt>
                <c:pt idx="23">
                  <c:v>1156.7400000000005</c:v>
                </c:pt>
                <c:pt idx="24">
                  <c:v>1156.7400000000005</c:v>
                </c:pt>
                <c:pt idx="25">
                  <c:v>1156.7400000000005</c:v>
                </c:pt>
                <c:pt idx="26">
                  <c:v>1156.7400000000005</c:v>
                </c:pt>
                <c:pt idx="27">
                  <c:v>1156.7400000000005</c:v>
                </c:pt>
                <c:pt idx="28">
                  <c:v>1156.7400000000005</c:v>
                </c:pt>
                <c:pt idx="29">
                  <c:v>1156.7400000000005</c:v>
                </c:pt>
                <c:pt idx="30">
                  <c:v>1156.7400000000005</c:v>
                </c:pt>
              </c:numCache>
            </c:numRef>
          </c:val>
          <c:smooth val="0"/>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66374760"/>
        <c:axId val="366375152"/>
      </c:lineChart>
      <c:dateAx>
        <c:axId val="366374760"/>
        <c:scaling>
          <c:orientation val="minMax"/>
        </c:scaling>
        <c:delete val="0"/>
        <c:axPos val="b"/>
        <c:numFmt formatCode="m/d"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800" b="0" i="0" u="none" strike="noStrike" kern="1200" spc="20" baseline="0">
                <a:solidFill>
                  <a:schemeClr val="bg1">
                    <a:lumMod val="50000"/>
                  </a:schemeClr>
                </a:solidFill>
                <a:latin typeface="+mn-lt"/>
                <a:ea typeface="+mn-ea"/>
                <a:cs typeface="+mn-cs"/>
              </a:defRPr>
            </a:pPr>
            <a:endParaRPr lang="en-US"/>
          </a:p>
        </c:txPr>
        <c:crossAx val="366375152"/>
        <c:crosses val="autoZero"/>
        <c:auto val="1"/>
        <c:lblOffset val="100"/>
        <c:baseTimeUnit val="days"/>
        <c:majorUnit val="5"/>
        <c:majorTimeUnit val="days"/>
      </c:dateAx>
      <c:valAx>
        <c:axId val="366375152"/>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spc="20" baseline="0">
                <a:solidFill>
                  <a:schemeClr val="bg1">
                    <a:lumMod val="50000"/>
                  </a:schemeClr>
                </a:solidFill>
                <a:latin typeface="+mn-lt"/>
                <a:ea typeface="+mn-ea"/>
                <a:cs typeface="+mn-cs"/>
              </a:defRPr>
            </a:pPr>
            <a:endParaRPr lang="en-US"/>
          </a:p>
        </c:txPr>
        <c:crossAx val="36637476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322072631526647E-2"/>
          <c:y val="0.10714305801098239"/>
          <c:w val="0.87456763252024439"/>
          <c:h val="0.67621049158322377"/>
        </c:manualLayout>
      </c:layout>
      <c:barChart>
        <c:barDir val="col"/>
        <c:grouping val="clustered"/>
        <c:varyColors val="0"/>
        <c:ser>
          <c:idx val="0"/>
          <c:order val="0"/>
          <c:tx>
            <c:strRef>
              <c:f>Mo.10!$S$1</c:f>
              <c:strCache>
                <c:ptCount val="1"/>
                <c:pt idx="0">
                  <c:v>Budget</c:v>
                </c:pt>
              </c:strCache>
            </c:strRef>
          </c:tx>
          <c:spPr>
            <a:solidFill>
              <a:srgbClr val="CCFF99"/>
            </a:solidFill>
            <a:ln w="9525" cap="flat" cmpd="sng" algn="ctr">
              <a:solidFill>
                <a:schemeClr val="bg1">
                  <a:lumMod val="50000"/>
                </a:schemeClr>
              </a:solidFill>
              <a:round/>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Mo.10!$R$3:$R$8</c:f>
              <c:strCache>
                <c:ptCount val="6"/>
                <c:pt idx="0">
                  <c:v>Housing</c:v>
                </c:pt>
                <c:pt idx="1">
                  <c:v>Transportation</c:v>
                </c:pt>
                <c:pt idx="2">
                  <c:v>Bills</c:v>
                </c:pt>
                <c:pt idx="3">
                  <c:v>Living</c:v>
                </c:pt>
                <c:pt idx="4">
                  <c:v>Entertainment</c:v>
                </c:pt>
                <c:pt idx="5">
                  <c:v>Misc.</c:v>
                </c:pt>
              </c:strCache>
            </c:strRef>
          </c:cat>
          <c:val>
            <c:numRef>
              <c:f>Mo.10!$S$3:$S$8</c:f>
              <c:numCache>
                <c:formatCode>General</c:formatCode>
                <c:ptCount val="6"/>
                <c:pt idx="0">
                  <c:v>0</c:v>
                </c:pt>
                <c:pt idx="1">
                  <c:v>0</c:v>
                </c:pt>
                <c:pt idx="2">
                  <c:v>0</c:v>
                </c:pt>
                <c:pt idx="3">
                  <c:v>0</c:v>
                </c:pt>
                <c:pt idx="4">
                  <c:v>0</c:v>
                </c:pt>
                <c:pt idx="5">
                  <c:v>0</c:v>
                </c:pt>
              </c:numCache>
            </c:numRef>
          </c:val>
        </c:ser>
        <c:ser>
          <c:idx val="1"/>
          <c:order val="1"/>
          <c:tx>
            <c:strRef>
              <c:f>Mo.10!$T$1</c:f>
              <c:strCache>
                <c:ptCount val="1"/>
                <c:pt idx="0">
                  <c:v>Actual</c:v>
                </c:pt>
              </c:strCache>
            </c:strRef>
          </c:tx>
          <c:spPr>
            <a:solidFill>
              <a:srgbClr val="FF5050">
                <a:alpha val="50000"/>
              </a:srgbClr>
            </a:solidFill>
            <a:ln w="9525" cap="flat" cmpd="sng" algn="ctr">
              <a:solidFill>
                <a:schemeClr val="bg1">
                  <a:lumMod val="50000"/>
                </a:schemeClr>
              </a:solidFill>
              <a:round/>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Mo.10!$R$3:$R$8</c:f>
              <c:strCache>
                <c:ptCount val="6"/>
                <c:pt idx="0">
                  <c:v>Housing</c:v>
                </c:pt>
                <c:pt idx="1">
                  <c:v>Transportation</c:v>
                </c:pt>
                <c:pt idx="2">
                  <c:v>Bills</c:v>
                </c:pt>
                <c:pt idx="3">
                  <c:v>Living</c:v>
                </c:pt>
                <c:pt idx="4">
                  <c:v>Entertainment</c:v>
                </c:pt>
                <c:pt idx="5">
                  <c:v>Misc.</c:v>
                </c:pt>
              </c:strCache>
            </c:strRef>
          </c:cat>
          <c:val>
            <c:numRef>
              <c:f>Mo.10!$T$3:$T$8</c:f>
              <c:numCache>
                <c:formatCode>General</c:formatCode>
                <c:ptCount val="6"/>
                <c:pt idx="0">
                  <c:v>0</c:v>
                </c:pt>
                <c:pt idx="1">
                  <c:v>0</c:v>
                </c:pt>
                <c:pt idx="2">
                  <c:v>0</c:v>
                </c:pt>
                <c:pt idx="3">
                  <c:v>0</c:v>
                </c:pt>
                <c:pt idx="4">
                  <c:v>0</c:v>
                </c:pt>
                <c:pt idx="5">
                  <c:v>0</c:v>
                </c:pt>
              </c:numCache>
            </c:numRef>
          </c:val>
        </c:ser>
        <c:dLbls>
          <c:showLegendKey val="0"/>
          <c:showVal val="0"/>
          <c:showCatName val="0"/>
          <c:showSerName val="0"/>
          <c:showPercent val="0"/>
          <c:showBubbleSize val="0"/>
        </c:dLbls>
        <c:gapWidth val="20"/>
        <c:overlap val="100"/>
        <c:axId val="366375936"/>
        <c:axId val="366376328"/>
      </c:barChart>
      <c:catAx>
        <c:axId val="3663759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66376328"/>
        <c:crosses val="autoZero"/>
        <c:auto val="1"/>
        <c:lblAlgn val="ctr"/>
        <c:lblOffset val="100"/>
        <c:noMultiLvlLbl val="0"/>
      </c:catAx>
      <c:valAx>
        <c:axId val="3663763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366375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79195972389572"/>
          <c:y val="9.5238095238095233E-2"/>
          <c:w val="0.80822820634965109"/>
          <c:h val="0.68640794900637425"/>
        </c:manualLayout>
      </c:layout>
      <c:areaChart>
        <c:grouping val="standard"/>
        <c:varyColors val="0"/>
        <c:ser>
          <c:idx val="0"/>
          <c:order val="0"/>
          <c:tx>
            <c:strRef>
              <c:f>Mo.10!$V$11</c:f>
              <c:strCache>
                <c:ptCount val="1"/>
                <c:pt idx="0">
                  <c:v>Balance</c:v>
                </c:pt>
              </c:strCache>
            </c:strRef>
          </c:tx>
          <c:spPr>
            <a:solidFill>
              <a:schemeClr val="accent6">
                <a:lumMod val="60000"/>
                <a:lumOff val="40000"/>
              </a:schemeClr>
            </a:solidFill>
            <a:ln w="9525" cap="flat" cmpd="sng" algn="ctr">
              <a:solidFill>
                <a:schemeClr val="accent6">
                  <a:lumMod val="50000"/>
                </a:schemeClr>
              </a:solidFill>
              <a:round/>
            </a:ln>
            <a:effectLst/>
          </c:spPr>
          <c:cat>
            <c:numRef>
              <c:f>Mo.10!$S$12:$S$42</c:f>
              <c:numCache>
                <c:formatCode>m/d\ \(ddd\)</c:formatCode>
                <c:ptCount val="31"/>
                <c:pt idx="0">
                  <c:v>41791</c:v>
                </c:pt>
                <c:pt idx="1">
                  <c:v>41792</c:v>
                </c:pt>
                <c:pt idx="2">
                  <c:v>41793</c:v>
                </c:pt>
                <c:pt idx="3">
                  <c:v>41794</c:v>
                </c:pt>
                <c:pt idx="4">
                  <c:v>41795</c:v>
                </c:pt>
                <c:pt idx="5">
                  <c:v>41796</c:v>
                </c:pt>
                <c:pt idx="6">
                  <c:v>41797</c:v>
                </c:pt>
                <c:pt idx="7">
                  <c:v>41798</c:v>
                </c:pt>
                <c:pt idx="8">
                  <c:v>41799</c:v>
                </c:pt>
                <c:pt idx="9">
                  <c:v>41800</c:v>
                </c:pt>
                <c:pt idx="10">
                  <c:v>41801</c:v>
                </c:pt>
                <c:pt idx="11">
                  <c:v>41802</c:v>
                </c:pt>
                <c:pt idx="12">
                  <c:v>41803</c:v>
                </c:pt>
                <c:pt idx="13">
                  <c:v>41804</c:v>
                </c:pt>
                <c:pt idx="14">
                  <c:v>41805</c:v>
                </c:pt>
                <c:pt idx="15">
                  <c:v>41806</c:v>
                </c:pt>
                <c:pt idx="16">
                  <c:v>41807</c:v>
                </c:pt>
                <c:pt idx="17">
                  <c:v>41808</c:v>
                </c:pt>
                <c:pt idx="18">
                  <c:v>41809</c:v>
                </c:pt>
                <c:pt idx="19">
                  <c:v>41810</c:v>
                </c:pt>
                <c:pt idx="20">
                  <c:v>41811</c:v>
                </c:pt>
                <c:pt idx="21">
                  <c:v>41812</c:v>
                </c:pt>
                <c:pt idx="22">
                  <c:v>41813</c:v>
                </c:pt>
                <c:pt idx="23">
                  <c:v>41814</c:v>
                </c:pt>
                <c:pt idx="24">
                  <c:v>41815</c:v>
                </c:pt>
                <c:pt idx="25">
                  <c:v>41816</c:v>
                </c:pt>
                <c:pt idx="26">
                  <c:v>41817</c:v>
                </c:pt>
                <c:pt idx="27">
                  <c:v>41818</c:v>
                </c:pt>
                <c:pt idx="28">
                  <c:v>41819</c:v>
                </c:pt>
                <c:pt idx="29">
                  <c:v>41820</c:v>
                </c:pt>
                <c:pt idx="30">
                  <c:v>41821</c:v>
                </c:pt>
              </c:numCache>
            </c:numRef>
          </c:cat>
          <c:val>
            <c:numRef>
              <c:f>Mo.10!$V$12:$V$42</c:f>
              <c:numCache>
                <c:formatCode>_("$"* #,##0.00_);_("$"* \(#,##0.00\);_("$"* "-"??_);_(@_)</c:formatCode>
                <c:ptCount val="31"/>
                <c:pt idx="0">
                  <c:v>1156.74</c:v>
                </c:pt>
                <c:pt idx="1">
                  <c:v>1156.74</c:v>
                </c:pt>
                <c:pt idx="2">
                  <c:v>1156.74</c:v>
                </c:pt>
                <c:pt idx="3">
                  <c:v>1156.74</c:v>
                </c:pt>
                <c:pt idx="4">
                  <c:v>1156.74</c:v>
                </c:pt>
                <c:pt idx="5">
                  <c:v>1156.74</c:v>
                </c:pt>
                <c:pt idx="6">
                  <c:v>1156.74</c:v>
                </c:pt>
                <c:pt idx="7">
                  <c:v>1156.74</c:v>
                </c:pt>
                <c:pt idx="8">
                  <c:v>1156.74</c:v>
                </c:pt>
                <c:pt idx="9">
                  <c:v>1156.74</c:v>
                </c:pt>
                <c:pt idx="10">
                  <c:v>1156.74</c:v>
                </c:pt>
                <c:pt idx="11">
                  <c:v>1156.74</c:v>
                </c:pt>
                <c:pt idx="12">
                  <c:v>1156.74</c:v>
                </c:pt>
                <c:pt idx="13">
                  <c:v>1156.74</c:v>
                </c:pt>
                <c:pt idx="14">
                  <c:v>1156.74</c:v>
                </c:pt>
                <c:pt idx="15">
                  <c:v>1156.74</c:v>
                </c:pt>
                <c:pt idx="16">
                  <c:v>1156.74</c:v>
                </c:pt>
                <c:pt idx="17">
                  <c:v>1156.74</c:v>
                </c:pt>
                <c:pt idx="18">
                  <c:v>1156.74</c:v>
                </c:pt>
                <c:pt idx="19">
                  <c:v>1156.74</c:v>
                </c:pt>
                <c:pt idx="20">
                  <c:v>1156.74</c:v>
                </c:pt>
                <c:pt idx="21">
                  <c:v>1156.74</c:v>
                </c:pt>
                <c:pt idx="22">
                  <c:v>1156.74</c:v>
                </c:pt>
                <c:pt idx="23">
                  <c:v>1156.74</c:v>
                </c:pt>
                <c:pt idx="24">
                  <c:v>1156.74</c:v>
                </c:pt>
                <c:pt idx="25">
                  <c:v>1156.74</c:v>
                </c:pt>
                <c:pt idx="26">
                  <c:v>1156.74</c:v>
                </c:pt>
                <c:pt idx="27">
                  <c:v>1156.74</c:v>
                </c:pt>
                <c:pt idx="28">
                  <c:v>1156.74</c:v>
                </c:pt>
                <c:pt idx="29">
                  <c:v>1156.74</c:v>
                </c:pt>
                <c:pt idx="30">
                  <c:v>1156.74</c:v>
                </c:pt>
              </c:numCache>
            </c:numRef>
          </c:val>
        </c:ser>
        <c:dLbls>
          <c:showLegendKey val="0"/>
          <c:showVal val="0"/>
          <c:showCatName val="0"/>
          <c:showSerName val="0"/>
          <c:showPercent val="0"/>
          <c:showBubbleSize val="0"/>
        </c:dLbls>
        <c:axId val="366377112"/>
        <c:axId val="366377504"/>
      </c:areaChart>
      <c:lineChart>
        <c:grouping val="standard"/>
        <c:varyColors val="0"/>
        <c:ser>
          <c:idx val="1"/>
          <c:order val="1"/>
          <c:tx>
            <c:v>Target</c:v>
          </c:tx>
          <c:spPr>
            <a:ln w="22225" cap="rnd" cmpd="sng" algn="ctr">
              <a:solidFill>
                <a:srgbClr val="C00000"/>
              </a:solidFill>
              <a:round/>
            </a:ln>
            <a:effectLst/>
          </c:spPr>
          <c:marker>
            <c:symbol val="none"/>
          </c:marker>
          <c:val>
            <c:numRef>
              <c:f>Mo.10!$W$12:$W$42</c:f>
              <c:numCache>
                <c:formatCode>General</c:formatCode>
                <c:ptCount val="31"/>
                <c:pt idx="0">
                  <c:v>1156.7400000000005</c:v>
                </c:pt>
                <c:pt idx="1">
                  <c:v>1156.7400000000005</c:v>
                </c:pt>
                <c:pt idx="2">
                  <c:v>1156.7400000000005</c:v>
                </c:pt>
                <c:pt idx="3">
                  <c:v>1156.7400000000005</c:v>
                </c:pt>
                <c:pt idx="4">
                  <c:v>1156.7400000000005</c:v>
                </c:pt>
                <c:pt idx="5">
                  <c:v>1156.7400000000005</c:v>
                </c:pt>
                <c:pt idx="6">
                  <c:v>1156.7400000000005</c:v>
                </c:pt>
                <c:pt idx="7">
                  <c:v>1156.7400000000005</c:v>
                </c:pt>
                <c:pt idx="8">
                  <c:v>1156.7400000000005</c:v>
                </c:pt>
                <c:pt idx="9">
                  <c:v>1156.7400000000005</c:v>
                </c:pt>
                <c:pt idx="10">
                  <c:v>1156.7400000000005</c:v>
                </c:pt>
                <c:pt idx="11">
                  <c:v>1156.7400000000005</c:v>
                </c:pt>
                <c:pt idx="12">
                  <c:v>1156.7400000000005</c:v>
                </c:pt>
                <c:pt idx="13">
                  <c:v>1156.7400000000005</c:v>
                </c:pt>
                <c:pt idx="14">
                  <c:v>1156.7400000000005</c:v>
                </c:pt>
                <c:pt idx="15">
                  <c:v>1156.7400000000005</c:v>
                </c:pt>
                <c:pt idx="16">
                  <c:v>1156.7400000000005</c:v>
                </c:pt>
                <c:pt idx="17">
                  <c:v>1156.7400000000005</c:v>
                </c:pt>
                <c:pt idx="18">
                  <c:v>1156.7400000000005</c:v>
                </c:pt>
                <c:pt idx="19">
                  <c:v>1156.7400000000005</c:v>
                </c:pt>
                <c:pt idx="20">
                  <c:v>1156.7400000000005</c:v>
                </c:pt>
                <c:pt idx="21">
                  <c:v>1156.7400000000005</c:v>
                </c:pt>
                <c:pt idx="22">
                  <c:v>1156.7400000000005</c:v>
                </c:pt>
                <c:pt idx="23">
                  <c:v>1156.7400000000005</c:v>
                </c:pt>
                <c:pt idx="24">
                  <c:v>1156.7400000000005</c:v>
                </c:pt>
                <c:pt idx="25">
                  <c:v>1156.7400000000005</c:v>
                </c:pt>
                <c:pt idx="26">
                  <c:v>1156.7400000000005</c:v>
                </c:pt>
                <c:pt idx="27">
                  <c:v>1156.7400000000005</c:v>
                </c:pt>
                <c:pt idx="28">
                  <c:v>1156.7400000000005</c:v>
                </c:pt>
                <c:pt idx="29">
                  <c:v>1156.7400000000005</c:v>
                </c:pt>
                <c:pt idx="30">
                  <c:v>1156.7400000000005</c:v>
                </c:pt>
              </c:numCache>
            </c:numRef>
          </c:val>
          <c:smooth val="0"/>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66377112"/>
        <c:axId val="366377504"/>
      </c:lineChart>
      <c:dateAx>
        <c:axId val="366377112"/>
        <c:scaling>
          <c:orientation val="minMax"/>
        </c:scaling>
        <c:delete val="0"/>
        <c:axPos val="b"/>
        <c:numFmt formatCode="m/d"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800" b="0" i="0" u="none" strike="noStrike" kern="1200" spc="20" baseline="0">
                <a:solidFill>
                  <a:schemeClr val="bg1">
                    <a:lumMod val="50000"/>
                  </a:schemeClr>
                </a:solidFill>
                <a:latin typeface="+mn-lt"/>
                <a:ea typeface="+mn-ea"/>
                <a:cs typeface="+mn-cs"/>
              </a:defRPr>
            </a:pPr>
            <a:endParaRPr lang="en-US"/>
          </a:p>
        </c:txPr>
        <c:crossAx val="366377504"/>
        <c:crosses val="autoZero"/>
        <c:auto val="1"/>
        <c:lblOffset val="100"/>
        <c:baseTimeUnit val="days"/>
        <c:majorUnit val="5"/>
        <c:majorTimeUnit val="days"/>
      </c:dateAx>
      <c:valAx>
        <c:axId val="366377504"/>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spc="20" baseline="0">
                <a:solidFill>
                  <a:schemeClr val="bg1">
                    <a:lumMod val="50000"/>
                  </a:schemeClr>
                </a:solidFill>
                <a:latin typeface="+mn-lt"/>
                <a:ea typeface="+mn-ea"/>
                <a:cs typeface="+mn-cs"/>
              </a:defRPr>
            </a:pPr>
            <a:endParaRPr lang="en-US"/>
          </a:p>
        </c:txPr>
        <c:crossAx val="36637711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322072631526647E-2"/>
          <c:y val="0.10714305801098239"/>
          <c:w val="0.87456763252024439"/>
          <c:h val="0.67621049158322377"/>
        </c:manualLayout>
      </c:layout>
      <c:barChart>
        <c:barDir val="col"/>
        <c:grouping val="clustered"/>
        <c:varyColors val="0"/>
        <c:ser>
          <c:idx val="0"/>
          <c:order val="0"/>
          <c:tx>
            <c:strRef>
              <c:f>Mo.11!$S$1</c:f>
              <c:strCache>
                <c:ptCount val="1"/>
                <c:pt idx="0">
                  <c:v>Budget</c:v>
                </c:pt>
              </c:strCache>
            </c:strRef>
          </c:tx>
          <c:spPr>
            <a:solidFill>
              <a:srgbClr val="CCFF99"/>
            </a:solidFill>
            <a:ln w="9525" cap="flat" cmpd="sng" algn="ctr">
              <a:solidFill>
                <a:schemeClr val="bg1">
                  <a:lumMod val="50000"/>
                </a:schemeClr>
              </a:solidFill>
              <a:round/>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Mo.11!$R$3:$R$8</c:f>
              <c:strCache>
                <c:ptCount val="6"/>
                <c:pt idx="0">
                  <c:v>Housing</c:v>
                </c:pt>
                <c:pt idx="1">
                  <c:v>Transportation</c:v>
                </c:pt>
                <c:pt idx="2">
                  <c:v>Bills</c:v>
                </c:pt>
                <c:pt idx="3">
                  <c:v>Living</c:v>
                </c:pt>
                <c:pt idx="4">
                  <c:v>Entertainment</c:v>
                </c:pt>
                <c:pt idx="5">
                  <c:v>Misc.</c:v>
                </c:pt>
              </c:strCache>
            </c:strRef>
          </c:cat>
          <c:val>
            <c:numRef>
              <c:f>Mo.11!$S$3:$S$8</c:f>
              <c:numCache>
                <c:formatCode>General</c:formatCode>
                <c:ptCount val="6"/>
                <c:pt idx="0">
                  <c:v>0</c:v>
                </c:pt>
                <c:pt idx="1">
                  <c:v>0</c:v>
                </c:pt>
                <c:pt idx="2">
                  <c:v>0</c:v>
                </c:pt>
                <c:pt idx="3">
                  <c:v>0</c:v>
                </c:pt>
                <c:pt idx="4">
                  <c:v>0</c:v>
                </c:pt>
                <c:pt idx="5">
                  <c:v>0</c:v>
                </c:pt>
              </c:numCache>
            </c:numRef>
          </c:val>
        </c:ser>
        <c:ser>
          <c:idx val="1"/>
          <c:order val="1"/>
          <c:tx>
            <c:strRef>
              <c:f>Mo.11!$T$1</c:f>
              <c:strCache>
                <c:ptCount val="1"/>
                <c:pt idx="0">
                  <c:v>Actual</c:v>
                </c:pt>
              </c:strCache>
            </c:strRef>
          </c:tx>
          <c:spPr>
            <a:solidFill>
              <a:srgbClr val="FF5050">
                <a:alpha val="50000"/>
              </a:srgbClr>
            </a:solidFill>
            <a:ln w="9525" cap="flat" cmpd="sng" algn="ctr">
              <a:solidFill>
                <a:schemeClr val="bg1">
                  <a:lumMod val="50000"/>
                </a:schemeClr>
              </a:solidFill>
              <a:round/>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Mo.11!$R$3:$R$8</c:f>
              <c:strCache>
                <c:ptCount val="6"/>
                <c:pt idx="0">
                  <c:v>Housing</c:v>
                </c:pt>
                <c:pt idx="1">
                  <c:v>Transportation</c:v>
                </c:pt>
                <c:pt idx="2">
                  <c:v>Bills</c:v>
                </c:pt>
                <c:pt idx="3">
                  <c:v>Living</c:v>
                </c:pt>
                <c:pt idx="4">
                  <c:v>Entertainment</c:v>
                </c:pt>
                <c:pt idx="5">
                  <c:v>Misc.</c:v>
                </c:pt>
              </c:strCache>
            </c:strRef>
          </c:cat>
          <c:val>
            <c:numRef>
              <c:f>Mo.11!$T$3:$T$8</c:f>
              <c:numCache>
                <c:formatCode>General</c:formatCode>
                <c:ptCount val="6"/>
                <c:pt idx="0">
                  <c:v>0</c:v>
                </c:pt>
                <c:pt idx="1">
                  <c:v>0</c:v>
                </c:pt>
                <c:pt idx="2">
                  <c:v>0</c:v>
                </c:pt>
                <c:pt idx="3">
                  <c:v>0</c:v>
                </c:pt>
                <c:pt idx="4">
                  <c:v>0</c:v>
                </c:pt>
                <c:pt idx="5">
                  <c:v>0</c:v>
                </c:pt>
              </c:numCache>
            </c:numRef>
          </c:val>
        </c:ser>
        <c:dLbls>
          <c:showLegendKey val="0"/>
          <c:showVal val="0"/>
          <c:showCatName val="0"/>
          <c:showSerName val="0"/>
          <c:showPercent val="0"/>
          <c:showBubbleSize val="0"/>
        </c:dLbls>
        <c:gapWidth val="20"/>
        <c:overlap val="100"/>
        <c:axId val="366378288"/>
        <c:axId val="366378680"/>
      </c:barChart>
      <c:catAx>
        <c:axId val="366378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66378680"/>
        <c:crosses val="autoZero"/>
        <c:auto val="1"/>
        <c:lblAlgn val="ctr"/>
        <c:lblOffset val="100"/>
        <c:noMultiLvlLbl val="0"/>
      </c:catAx>
      <c:valAx>
        <c:axId val="3663786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366378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79195972389572"/>
          <c:y val="9.5238095238095233E-2"/>
          <c:w val="0.80822820634965109"/>
          <c:h val="0.68640794900637425"/>
        </c:manualLayout>
      </c:layout>
      <c:areaChart>
        <c:grouping val="standard"/>
        <c:varyColors val="0"/>
        <c:ser>
          <c:idx val="0"/>
          <c:order val="0"/>
          <c:tx>
            <c:strRef>
              <c:f>Mo.11!$V$11</c:f>
              <c:strCache>
                <c:ptCount val="1"/>
                <c:pt idx="0">
                  <c:v>Balance</c:v>
                </c:pt>
              </c:strCache>
            </c:strRef>
          </c:tx>
          <c:spPr>
            <a:solidFill>
              <a:schemeClr val="accent6">
                <a:lumMod val="60000"/>
                <a:lumOff val="40000"/>
              </a:schemeClr>
            </a:solidFill>
            <a:ln w="9525" cap="flat" cmpd="sng" algn="ctr">
              <a:solidFill>
                <a:schemeClr val="accent6">
                  <a:lumMod val="50000"/>
                </a:schemeClr>
              </a:solidFill>
              <a:round/>
            </a:ln>
            <a:effectLst/>
          </c:spPr>
          <c:cat>
            <c:numRef>
              <c:f>Mo.11!$S$12:$S$42</c:f>
              <c:numCache>
                <c:formatCode>m/d\ \(ddd\)</c:formatCode>
                <c:ptCount val="31"/>
                <c:pt idx="0">
                  <c:v>41821</c:v>
                </c:pt>
                <c:pt idx="1">
                  <c:v>41822</c:v>
                </c:pt>
                <c:pt idx="2">
                  <c:v>41823</c:v>
                </c:pt>
                <c:pt idx="3">
                  <c:v>41824</c:v>
                </c:pt>
                <c:pt idx="4">
                  <c:v>41825</c:v>
                </c:pt>
                <c:pt idx="5">
                  <c:v>41826</c:v>
                </c:pt>
                <c:pt idx="6">
                  <c:v>41827</c:v>
                </c:pt>
                <c:pt idx="7">
                  <c:v>41828</c:v>
                </c:pt>
                <c:pt idx="8">
                  <c:v>41829</c:v>
                </c:pt>
                <c:pt idx="9">
                  <c:v>41830</c:v>
                </c:pt>
                <c:pt idx="10">
                  <c:v>41831</c:v>
                </c:pt>
                <c:pt idx="11">
                  <c:v>41832</c:v>
                </c:pt>
                <c:pt idx="12">
                  <c:v>41833</c:v>
                </c:pt>
                <c:pt idx="13">
                  <c:v>41834</c:v>
                </c:pt>
                <c:pt idx="14">
                  <c:v>41835</c:v>
                </c:pt>
                <c:pt idx="15">
                  <c:v>41836</c:v>
                </c:pt>
                <c:pt idx="16">
                  <c:v>41837</c:v>
                </c:pt>
                <c:pt idx="17">
                  <c:v>41838</c:v>
                </c:pt>
                <c:pt idx="18">
                  <c:v>41839</c:v>
                </c:pt>
                <c:pt idx="19">
                  <c:v>41840</c:v>
                </c:pt>
                <c:pt idx="20">
                  <c:v>41841</c:v>
                </c:pt>
                <c:pt idx="21">
                  <c:v>41842</c:v>
                </c:pt>
                <c:pt idx="22">
                  <c:v>41843</c:v>
                </c:pt>
                <c:pt idx="23">
                  <c:v>41844</c:v>
                </c:pt>
                <c:pt idx="24">
                  <c:v>41845</c:v>
                </c:pt>
                <c:pt idx="25">
                  <c:v>41846</c:v>
                </c:pt>
                <c:pt idx="26">
                  <c:v>41847</c:v>
                </c:pt>
                <c:pt idx="27">
                  <c:v>41848</c:v>
                </c:pt>
                <c:pt idx="28">
                  <c:v>41849</c:v>
                </c:pt>
                <c:pt idx="29">
                  <c:v>41850</c:v>
                </c:pt>
                <c:pt idx="30">
                  <c:v>41851</c:v>
                </c:pt>
              </c:numCache>
            </c:numRef>
          </c:cat>
          <c:val>
            <c:numRef>
              <c:f>Mo.11!$V$12:$V$42</c:f>
              <c:numCache>
                <c:formatCode>_("$"* #,##0.00_);_("$"* \(#,##0.00\);_("$"* "-"??_);_(@_)</c:formatCode>
                <c:ptCount val="31"/>
                <c:pt idx="0">
                  <c:v>1156.74</c:v>
                </c:pt>
                <c:pt idx="1">
                  <c:v>1156.74</c:v>
                </c:pt>
                <c:pt idx="2">
                  <c:v>1156.74</c:v>
                </c:pt>
                <c:pt idx="3">
                  <c:v>1156.74</c:v>
                </c:pt>
                <c:pt idx="4">
                  <c:v>1156.74</c:v>
                </c:pt>
                <c:pt idx="5">
                  <c:v>1156.74</c:v>
                </c:pt>
                <c:pt idx="6">
                  <c:v>1156.74</c:v>
                </c:pt>
                <c:pt idx="7">
                  <c:v>1156.74</c:v>
                </c:pt>
                <c:pt idx="8">
                  <c:v>1156.74</c:v>
                </c:pt>
                <c:pt idx="9">
                  <c:v>1156.74</c:v>
                </c:pt>
                <c:pt idx="10">
                  <c:v>1156.74</c:v>
                </c:pt>
                <c:pt idx="11">
                  <c:v>1156.74</c:v>
                </c:pt>
                <c:pt idx="12">
                  <c:v>1156.74</c:v>
                </c:pt>
                <c:pt idx="13">
                  <c:v>1156.74</c:v>
                </c:pt>
                <c:pt idx="14">
                  <c:v>1156.74</c:v>
                </c:pt>
                <c:pt idx="15">
                  <c:v>1156.74</c:v>
                </c:pt>
                <c:pt idx="16">
                  <c:v>1156.74</c:v>
                </c:pt>
                <c:pt idx="17">
                  <c:v>1156.74</c:v>
                </c:pt>
                <c:pt idx="18">
                  <c:v>1156.74</c:v>
                </c:pt>
                <c:pt idx="19">
                  <c:v>1156.74</c:v>
                </c:pt>
                <c:pt idx="20">
                  <c:v>1156.74</c:v>
                </c:pt>
                <c:pt idx="21">
                  <c:v>1156.74</c:v>
                </c:pt>
                <c:pt idx="22">
                  <c:v>1156.74</c:v>
                </c:pt>
                <c:pt idx="23">
                  <c:v>1156.74</c:v>
                </c:pt>
                <c:pt idx="24">
                  <c:v>1156.74</c:v>
                </c:pt>
                <c:pt idx="25">
                  <c:v>1156.74</c:v>
                </c:pt>
                <c:pt idx="26">
                  <c:v>1156.74</c:v>
                </c:pt>
                <c:pt idx="27">
                  <c:v>1156.74</c:v>
                </c:pt>
                <c:pt idx="28">
                  <c:v>1156.74</c:v>
                </c:pt>
                <c:pt idx="29">
                  <c:v>1156.74</c:v>
                </c:pt>
                <c:pt idx="30">
                  <c:v>1156.74</c:v>
                </c:pt>
              </c:numCache>
            </c:numRef>
          </c:val>
        </c:ser>
        <c:dLbls>
          <c:showLegendKey val="0"/>
          <c:showVal val="0"/>
          <c:showCatName val="0"/>
          <c:showSerName val="0"/>
          <c:showPercent val="0"/>
          <c:showBubbleSize val="0"/>
        </c:dLbls>
        <c:axId val="366379464"/>
        <c:axId val="366379856"/>
      </c:areaChart>
      <c:lineChart>
        <c:grouping val="standard"/>
        <c:varyColors val="0"/>
        <c:ser>
          <c:idx val="1"/>
          <c:order val="1"/>
          <c:tx>
            <c:v>Target</c:v>
          </c:tx>
          <c:spPr>
            <a:ln w="22225" cap="rnd" cmpd="sng" algn="ctr">
              <a:solidFill>
                <a:srgbClr val="C00000"/>
              </a:solidFill>
              <a:round/>
            </a:ln>
            <a:effectLst/>
          </c:spPr>
          <c:marker>
            <c:symbol val="none"/>
          </c:marker>
          <c:val>
            <c:numRef>
              <c:f>Mo.11!$W$12:$W$42</c:f>
              <c:numCache>
                <c:formatCode>General</c:formatCode>
                <c:ptCount val="31"/>
                <c:pt idx="0">
                  <c:v>1156.7400000000005</c:v>
                </c:pt>
                <c:pt idx="1">
                  <c:v>1156.7400000000005</c:v>
                </c:pt>
                <c:pt idx="2">
                  <c:v>1156.7400000000005</c:v>
                </c:pt>
                <c:pt idx="3">
                  <c:v>1156.7400000000005</c:v>
                </c:pt>
                <c:pt idx="4">
                  <c:v>1156.7400000000005</c:v>
                </c:pt>
                <c:pt idx="5">
                  <c:v>1156.7400000000005</c:v>
                </c:pt>
                <c:pt idx="6">
                  <c:v>1156.7400000000005</c:v>
                </c:pt>
                <c:pt idx="7">
                  <c:v>1156.7400000000005</c:v>
                </c:pt>
                <c:pt idx="8">
                  <c:v>1156.7400000000005</c:v>
                </c:pt>
                <c:pt idx="9">
                  <c:v>1156.7400000000005</c:v>
                </c:pt>
                <c:pt idx="10">
                  <c:v>1156.7400000000005</c:v>
                </c:pt>
                <c:pt idx="11">
                  <c:v>1156.7400000000005</c:v>
                </c:pt>
                <c:pt idx="12">
                  <c:v>1156.7400000000005</c:v>
                </c:pt>
                <c:pt idx="13">
                  <c:v>1156.7400000000005</c:v>
                </c:pt>
                <c:pt idx="14">
                  <c:v>1156.7400000000005</c:v>
                </c:pt>
                <c:pt idx="15">
                  <c:v>1156.7400000000005</c:v>
                </c:pt>
                <c:pt idx="16">
                  <c:v>1156.7400000000005</c:v>
                </c:pt>
                <c:pt idx="17">
                  <c:v>1156.7400000000005</c:v>
                </c:pt>
                <c:pt idx="18">
                  <c:v>1156.7400000000005</c:v>
                </c:pt>
                <c:pt idx="19">
                  <c:v>1156.7400000000005</c:v>
                </c:pt>
                <c:pt idx="20">
                  <c:v>1156.7400000000005</c:v>
                </c:pt>
                <c:pt idx="21">
                  <c:v>1156.7400000000005</c:v>
                </c:pt>
                <c:pt idx="22">
                  <c:v>1156.7400000000005</c:v>
                </c:pt>
                <c:pt idx="23">
                  <c:v>1156.7400000000005</c:v>
                </c:pt>
                <c:pt idx="24">
                  <c:v>1156.7400000000005</c:v>
                </c:pt>
                <c:pt idx="25">
                  <c:v>1156.7400000000005</c:v>
                </c:pt>
                <c:pt idx="26">
                  <c:v>1156.7400000000005</c:v>
                </c:pt>
                <c:pt idx="27">
                  <c:v>1156.7400000000005</c:v>
                </c:pt>
                <c:pt idx="28">
                  <c:v>1156.7400000000005</c:v>
                </c:pt>
                <c:pt idx="29">
                  <c:v>1156.7400000000005</c:v>
                </c:pt>
                <c:pt idx="30">
                  <c:v>1156.7400000000005</c:v>
                </c:pt>
              </c:numCache>
            </c:numRef>
          </c:val>
          <c:smooth val="0"/>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66379464"/>
        <c:axId val="366379856"/>
      </c:lineChart>
      <c:dateAx>
        <c:axId val="366379464"/>
        <c:scaling>
          <c:orientation val="minMax"/>
        </c:scaling>
        <c:delete val="0"/>
        <c:axPos val="b"/>
        <c:numFmt formatCode="m/d"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800" b="0" i="0" u="none" strike="noStrike" kern="1200" spc="20" baseline="0">
                <a:solidFill>
                  <a:schemeClr val="bg1">
                    <a:lumMod val="50000"/>
                  </a:schemeClr>
                </a:solidFill>
                <a:latin typeface="+mn-lt"/>
                <a:ea typeface="+mn-ea"/>
                <a:cs typeface="+mn-cs"/>
              </a:defRPr>
            </a:pPr>
            <a:endParaRPr lang="en-US"/>
          </a:p>
        </c:txPr>
        <c:crossAx val="366379856"/>
        <c:crosses val="autoZero"/>
        <c:auto val="1"/>
        <c:lblOffset val="100"/>
        <c:baseTimeUnit val="days"/>
        <c:majorUnit val="5"/>
        <c:majorTimeUnit val="days"/>
      </c:dateAx>
      <c:valAx>
        <c:axId val="366379856"/>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spc="20" baseline="0">
                <a:solidFill>
                  <a:schemeClr val="bg1">
                    <a:lumMod val="50000"/>
                  </a:schemeClr>
                </a:solidFill>
                <a:latin typeface="+mn-lt"/>
                <a:ea typeface="+mn-ea"/>
                <a:cs typeface="+mn-cs"/>
              </a:defRPr>
            </a:pPr>
            <a:endParaRPr lang="en-US"/>
          </a:p>
        </c:txPr>
        <c:crossAx val="36637946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322072631526647E-2"/>
          <c:y val="0.10714305801098239"/>
          <c:w val="0.87456763252024439"/>
          <c:h val="0.67621049158322377"/>
        </c:manualLayout>
      </c:layout>
      <c:barChart>
        <c:barDir val="col"/>
        <c:grouping val="clustered"/>
        <c:varyColors val="0"/>
        <c:ser>
          <c:idx val="0"/>
          <c:order val="0"/>
          <c:tx>
            <c:strRef>
              <c:f>Mo.12!$S$1</c:f>
              <c:strCache>
                <c:ptCount val="1"/>
                <c:pt idx="0">
                  <c:v>Budget</c:v>
                </c:pt>
              </c:strCache>
            </c:strRef>
          </c:tx>
          <c:spPr>
            <a:solidFill>
              <a:srgbClr val="CCFF99"/>
            </a:solidFill>
            <a:ln w="9525" cap="flat" cmpd="sng" algn="ctr">
              <a:solidFill>
                <a:schemeClr val="bg1">
                  <a:lumMod val="50000"/>
                </a:schemeClr>
              </a:solidFill>
              <a:round/>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Mo.12!$R$3:$R$8</c:f>
              <c:strCache>
                <c:ptCount val="6"/>
                <c:pt idx="0">
                  <c:v>Housing</c:v>
                </c:pt>
                <c:pt idx="1">
                  <c:v>Transportation</c:v>
                </c:pt>
                <c:pt idx="2">
                  <c:v>Bills</c:v>
                </c:pt>
                <c:pt idx="3">
                  <c:v>Living</c:v>
                </c:pt>
                <c:pt idx="4">
                  <c:v>Entertainment</c:v>
                </c:pt>
                <c:pt idx="5">
                  <c:v>Misc.</c:v>
                </c:pt>
              </c:strCache>
            </c:strRef>
          </c:cat>
          <c:val>
            <c:numRef>
              <c:f>Mo.12!$S$3:$S$8</c:f>
              <c:numCache>
                <c:formatCode>General</c:formatCode>
                <c:ptCount val="6"/>
                <c:pt idx="0">
                  <c:v>0</c:v>
                </c:pt>
                <c:pt idx="1">
                  <c:v>0</c:v>
                </c:pt>
                <c:pt idx="2">
                  <c:v>0</c:v>
                </c:pt>
                <c:pt idx="3">
                  <c:v>0</c:v>
                </c:pt>
                <c:pt idx="4">
                  <c:v>0</c:v>
                </c:pt>
                <c:pt idx="5">
                  <c:v>0</c:v>
                </c:pt>
              </c:numCache>
            </c:numRef>
          </c:val>
        </c:ser>
        <c:ser>
          <c:idx val="1"/>
          <c:order val="1"/>
          <c:tx>
            <c:strRef>
              <c:f>Mo.12!$T$1</c:f>
              <c:strCache>
                <c:ptCount val="1"/>
                <c:pt idx="0">
                  <c:v>Actual</c:v>
                </c:pt>
              </c:strCache>
            </c:strRef>
          </c:tx>
          <c:spPr>
            <a:solidFill>
              <a:srgbClr val="FF5050">
                <a:alpha val="50000"/>
              </a:srgbClr>
            </a:solidFill>
            <a:ln w="9525" cap="flat" cmpd="sng" algn="ctr">
              <a:solidFill>
                <a:schemeClr val="bg1">
                  <a:lumMod val="50000"/>
                </a:schemeClr>
              </a:solidFill>
              <a:round/>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Mo.12!$R$3:$R$8</c:f>
              <c:strCache>
                <c:ptCount val="6"/>
                <c:pt idx="0">
                  <c:v>Housing</c:v>
                </c:pt>
                <c:pt idx="1">
                  <c:v>Transportation</c:v>
                </c:pt>
                <c:pt idx="2">
                  <c:v>Bills</c:v>
                </c:pt>
                <c:pt idx="3">
                  <c:v>Living</c:v>
                </c:pt>
                <c:pt idx="4">
                  <c:v>Entertainment</c:v>
                </c:pt>
                <c:pt idx="5">
                  <c:v>Misc.</c:v>
                </c:pt>
              </c:strCache>
            </c:strRef>
          </c:cat>
          <c:val>
            <c:numRef>
              <c:f>Mo.12!$T$3:$T$8</c:f>
              <c:numCache>
                <c:formatCode>General</c:formatCode>
                <c:ptCount val="6"/>
                <c:pt idx="0">
                  <c:v>0</c:v>
                </c:pt>
                <c:pt idx="1">
                  <c:v>0</c:v>
                </c:pt>
                <c:pt idx="2">
                  <c:v>0</c:v>
                </c:pt>
                <c:pt idx="3">
                  <c:v>0</c:v>
                </c:pt>
                <c:pt idx="4">
                  <c:v>0</c:v>
                </c:pt>
                <c:pt idx="5">
                  <c:v>0</c:v>
                </c:pt>
              </c:numCache>
            </c:numRef>
          </c:val>
        </c:ser>
        <c:dLbls>
          <c:showLegendKey val="0"/>
          <c:showVal val="0"/>
          <c:showCatName val="0"/>
          <c:showSerName val="0"/>
          <c:showPercent val="0"/>
          <c:showBubbleSize val="0"/>
        </c:dLbls>
        <c:gapWidth val="20"/>
        <c:overlap val="100"/>
        <c:axId val="366380640"/>
        <c:axId val="366381032"/>
      </c:barChart>
      <c:catAx>
        <c:axId val="366380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66381032"/>
        <c:crosses val="autoZero"/>
        <c:auto val="1"/>
        <c:lblAlgn val="ctr"/>
        <c:lblOffset val="100"/>
        <c:noMultiLvlLbl val="0"/>
      </c:catAx>
      <c:valAx>
        <c:axId val="3663810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crossAx val="366380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79195972389572"/>
          <c:y val="9.5238095238095233E-2"/>
          <c:w val="0.80822820634965109"/>
          <c:h val="0.68640794900637425"/>
        </c:manualLayout>
      </c:layout>
      <c:areaChart>
        <c:grouping val="standard"/>
        <c:varyColors val="0"/>
        <c:ser>
          <c:idx val="0"/>
          <c:order val="0"/>
          <c:tx>
            <c:strRef>
              <c:f>Mo.12!$V$11</c:f>
              <c:strCache>
                <c:ptCount val="1"/>
                <c:pt idx="0">
                  <c:v>Balance</c:v>
                </c:pt>
              </c:strCache>
            </c:strRef>
          </c:tx>
          <c:spPr>
            <a:solidFill>
              <a:schemeClr val="accent6">
                <a:lumMod val="60000"/>
                <a:lumOff val="40000"/>
              </a:schemeClr>
            </a:solidFill>
            <a:ln w="9525" cap="flat" cmpd="sng" algn="ctr">
              <a:solidFill>
                <a:schemeClr val="accent6">
                  <a:lumMod val="50000"/>
                </a:schemeClr>
              </a:solidFill>
              <a:round/>
            </a:ln>
            <a:effectLst/>
          </c:spPr>
          <c:cat>
            <c:numRef>
              <c:f>Mo.12!$S$12:$S$42</c:f>
              <c:numCache>
                <c:formatCode>m/d\ \(ddd\)</c:formatCode>
                <c:ptCount val="31"/>
                <c:pt idx="0">
                  <c:v>41852</c:v>
                </c:pt>
                <c:pt idx="1">
                  <c:v>41853</c:v>
                </c:pt>
                <c:pt idx="2">
                  <c:v>41854</c:v>
                </c:pt>
                <c:pt idx="3">
                  <c:v>41855</c:v>
                </c:pt>
                <c:pt idx="4">
                  <c:v>41856</c:v>
                </c:pt>
                <c:pt idx="5">
                  <c:v>41857</c:v>
                </c:pt>
                <c:pt idx="6">
                  <c:v>41858</c:v>
                </c:pt>
                <c:pt idx="7">
                  <c:v>41859</c:v>
                </c:pt>
                <c:pt idx="8">
                  <c:v>41860</c:v>
                </c:pt>
                <c:pt idx="9">
                  <c:v>41861</c:v>
                </c:pt>
                <c:pt idx="10">
                  <c:v>41862</c:v>
                </c:pt>
                <c:pt idx="11">
                  <c:v>41863</c:v>
                </c:pt>
                <c:pt idx="12">
                  <c:v>41864</c:v>
                </c:pt>
                <c:pt idx="13">
                  <c:v>41865</c:v>
                </c:pt>
                <c:pt idx="14">
                  <c:v>41866</c:v>
                </c:pt>
                <c:pt idx="15">
                  <c:v>41867</c:v>
                </c:pt>
                <c:pt idx="16">
                  <c:v>41868</c:v>
                </c:pt>
                <c:pt idx="17">
                  <c:v>41869</c:v>
                </c:pt>
                <c:pt idx="18">
                  <c:v>41870</c:v>
                </c:pt>
                <c:pt idx="19">
                  <c:v>41871</c:v>
                </c:pt>
                <c:pt idx="20">
                  <c:v>41872</c:v>
                </c:pt>
                <c:pt idx="21">
                  <c:v>41873</c:v>
                </c:pt>
                <c:pt idx="22">
                  <c:v>41874</c:v>
                </c:pt>
                <c:pt idx="23">
                  <c:v>41875</c:v>
                </c:pt>
                <c:pt idx="24">
                  <c:v>41876</c:v>
                </c:pt>
                <c:pt idx="25">
                  <c:v>41877</c:v>
                </c:pt>
                <c:pt idx="26">
                  <c:v>41878</c:v>
                </c:pt>
                <c:pt idx="27">
                  <c:v>41879</c:v>
                </c:pt>
                <c:pt idx="28">
                  <c:v>41880</c:v>
                </c:pt>
                <c:pt idx="29">
                  <c:v>41881</c:v>
                </c:pt>
                <c:pt idx="30">
                  <c:v>41882</c:v>
                </c:pt>
              </c:numCache>
            </c:numRef>
          </c:cat>
          <c:val>
            <c:numRef>
              <c:f>Mo.12!$V$12:$V$42</c:f>
              <c:numCache>
                <c:formatCode>_("$"* #,##0.00_);_("$"* \(#,##0.00\);_("$"* "-"??_);_(@_)</c:formatCode>
                <c:ptCount val="31"/>
                <c:pt idx="0">
                  <c:v>1156.74</c:v>
                </c:pt>
                <c:pt idx="1">
                  <c:v>1156.74</c:v>
                </c:pt>
                <c:pt idx="2">
                  <c:v>1156.74</c:v>
                </c:pt>
                <c:pt idx="3">
                  <c:v>1156.74</c:v>
                </c:pt>
                <c:pt idx="4">
                  <c:v>1156.74</c:v>
                </c:pt>
                <c:pt idx="5">
                  <c:v>1156.74</c:v>
                </c:pt>
                <c:pt idx="6">
                  <c:v>1156.74</c:v>
                </c:pt>
                <c:pt idx="7">
                  <c:v>1156.74</c:v>
                </c:pt>
                <c:pt idx="8">
                  <c:v>1156.74</c:v>
                </c:pt>
                <c:pt idx="9">
                  <c:v>1156.74</c:v>
                </c:pt>
                <c:pt idx="10">
                  <c:v>1156.74</c:v>
                </c:pt>
                <c:pt idx="11">
                  <c:v>1156.74</c:v>
                </c:pt>
                <c:pt idx="12">
                  <c:v>1156.74</c:v>
                </c:pt>
                <c:pt idx="13">
                  <c:v>1156.74</c:v>
                </c:pt>
                <c:pt idx="14">
                  <c:v>1156.74</c:v>
                </c:pt>
                <c:pt idx="15">
                  <c:v>1156.74</c:v>
                </c:pt>
                <c:pt idx="16">
                  <c:v>1156.74</c:v>
                </c:pt>
                <c:pt idx="17">
                  <c:v>1156.74</c:v>
                </c:pt>
                <c:pt idx="18">
                  <c:v>1156.74</c:v>
                </c:pt>
                <c:pt idx="19">
                  <c:v>1156.74</c:v>
                </c:pt>
                <c:pt idx="20">
                  <c:v>1156.74</c:v>
                </c:pt>
                <c:pt idx="21">
                  <c:v>1156.74</c:v>
                </c:pt>
                <c:pt idx="22">
                  <c:v>1156.74</c:v>
                </c:pt>
                <c:pt idx="23">
                  <c:v>1156.74</c:v>
                </c:pt>
                <c:pt idx="24">
                  <c:v>1156.74</c:v>
                </c:pt>
                <c:pt idx="25">
                  <c:v>1156.74</c:v>
                </c:pt>
                <c:pt idx="26">
                  <c:v>1156.74</c:v>
                </c:pt>
                <c:pt idx="27">
                  <c:v>1156.74</c:v>
                </c:pt>
                <c:pt idx="28">
                  <c:v>1156.74</c:v>
                </c:pt>
                <c:pt idx="29">
                  <c:v>1156.74</c:v>
                </c:pt>
                <c:pt idx="30">
                  <c:v>1156.74</c:v>
                </c:pt>
              </c:numCache>
            </c:numRef>
          </c:val>
        </c:ser>
        <c:dLbls>
          <c:showLegendKey val="0"/>
          <c:showVal val="0"/>
          <c:showCatName val="0"/>
          <c:showSerName val="0"/>
          <c:showPercent val="0"/>
          <c:showBubbleSize val="0"/>
        </c:dLbls>
        <c:axId val="369671000"/>
        <c:axId val="369671392"/>
      </c:areaChart>
      <c:lineChart>
        <c:grouping val="standard"/>
        <c:varyColors val="0"/>
        <c:ser>
          <c:idx val="1"/>
          <c:order val="1"/>
          <c:tx>
            <c:v>Target</c:v>
          </c:tx>
          <c:spPr>
            <a:ln w="22225" cap="rnd" cmpd="sng" algn="ctr">
              <a:solidFill>
                <a:srgbClr val="C00000"/>
              </a:solidFill>
              <a:round/>
            </a:ln>
            <a:effectLst/>
          </c:spPr>
          <c:marker>
            <c:symbol val="none"/>
          </c:marker>
          <c:val>
            <c:numRef>
              <c:f>Mo.12!$W$12:$W$42</c:f>
              <c:numCache>
                <c:formatCode>General</c:formatCode>
                <c:ptCount val="31"/>
                <c:pt idx="0">
                  <c:v>1156.7400000000005</c:v>
                </c:pt>
                <c:pt idx="1">
                  <c:v>1156.7400000000005</c:v>
                </c:pt>
                <c:pt idx="2">
                  <c:v>1156.7400000000005</c:v>
                </c:pt>
                <c:pt idx="3">
                  <c:v>1156.7400000000005</c:v>
                </c:pt>
                <c:pt idx="4">
                  <c:v>1156.7400000000005</c:v>
                </c:pt>
                <c:pt idx="5">
                  <c:v>1156.7400000000005</c:v>
                </c:pt>
                <c:pt idx="6">
                  <c:v>1156.7400000000005</c:v>
                </c:pt>
                <c:pt idx="7">
                  <c:v>1156.7400000000005</c:v>
                </c:pt>
                <c:pt idx="8">
                  <c:v>1156.7400000000005</c:v>
                </c:pt>
                <c:pt idx="9">
                  <c:v>1156.7400000000005</c:v>
                </c:pt>
                <c:pt idx="10">
                  <c:v>1156.7400000000005</c:v>
                </c:pt>
                <c:pt idx="11">
                  <c:v>1156.7400000000005</c:v>
                </c:pt>
                <c:pt idx="12">
                  <c:v>1156.7400000000005</c:v>
                </c:pt>
                <c:pt idx="13">
                  <c:v>1156.7400000000005</c:v>
                </c:pt>
                <c:pt idx="14">
                  <c:v>1156.7400000000005</c:v>
                </c:pt>
                <c:pt idx="15">
                  <c:v>1156.7400000000005</c:v>
                </c:pt>
                <c:pt idx="16">
                  <c:v>1156.7400000000005</c:v>
                </c:pt>
                <c:pt idx="17">
                  <c:v>1156.7400000000005</c:v>
                </c:pt>
                <c:pt idx="18">
                  <c:v>1156.7400000000005</c:v>
                </c:pt>
                <c:pt idx="19">
                  <c:v>1156.7400000000005</c:v>
                </c:pt>
                <c:pt idx="20">
                  <c:v>1156.7400000000005</c:v>
                </c:pt>
                <c:pt idx="21">
                  <c:v>1156.7400000000005</c:v>
                </c:pt>
                <c:pt idx="22">
                  <c:v>1156.7400000000005</c:v>
                </c:pt>
                <c:pt idx="23">
                  <c:v>1156.7400000000005</c:v>
                </c:pt>
                <c:pt idx="24">
                  <c:v>1156.7400000000005</c:v>
                </c:pt>
                <c:pt idx="25">
                  <c:v>1156.7400000000005</c:v>
                </c:pt>
                <c:pt idx="26">
                  <c:v>1156.7400000000005</c:v>
                </c:pt>
                <c:pt idx="27">
                  <c:v>1156.7400000000005</c:v>
                </c:pt>
                <c:pt idx="28">
                  <c:v>1156.7400000000005</c:v>
                </c:pt>
                <c:pt idx="29">
                  <c:v>1156.7400000000005</c:v>
                </c:pt>
                <c:pt idx="30">
                  <c:v>1156.7400000000005</c:v>
                </c:pt>
              </c:numCache>
            </c:numRef>
          </c:val>
          <c:smooth val="0"/>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69671000"/>
        <c:axId val="369671392"/>
      </c:lineChart>
      <c:dateAx>
        <c:axId val="369671000"/>
        <c:scaling>
          <c:orientation val="minMax"/>
        </c:scaling>
        <c:delete val="0"/>
        <c:axPos val="b"/>
        <c:numFmt formatCode="m/d" sourceLinked="0"/>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800" b="0" i="0" u="none" strike="noStrike" kern="1200" spc="20" baseline="0">
                <a:solidFill>
                  <a:schemeClr val="bg1">
                    <a:lumMod val="50000"/>
                  </a:schemeClr>
                </a:solidFill>
                <a:latin typeface="+mn-lt"/>
                <a:ea typeface="+mn-ea"/>
                <a:cs typeface="+mn-cs"/>
              </a:defRPr>
            </a:pPr>
            <a:endParaRPr lang="en-US"/>
          </a:p>
        </c:txPr>
        <c:crossAx val="369671392"/>
        <c:crosses val="autoZero"/>
        <c:auto val="1"/>
        <c:lblOffset val="100"/>
        <c:baseTimeUnit val="days"/>
        <c:majorUnit val="5"/>
        <c:majorTimeUnit val="days"/>
      </c:dateAx>
      <c:valAx>
        <c:axId val="369671392"/>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spc="20" baseline="0">
                <a:solidFill>
                  <a:schemeClr val="bg1">
                    <a:lumMod val="50000"/>
                  </a:schemeClr>
                </a:solidFill>
                <a:latin typeface="+mn-lt"/>
                <a:ea typeface="+mn-ea"/>
                <a:cs typeface="+mn-cs"/>
              </a:defRPr>
            </a:pPr>
            <a:endParaRPr lang="en-US"/>
          </a:p>
        </c:txPr>
        <c:crossAx val="36967100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http://www.robertmcquaig.com/" TargetMode="Externa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12</xdr:col>
      <xdr:colOff>0</xdr:colOff>
      <xdr:row>0</xdr:row>
      <xdr:rowOff>28577</xdr:rowOff>
    </xdr:from>
    <xdr:to>
      <xdr:col>20</xdr:col>
      <xdr:colOff>0</xdr:colOff>
      <xdr:row>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9525</xdr:colOff>
      <xdr:row>0</xdr:row>
      <xdr:rowOff>28576</xdr:rowOff>
    </xdr:from>
    <xdr:to>
      <xdr:col>26</xdr:col>
      <xdr:colOff>0</xdr:colOff>
      <xdr:row>6</xdr:row>
      <xdr:rowOff>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209550</xdr:colOff>
      <xdr:row>0</xdr:row>
      <xdr:rowOff>142875</xdr:rowOff>
    </xdr:from>
    <xdr:to>
      <xdr:col>4</xdr:col>
      <xdr:colOff>361950</xdr:colOff>
      <xdr:row>1</xdr:row>
      <xdr:rowOff>95214</xdr:rowOff>
    </xdr:to>
    <xdr:pic>
      <xdr:nvPicPr>
        <xdr:cNvPr id="4" name="Picture 3">
          <a:hlinkClick xmlns:r="http://schemas.openxmlformats.org/officeDocument/2006/relationships" r:id="rId3"/>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85750" y="142875"/>
          <a:ext cx="2114550" cy="285714"/>
        </a:xfrm>
        <a:prstGeom prst="rect">
          <a:avLst/>
        </a:prstGeom>
      </xdr:spPr>
    </xdr:pic>
    <xdr:clientData/>
  </xdr:twoCellAnchor>
  <xdr:twoCellAnchor>
    <xdr:from>
      <xdr:col>1</xdr:col>
      <xdr:colOff>0</xdr:colOff>
      <xdr:row>0</xdr:row>
      <xdr:rowOff>38100</xdr:rowOff>
    </xdr:from>
    <xdr:to>
      <xdr:col>5</xdr:col>
      <xdr:colOff>0</xdr:colOff>
      <xdr:row>6</xdr:row>
      <xdr:rowOff>0</xdr:rowOff>
    </xdr:to>
    <xdr:sp macro="" textlink="">
      <xdr:nvSpPr>
        <xdr:cNvPr id="5" name="Rectangle 4"/>
        <xdr:cNvSpPr/>
      </xdr:nvSpPr>
      <xdr:spPr>
        <a:xfrm>
          <a:off x="133350" y="38100"/>
          <a:ext cx="2543175" cy="1057275"/>
        </a:xfrm>
        <a:prstGeom prst="rect">
          <a:avLst/>
        </a:prstGeom>
        <a:noFill/>
        <a:ln>
          <a:solidFill>
            <a:schemeClr val="tx1">
              <a:lumMod val="65000"/>
              <a:lumOff val="35000"/>
            </a:schemeClr>
          </a:solidFill>
        </a:ln>
        <a:effectLst>
          <a:glow rad="635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76199</xdr:colOff>
      <xdr:row>6</xdr:row>
      <xdr:rowOff>47624</xdr:rowOff>
    </xdr:from>
    <xdr:to>
      <xdr:col>4</xdr:col>
      <xdr:colOff>581024</xdr:colOff>
      <xdr:row>29</xdr:row>
      <xdr:rowOff>38100</xdr:rowOff>
    </xdr:to>
    <xdr:sp macro="" textlink="">
      <xdr:nvSpPr>
        <xdr:cNvPr id="6" name="TextBox 5"/>
        <xdr:cNvSpPr txBox="1"/>
      </xdr:nvSpPr>
      <xdr:spPr>
        <a:xfrm>
          <a:off x="76199" y="1142999"/>
          <a:ext cx="2543175" cy="3162301"/>
        </a:xfrm>
        <a:prstGeom prst="rect">
          <a:avLst/>
        </a:prstGeom>
        <a:solidFill>
          <a:schemeClr val="lt1"/>
        </a:solidFill>
        <a:ln w="9525" cmpd="sng">
          <a:solidFill>
            <a:schemeClr val="tx1">
              <a:lumMod val="65000"/>
              <a:lumOff val="35000"/>
            </a:schemeClr>
          </a:solid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Segoe UI" panose="020B0502040204020203" pitchFamily="34" charset="0"/>
              <a:ea typeface="Segoe UI" panose="020B0502040204020203" pitchFamily="34" charset="0"/>
              <a:cs typeface="Segoe UI" panose="020B0502040204020203" pitchFamily="34" charset="0"/>
            </a:rPr>
            <a:t>General Notes:</a:t>
          </a:r>
        </a:p>
        <a:p>
          <a:r>
            <a:rPr lang="en-US" sz="900">
              <a:latin typeface="Segoe UI" panose="020B0502040204020203" pitchFamily="34" charset="0"/>
              <a:ea typeface="Segoe UI" panose="020B0502040204020203" pitchFamily="34" charset="0"/>
              <a:cs typeface="Segoe UI" panose="020B0502040204020203" pitchFamily="34" charset="0"/>
            </a:rPr>
            <a:t>1.</a:t>
          </a:r>
          <a:r>
            <a:rPr lang="en-US" sz="900" baseline="0">
              <a:latin typeface="Segoe UI" panose="020B0502040204020203" pitchFamily="34" charset="0"/>
              <a:ea typeface="Segoe UI" panose="020B0502040204020203" pitchFamily="34" charset="0"/>
              <a:cs typeface="Segoe UI" panose="020B0502040204020203" pitchFamily="34" charset="0"/>
            </a:rPr>
            <a:t> This template has been tested in versions of Microsoft Excel 2010-2013. </a:t>
          </a:r>
        </a:p>
        <a:p>
          <a:endParaRPr lang="en-US" sz="900" baseline="0">
            <a:latin typeface="Segoe UI" panose="020B0502040204020203" pitchFamily="34" charset="0"/>
            <a:ea typeface="Segoe UI" panose="020B0502040204020203" pitchFamily="34" charset="0"/>
            <a:cs typeface="Segoe UI" panose="020B0502040204020203" pitchFamily="34" charset="0"/>
          </a:endParaRPr>
        </a:p>
        <a:p>
          <a:r>
            <a:rPr lang="en-US" sz="900" baseline="0">
              <a:latin typeface="Segoe UI" panose="020B0502040204020203" pitchFamily="34" charset="0"/>
              <a:ea typeface="Segoe UI" panose="020B0502040204020203" pitchFamily="34" charset="0"/>
              <a:cs typeface="Segoe UI" panose="020B0502040204020203" pitchFamily="34" charset="0"/>
            </a:rPr>
            <a:t>2. Enter your beginning balance in cell I3, along with the beginning month in cell G1. </a:t>
          </a:r>
        </a:p>
        <a:p>
          <a:endParaRPr lang="en-US" sz="900">
            <a:latin typeface="Segoe UI" panose="020B0502040204020203" pitchFamily="34" charset="0"/>
            <a:ea typeface="Segoe UI" panose="020B0502040204020203" pitchFamily="34" charset="0"/>
            <a:cs typeface="Segoe UI" panose="020B0502040204020203" pitchFamily="34" charset="0"/>
          </a:endParaRPr>
        </a:p>
        <a:p>
          <a:r>
            <a:rPr lang="en-US" sz="900">
              <a:latin typeface="Segoe UI" panose="020B0502040204020203" pitchFamily="34" charset="0"/>
              <a:ea typeface="Segoe UI" panose="020B0502040204020203" pitchFamily="34" charset="0"/>
              <a:cs typeface="Segoe UI" panose="020B0502040204020203" pitchFamily="34" charset="0"/>
            </a:rPr>
            <a:t>3.</a:t>
          </a:r>
          <a:r>
            <a:rPr lang="en-US" sz="900" baseline="0">
              <a:latin typeface="Segoe UI" panose="020B0502040204020203" pitchFamily="34" charset="0"/>
              <a:ea typeface="Segoe UI" panose="020B0502040204020203" pitchFamily="34" charset="0"/>
              <a:cs typeface="Segoe UI" panose="020B0502040204020203" pitchFamily="34" charset="0"/>
            </a:rPr>
            <a:t> Generate new lines by pressing the [TAB] button on the last line of the register.</a:t>
          </a:r>
        </a:p>
        <a:p>
          <a:endParaRPr lang="en-US" sz="900" baseline="0">
            <a:latin typeface="Segoe UI" panose="020B0502040204020203" pitchFamily="34" charset="0"/>
            <a:ea typeface="Segoe UI" panose="020B0502040204020203" pitchFamily="34" charset="0"/>
            <a:cs typeface="Segoe UI" panose="020B0502040204020203" pitchFamily="34" charset="0"/>
          </a:endParaRPr>
        </a:p>
        <a:p>
          <a:r>
            <a:rPr lang="en-US" sz="900" baseline="0">
              <a:latin typeface="Segoe UI" panose="020B0502040204020203" pitchFamily="34" charset="0"/>
              <a:ea typeface="Segoe UI" panose="020B0502040204020203" pitchFamily="34" charset="0"/>
              <a:cs typeface="Segoe UI" panose="020B0502040204020203" pitchFamily="34" charset="0"/>
            </a:rPr>
            <a:t>4. Categories and sub categories are created based off the budget section on the left side of template. The records entered here will automatically update to your available options in the transaction listings in the middle of template.</a:t>
          </a:r>
        </a:p>
        <a:p>
          <a:endParaRPr lang="en-US" sz="900" baseline="0">
            <a:latin typeface="Segoe UI" panose="020B0502040204020203" pitchFamily="34" charset="0"/>
            <a:ea typeface="Segoe UI" panose="020B0502040204020203" pitchFamily="34" charset="0"/>
            <a:cs typeface="Segoe UI" panose="020B0502040204020203" pitchFamily="34" charset="0"/>
          </a:endParaRPr>
        </a:p>
        <a:p>
          <a:r>
            <a:rPr lang="en-US" sz="900" baseline="0">
              <a:latin typeface="Segoe UI" panose="020B0502040204020203" pitchFamily="34" charset="0"/>
              <a:ea typeface="Segoe UI" panose="020B0502040204020203" pitchFamily="34" charset="0"/>
              <a:cs typeface="Segoe UI" panose="020B0502040204020203" pitchFamily="34" charset="0"/>
            </a:rPr>
            <a:t>5. For questions related to the template feel free to drop a note on my site using one of the links above.</a:t>
          </a:r>
          <a:endParaRPr lang="en-US" sz="900">
            <a:latin typeface="Segoe UI" panose="020B0502040204020203" pitchFamily="34" charset="0"/>
            <a:ea typeface="Segoe UI" panose="020B0502040204020203" pitchFamily="34" charset="0"/>
            <a:cs typeface="Segoe UI" panose="020B05020402040202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0</xdr:row>
      <xdr:rowOff>28577</xdr:rowOff>
    </xdr:from>
    <xdr:to>
      <xdr:col>16</xdr:col>
      <xdr:colOff>0</xdr:colOff>
      <xdr:row>6</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9525</xdr:colOff>
      <xdr:row>0</xdr:row>
      <xdr:rowOff>28576</xdr:rowOff>
    </xdr:from>
    <xdr:to>
      <xdr:col>22</xdr:col>
      <xdr:colOff>0</xdr:colOff>
      <xdr:row>6</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0</xdr:row>
      <xdr:rowOff>28577</xdr:rowOff>
    </xdr:from>
    <xdr:to>
      <xdr:col>16</xdr:col>
      <xdr:colOff>0</xdr:colOff>
      <xdr:row>6</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9525</xdr:colOff>
      <xdr:row>0</xdr:row>
      <xdr:rowOff>28576</xdr:rowOff>
    </xdr:from>
    <xdr:to>
      <xdr:col>22</xdr:col>
      <xdr:colOff>0</xdr:colOff>
      <xdr:row>6</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0</xdr:row>
      <xdr:rowOff>28577</xdr:rowOff>
    </xdr:from>
    <xdr:to>
      <xdr:col>16</xdr:col>
      <xdr:colOff>0</xdr:colOff>
      <xdr:row>6</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9525</xdr:colOff>
      <xdr:row>0</xdr:row>
      <xdr:rowOff>28576</xdr:rowOff>
    </xdr:from>
    <xdr:to>
      <xdr:col>22</xdr:col>
      <xdr:colOff>0</xdr:colOff>
      <xdr:row>6</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0</xdr:colOff>
      <xdr:row>0</xdr:row>
      <xdr:rowOff>28577</xdr:rowOff>
    </xdr:from>
    <xdr:to>
      <xdr:col>16</xdr:col>
      <xdr:colOff>0</xdr:colOff>
      <xdr:row>6</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9525</xdr:colOff>
      <xdr:row>0</xdr:row>
      <xdr:rowOff>28576</xdr:rowOff>
    </xdr:from>
    <xdr:to>
      <xdr:col>22</xdr:col>
      <xdr:colOff>0</xdr:colOff>
      <xdr:row>6</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0</xdr:row>
      <xdr:rowOff>28577</xdr:rowOff>
    </xdr:from>
    <xdr:to>
      <xdr:col>16</xdr:col>
      <xdr:colOff>0</xdr:colOff>
      <xdr:row>6</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9525</xdr:colOff>
      <xdr:row>0</xdr:row>
      <xdr:rowOff>28576</xdr:rowOff>
    </xdr:from>
    <xdr:to>
      <xdr:col>22</xdr:col>
      <xdr:colOff>0</xdr:colOff>
      <xdr:row>6</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0</xdr:row>
      <xdr:rowOff>28577</xdr:rowOff>
    </xdr:from>
    <xdr:to>
      <xdr:col>16</xdr:col>
      <xdr:colOff>0</xdr:colOff>
      <xdr:row>6</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9525</xdr:colOff>
      <xdr:row>0</xdr:row>
      <xdr:rowOff>28576</xdr:rowOff>
    </xdr:from>
    <xdr:to>
      <xdr:col>22</xdr:col>
      <xdr:colOff>0</xdr:colOff>
      <xdr:row>6</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0</xdr:row>
      <xdr:rowOff>28577</xdr:rowOff>
    </xdr:from>
    <xdr:to>
      <xdr:col>16</xdr:col>
      <xdr:colOff>0</xdr:colOff>
      <xdr:row>6</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9525</xdr:colOff>
      <xdr:row>0</xdr:row>
      <xdr:rowOff>28576</xdr:rowOff>
    </xdr:from>
    <xdr:to>
      <xdr:col>22</xdr:col>
      <xdr:colOff>0</xdr:colOff>
      <xdr:row>6</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8</xdr:col>
      <xdr:colOff>0</xdr:colOff>
      <xdr:row>0</xdr:row>
      <xdr:rowOff>28577</xdr:rowOff>
    </xdr:from>
    <xdr:to>
      <xdr:col>16</xdr:col>
      <xdr:colOff>0</xdr:colOff>
      <xdr:row>6</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9525</xdr:colOff>
      <xdr:row>0</xdr:row>
      <xdr:rowOff>28576</xdr:rowOff>
    </xdr:from>
    <xdr:to>
      <xdr:col>22</xdr:col>
      <xdr:colOff>0</xdr:colOff>
      <xdr:row>6</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8</xdr:col>
      <xdr:colOff>0</xdr:colOff>
      <xdr:row>0</xdr:row>
      <xdr:rowOff>28577</xdr:rowOff>
    </xdr:from>
    <xdr:to>
      <xdr:col>16</xdr:col>
      <xdr:colOff>0</xdr:colOff>
      <xdr:row>6</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9525</xdr:colOff>
      <xdr:row>0</xdr:row>
      <xdr:rowOff>28576</xdr:rowOff>
    </xdr:from>
    <xdr:to>
      <xdr:col>22</xdr:col>
      <xdr:colOff>0</xdr:colOff>
      <xdr:row>6</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8</xdr:col>
      <xdr:colOff>0</xdr:colOff>
      <xdr:row>0</xdr:row>
      <xdr:rowOff>28577</xdr:rowOff>
    </xdr:from>
    <xdr:to>
      <xdr:col>16</xdr:col>
      <xdr:colOff>0</xdr:colOff>
      <xdr:row>6</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9525</xdr:colOff>
      <xdr:row>0</xdr:row>
      <xdr:rowOff>28576</xdr:rowOff>
    </xdr:from>
    <xdr:to>
      <xdr:col>22</xdr:col>
      <xdr:colOff>0</xdr:colOff>
      <xdr:row>6</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8</xdr:col>
      <xdr:colOff>0</xdr:colOff>
      <xdr:row>0</xdr:row>
      <xdr:rowOff>28577</xdr:rowOff>
    </xdr:from>
    <xdr:to>
      <xdr:col>16</xdr:col>
      <xdr:colOff>0</xdr:colOff>
      <xdr:row>6</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9525</xdr:colOff>
      <xdr:row>0</xdr:row>
      <xdr:rowOff>28576</xdr:rowOff>
    </xdr:from>
    <xdr:to>
      <xdr:col>22</xdr:col>
      <xdr:colOff>0</xdr:colOff>
      <xdr:row>6</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Table1" displayName="Table1" ref="G19:J29" totalsRowCount="1" headerRowDxfId="1619" dataDxfId="1618" totalsRowDxfId="1617">
  <autoFilter ref="G19:J28"/>
  <tableColumns count="4">
    <tableColumn id="1" name="Housing" totalsRowLabel="Total" dataDxfId="1616" totalsRowDxfId="1615"/>
    <tableColumn id="2" name="Budget" totalsRowFunction="sum" dataDxfId="1614" totalsRowDxfId="1613" dataCellStyle="Currency"/>
    <tableColumn id="3" name="Actual" totalsRowFunction="sum" dataDxfId="1612" totalsRowDxfId="1611" dataCellStyle="Currency">
      <calculatedColumnFormula>SUMIFS(Table4[Amount],Table4[Category],Table1[[#Headers],[Housing]],Table4[Sub-Category],Table1[[#This Row],[Housing]])+SUMIFS(Table44[Amount],Table44[Category],Table1[[#Headers],[Housing]],Table44[Sub-Category],Table1[[#This Row],[Housing]])</calculatedColumnFormula>
    </tableColumn>
    <tableColumn id="6" name="Variance" totalsRowFunction="sum" dataDxfId="1610" totalsRowDxfId="1609" dataCellStyle="Currency">
      <calculatedColumnFormula>Table1[[#This Row],[Budget]]-Table1[[#This Row],[Actual]]</calculatedColumnFormula>
    </tableColumn>
  </tableColumns>
  <tableStyleInfo name="TableStyleLight20" showFirstColumn="0" showLastColumn="0" showRowStripes="1" showColumnStripes="0"/>
</table>
</file>

<file path=xl/tables/table2.xml><?xml version="1.0" encoding="utf-8"?>
<table xmlns="http://schemas.openxmlformats.org/spreadsheetml/2006/main" id="2" name="Table13" displayName="Table13" ref="G32:J37" totalsRowCount="1" headerRowDxfId="1608" dataDxfId="1607" totalsRowDxfId="1606">
  <autoFilter ref="G32:J36"/>
  <tableColumns count="4">
    <tableColumn id="1" name="Transportation" totalsRowLabel="Total" dataDxfId="1605" totalsRowDxfId="1604"/>
    <tableColumn id="2" name="Budget" totalsRowFunction="sum" dataDxfId="1603" totalsRowDxfId="1602" dataCellStyle="Currency"/>
    <tableColumn id="3" name="Actual" totalsRowFunction="sum" dataDxfId="1601" totalsRowDxfId="1600" dataCellStyle="Currency">
      <calculatedColumnFormula>SUMIFS(Table4[Amount],Table4[Category],Table13[[#Headers],[Transportation]],Table4[Sub-Category],Table13[[#This Row],[Transportation]])+SUMIFS(Table44[Amount],Table44[Category],Table13[[#Headers],[Transportation]],Table44[Sub-Category],Table13[[#This Row],[Transportation]])</calculatedColumnFormula>
    </tableColumn>
    <tableColumn id="4" name="Variance" totalsRowFunction="sum" dataDxfId="1599" totalsRowDxfId="1598" dataCellStyle="Currency">
      <calculatedColumnFormula>Table13[[#This Row],[Budget]]-Table13[[#This Row],[Actual]]</calculatedColumnFormula>
    </tableColumn>
  </tableColumns>
  <tableStyleInfo name="TableStyleLight20" showFirstColumn="0" showLastColumn="0" showRowStripes="1" showColumnStripes="0"/>
</table>
</file>

<file path=xl/tables/table3.xml><?xml version="1.0" encoding="utf-8"?>
<table xmlns="http://schemas.openxmlformats.org/spreadsheetml/2006/main" id="4" name="Table4" displayName="Table4" ref="N18:S31" totalsRowShown="0" headerRowDxfId="1597" dataDxfId="1596">
  <autoFilter ref="N18:S31"/>
  <sortState ref="N19:S31">
    <sortCondition ref="Q18:Q31"/>
  </sortState>
  <tableColumns count="6">
    <tableColumn id="1" name="Description" dataDxfId="1595" totalsRowDxfId="1594"/>
    <tableColumn id="2" name="Category" dataDxfId="1593" totalsRowDxfId="1592"/>
    <tableColumn id="3" name="Sub-Category" dataDxfId="1591" totalsRowDxfId="1590"/>
    <tableColumn id="4" name="Date" dataDxfId="1589" totalsRowDxfId="1588"/>
    <tableColumn id="5" name="Amount" dataDxfId="1587" totalsRowDxfId="1586" dataCellStyle="Currency"/>
    <tableColumn id="6" name="Status" dataDxfId="1585" totalsRowDxfId="1584"/>
  </tableColumns>
  <tableStyleInfo name="TableStyleLight20" showFirstColumn="0" showLastColumn="0" showRowStripes="1" showColumnStripes="0"/>
</table>
</file>

<file path=xl/tables/table4.xml><?xml version="1.0" encoding="utf-8"?>
<table xmlns="http://schemas.openxmlformats.org/spreadsheetml/2006/main" id="5" name="Table136" displayName="Table136" ref="G11:J16" totalsRowCount="1" headerRowDxfId="1583" dataDxfId="1582" totalsRowDxfId="1581">
  <autoFilter ref="G11:J15"/>
  <tableColumns count="4">
    <tableColumn id="1" name="Income" totalsRowLabel="Total" dataDxfId="1580" totalsRowDxfId="1579"/>
    <tableColumn id="2" name="Budget" totalsRowFunction="sum" dataDxfId="1578" totalsRowDxfId="1577" dataCellStyle="Currency"/>
    <tableColumn id="3" name="Actual" totalsRowFunction="sum" dataDxfId="1576" totalsRowDxfId="1575" dataCellStyle="Currency">
      <calculatedColumnFormula>SUMIFS(Table4420[Amount],Table4420[Category],Table136[[#Headers],[Income]],Table4420[Sub-Category],Table136[[#This Row],[Income]])+SUMIFS(Table44[Amount],Table44[Category],Table136[[#Headers],[Income]],Table44[Sub-Category],Table136[[#This Row],[Income]])</calculatedColumnFormula>
    </tableColumn>
    <tableColumn id="4" name="Variance" totalsRowFunction="sum" dataDxfId="1574" totalsRowDxfId="1573" dataCellStyle="Currency">
      <calculatedColumnFormula>Table136[[#This Row],[Actual]]-Table136[[#This Row],[Budget]]</calculatedColumnFormula>
    </tableColumn>
  </tableColumns>
  <tableStyleInfo name="TableStyleLight20" showFirstColumn="0" showLastColumn="0" showRowStripes="1" showColumnStripes="0"/>
</table>
</file>

<file path=xl/tables/table5.xml><?xml version="1.0" encoding="utf-8"?>
<table xmlns="http://schemas.openxmlformats.org/spreadsheetml/2006/main" id="6" name="Table137" displayName="Table137" ref="G49:J54" totalsRowCount="1" headerRowDxfId="1572" dataDxfId="1571" totalsRowDxfId="1570">
  <autoFilter ref="G49:J53"/>
  <tableColumns count="4">
    <tableColumn id="1" name="Living" totalsRowLabel="Total" dataDxfId="1569" totalsRowDxfId="1568"/>
    <tableColumn id="2" name="Budget" totalsRowFunction="sum" dataDxfId="1567" totalsRowDxfId="1566" dataCellStyle="Currency"/>
    <tableColumn id="3" name="Actual" totalsRowFunction="sum" dataDxfId="1565" totalsRowDxfId="1564" dataCellStyle="Currency">
      <calculatedColumnFormula>SUMIFS(Table4[Amount],Table4[Category],Table137[[#Headers],[Living]],Table4[Sub-Category],Table137[[#This Row],[Living]])+SUMIFS(Table44[Amount],Table44[Category],Table137[[#Headers],[Living]],Table44[Sub-Category],Table137[[#This Row],[Living]])</calculatedColumnFormula>
    </tableColumn>
    <tableColumn id="4" name="Variance" totalsRowFunction="sum" dataDxfId="1563" totalsRowDxfId="1562" dataCellStyle="Currency">
      <calculatedColumnFormula>Table137[[#This Row],[Budget]]-Table137[[#This Row],[Actual]]</calculatedColumnFormula>
    </tableColumn>
  </tableColumns>
  <tableStyleInfo name="TableStyleLight20" showFirstColumn="0" showLastColumn="0" showRowStripes="1" showColumnStripes="0"/>
</table>
</file>

<file path=xl/tables/table6.xml><?xml version="1.0" encoding="utf-8"?>
<table xmlns="http://schemas.openxmlformats.org/spreadsheetml/2006/main" id="7" name="Table138" displayName="Table138" ref="G57:J60" totalsRowCount="1" headerRowDxfId="1561" dataDxfId="1560" totalsRowDxfId="1559">
  <autoFilter ref="G57:J59"/>
  <tableColumns count="4">
    <tableColumn id="1" name="Entertainment" totalsRowLabel="Total" dataDxfId="1558" totalsRowDxfId="1557"/>
    <tableColumn id="2" name="Budget" totalsRowFunction="sum" dataDxfId="1556" totalsRowDxfId="1555" dataCellStyle="Currency"/>
    <tableColumn id="3" name="Actual" totalsRowFunction="sum" dataDxfId="1554" totalsRowDxfId="1553" dataCellStyle="Currency">
      <calculatedColumnFormula>SUMIFS(Table4[Amount],Table4[Category],Table138[[#Headers],[Entertainment]],Table4[Sub-Category],Table138[[#This Row],[Entertainment]])+SUMIFS(Table44[Amount],Table44[Category],Table138[[#Headers],[Entertainment]],Table44[Sub-Category],Table138[[#This Row],[Entertainment]])</calculatedColumnFormula>
    </tableColumn>
    <tableColumn id="4" name="Variance" totalsRowFunction="sum" dataDxfId="1552" totalsRowDxfId="1551" dataCellStyle="Currency">
      <calculatedColumnFormula>Table138[[#This Row],[Budget]]-Table138[[#This Row],[Actual]]</calculatedColumnFormula>
    </tableColumn>
  </tableColumns>
  <tableStyleInfo name="TableStyleLight20" showFirstColumn="0" showLastColumn="0" showRowStripes="1" showColumnStripes="0"/>
</table>
</file>

<file path=xl/tables/table7.xml><?xml version="1.0" encoding="utf-8"?>
<table xmlns="http://schemas.openxmlformats.org/spreadsheetml/2006/main" id="8" name="Table139" displayName="Table139" ref="G63:J66" totalsRowCount="1" headerRowDxfId="1550" dataDxfId="1549" totalsRowDxfId="1548">
  <autoFilter ref="G63:J65"/>
  <tableColumns count="4">
    <tableColumn id="1" name="Misc." totalsRowLabel="Total" dataDxfId="1547" totalsRowDxfId="1546"/>
    <tableColumn id="2" name="Budget" totalsRowFunction="sum" dataDxfId="1545" totalsRowDxfId="1544" dataCellStyle="Currency"/>
    <tableColumn id="3" name="Actual" totalsRowFunction="sum" dataDxfId="1543" totalsRowDxfId="1542" dataCellStyle="Currency">
      <calculatedColumnFormula>SUMIFS(Table4[Amount],Table4[Category],Table139[[#Headers],[Misc.]],Table4[Sub-Category],Table139[[#This Row],[Misc.]])+SUMIFS(Table44[Amount],Table44[Category],Table139[[#Headers],[Misc.]],Table44[Sub-Category],Table139[[#This Row],[Misc.]])</calculatedColumnFormula>
    </tableColumn>
    <tableColumn id="4" name="Variance" totalsRowFunction="sum" dataDxfId="1541" totalsRowDxfId="1540" dataCellStyle="Currency">
      <calculatedColumnFormula>Table139[[#This Row],[Budget]]-Table139[[#This Row],[Actual]]</calculatedColumnFormula>
    </tableColumn>
  </tableColumns>
  <tableStyleInfo name="TableStyleLight20" showFirstColumn="0" showLastColumn="0" showRowStripes="1" showColumnStripes="0"/>
</table>
</file>

<file path=xl/tables/table8.xml><?xml version="1.0" encoding="utf-8"?>
<table xmlns="http://schemas.openxmlformats.org/spreadsheetml/2006/main" id="9" name="Table13910" displayName="Table13910" ref="G40:J46" totalsRowCount="1" headerRowDxfId="1539" dataDxfId="1538" totalsRowDxfId="1537">
  <autoFilter ref="G40:J45"/>
  <tableColumns count="4">
    <tableColumn id="1" name="Bills" totalsRowLabel="Total" dataDxfId="1536" totalsRowDxfId="1535"/>
    <tableColumn id="2" name="Budget" totalsRowFunction="sum" dataDxfId="1534" totalsRowDxfId="1533" dataCellStyle="Currency"/>
    <tableColumn id="3" name="Actual" totalsRowFunction="sum" dataDxfId="1532" totalsRowDxfId="1531" dataCellStyle="Currency">
      <calculatedColumnFormula>SUMIFS(Table4[Amount],Table4[Category],Table13910[[#Headers],[Bills]],Table4[Sub-Category],Table13910[[#This Row],[Bills]])+SUMIFS(Table44[Amount],Table44[Category],Table13910[[#Headers],[Bills]],Table44[Sub-Category],Table13910[[#This Row],[Bills]])</calculatedColumnFormula>
    </tableColumn>
    <tableColumn id="4" name="Variance" totalsRowFunction="sum" dataDxfId="1530" totalsRowDxfId="1529" dataCellStyle="Currency">
      <calculatedColumnFormula>Table13910[[#This Row],[Budget]]-Table13910[[#This Row],[Actual]]</calculatedColumnFormula>
    </tableColumn>
  </tableColumns>
  <tableStyleInfo name="TableStyleLight20" showFirstColumn="0" showLastColumn="0" showRowStripes="1" showColumnStripes="0"/>
</table>
</file>

<file path=xl/tables/table9.xml><?xml version="1.0" encoding="utf-8"?>
<table xmlns="http://schemas.openxmlformats.org/spreadsheetml/2006/main" id="3" name="Table44" displayName="Table44" ref="N34:S40" totalsRowShown="0" headerRowDxfId="1528" dataDxfId="1527">
  <autoFilter ref="N34:S40"/>
  <tableColumns count="6">
    <tableColumn id="1" name="Description" dataDxfId="1526" totalsRowDxfId="1525"/>
    <tableColumn id="2" name="Category" dataDxfId="1524" totalsRowDxfId="1523"/>
    <tableColumn id="3" name="Sub-Category" dataDxfId="1522" totalsRowDxfId="1521"/>
    <tableColumn id="4" name="Date" dataDxfId="1520" totalsRowDxfId="1519"/>
    <tableColumn id="5" name="Amount" dataDxfId="1518" totalsRowDxfId="1517" dataCellStyle="Currency"/>
    <tableColumn id="6" name="Status" dataDxfId="1516" totalsRowDxfId="1515"/>
  </tableColumns>
  <tableStyleInfo name="TableStyleLight20" showFirstColumn="0" showLastColumn="0" showRowStripes="1" showColumnStripes="0"/>
</table>
</file>

<file path=xl/tables/table10.xml><?xml version="1.0" encoding="utf-8"?>
<table xmlns="http://schemas.openxmlformats.org/spreadsheetml/2006/main" id="19" name="Table4420" displayName="Table4420" ref="N11:S15" totalsRowShown="0" headerRowDxfId="1514" dataDxfId="1513">
  <autoFilter ref="N11:S15"/>
  <sortState ref="N12:S15">
    <sortCondition ref="Q11:Q15"/>
  </sortState>
  <tableColumns count="6">
    <tableColumn id="1" name="Description" dataDxfId="1512" totalsRowDxfId="1511"/>
    <tableColumn id="2" name="Category" dataDxfId="1510" totalsRowDxfId="1509"/>
    <tableColumn id="3" name="Sub-Category" dataDxfId="1508" totalsRowDxfId="1507"/>
    <tableColumn id="4" name="Date" dataDxfId="1506" totalsRowDxfId="1505"/>
    <tableColumn id="5" name="Amount" dataDxfId="1504" totalsRowDxfId="1503" dataCellStyle="Currency"/>
    <tableColumn id="6" name="Status" dataDxfId="1502" totalsRowDxfId="1501"/>
  </tableColumns>
  <tableStyleInfo name="TableStyleLight20" showFirstColumn="0" showLastColumn="0" showRowStripes="1" showColumnStripes="0"/>
</table>
</file>

<file path=xl/tables/table11.xml><?xml version="1.0" encoding="utf-8"?>
<table xmlns="http://schemas.openxmlformats.org/spreadsheetml/2006/main" id="10" name="Table111" displayName="Table111" ref="C19:F29" totalsRowCount="1" headerRowDxfId="1500" dataDxfId="1499" totalsRowDxfId="1498">
  <autoFilter ref="C19:F28"/>
  <tableColumns count="4">
    <tableColumn id="1" name="Housing" totalsRowLabel="Total" dataDxfId="1497" totalsRowDxfId="1496"/>
    <tableColumn id="2" name="Budget" totalsRowFunction="sum" dataDxfId="1495" totalsRowDxfId="1494" dataCellStyle="Currency"/>
    <tableColumn id="3" name="Actual" totalsRowFunction="sum" dataDxfId="1493" totalsRowDxfId="1492" dataCellStyle="Currency">
      <calculatedColumnFormula>SUMIFS(Table413[Amount],Table413[Category],Table111[[#Headers],[Housing]],Table413[Sub-Category],Table111[[#This Row],[Housing]])+SUMIFS(Table4419[Amount],Table4419[Category],Table111[[#Headers],[Housing]],Table4419[Sub-Category],Table111[[#This Row],[Housing]])</calculatedColumnFormula>
    </tableColumn>
    <tableColumn id="6" name="Variance" totalsRowFunction="sum" dataDxfId="1491" totalsRowDxfId="1490" dataCellStyle="Currency">
      <calculatedColumnFormula>Table111[[#This Row],[Budget]]-Table111[[#This Row],[Actual]]</calculatedColumnFormula>
    </tableColumn>
  </tableColumns>
  <tableStyleInfo name="TableStyleLight20" showFirstColumn="0" showLastColumn="0" showRowStripes="1" showColumnStripes="0"/>
</table>
</file>

<file path=xl/tables/table12.xml><?xml version="1.0" encoding="utf-8"?>
<table xmlns="http://schemas.openxmlformats.org/spreadsheetml/2006/main" id="11" name="Table1312" displayName="Table1312" ref="C32:F37" totalsRowCount="1" headerRowDxfId="1489" dataDxfId="1488" totalsRowDxfId="1487">
  <autoFilter ref="C32:F36"/>
  <tableColumns count="4">
    <tableColumn id="1" name="Transportation" totalsRowLabel="Total" dataDxfId="1486" totalsRowDxfId="1485"/>
    <tableColumn id="2" name="Budget" totalsRowFunction="sum" dataDxfId="1484" totalsRowDxfId="1483" dataCellStyle="Currency"/>
    <tableColumn id="3" name="Actual" totalsRowFunction="sum" dataDxfId="1482" totalsRowDxfId="1481" dataCellStyle="Currency">
      <calculatedColumnFormula>SUMIFS(Table413[Amount],Table413[Category],Table1312[[#Headers],[Transportation]],Table413[Sub-Category],Table1312[[#This Row],[Transportation]])+SUMIFS(Table4419[Amount],Table4419[Category],Table1312[[#Headers],[Transportation]],Table4419[Sub-Category],Table1312[[#This Row],[Transportation]])</calculatedColumnFormula>
    </tableColumn>
    <tableColumn id="4" name="Variance" totalsRowFunction="sum" dataDxfId="1480" totalsRowDxfId="1479" dataCellStyle="Currency">
      <calculatedColumnFormula>Table1312[[#This Row],[Budget]]-Table1312[[#This Row],[Actual]]</calculatedColumnFormula>
    </tableColumn>
  </tableColumns>
  <tableStyleInfo name="TableStyleLight20" showFirstColumn="0" showLastColumn="0" showRowStripes="1" showColumnStripes="0"/>
</table>
</file>

<file path=xl/tables/table13.xml><?xml version="1.0" encoding="utf-8"?>
<table xmlns="http://schemas.openxmlformats.org/spreadsheetml/2006/main" id="12" name="Table413" displayName="Table413" ref="J18:O31" totalsRowShown="0" headerRowDxfId="1478" dataDxfId="1477">
  <autoFilter ref="J18:O31"/>
  <sortState ref="J19:O31">
    <sortCondition ref="M18:M31"/>
  </sortState>
  <tableColumns count="6">
    <tableColumn id="1" name="Description" dataDxfId="1476" totalsRowDxfId="1475"/>
    <tableColumn id="2" name="Category" dataDxfId="1474" totalsRowDxfId="1473"/>
    <tableColumn id="3" name="Sub-Category" dataDxfId="1472" totalsRowDxfId="1471"/>
    <tableColumn id="4" name="Date" dataDxfId="1470" totalsRowDxfId="1469"/>
    <tableColumn id="5" name="Amount" dataDxfId="1468" totalsRowDxfId="1467" dataCellStyle="Currency"/>
    <tableColumn id="6" name="Status" dataDxfId="1466" totalsRowDxfId="1465"/>
  </tableColumns>
  <tableStyleInfo name="TableStyleLight20" showFirstColumn="0" showLastColumn="0" showRowStripes="1" showColumnStripes="0"/>
</table>
</file>

<file path=xl/tables/table14.xml><?xml version="1.0" encoding="utf-8"?>
<table xmlns="http://schemas.openxmlformats.org/spreadsheetml/2006/main" id="13" name="Table13614" displayName="Table13614" ref="C11:F16" totalsRowCount="1" headerRowDxfId="1464" dataDxfId="1463" totalsRowDxfId="1462">
  <autoFilter ref="C11:F15"/>
  <tableColumns count="4">
    <tableColumn id="1" name="Income" totalsRowLabel="Total" dataDxfId="1461" totalsRowDxfId="1460"/>
    <tableColumn id="2" name="Budget" totalsRowFunction="sum" dataDxfId="1459" totalsRowDxfId="1458" dataCellStyle="Currency"/>
    <tableColumn id="3" name="Actual" totalsRowFunction="sum" dataDxfId="1457" totalsRowDxfId="1456" dataCellStyle="Currency">
      <calculatedColumnFormula>SUMIFS(Table442021[Amount],Table442021[Category],Table13614[[#Headers],[Income]],Table442021[Sub-Category],Table13614[[#This Row],[Income]])+SUMIFS(Table4419[Amount],Table4419[Category],Table13614[[#Headers],[Income]],Table4419[Sub-Category],Table13614[[#This Row],[Income]])</calculatedColumnFormula>
    </tableColumn>
    <tableColumn id="4" name="Variance" totalsRowFunction="sum" dataDxfId="1455" totalsRowDxfId="1454" dataCellStyle="Currency">
      <calculatedColumnFormula>Table13614[[#This Row],[Actual]]-Table13614[[#This Row],[Budget]]</calculatedColumnFormula>
    </tableColumn>
  </tableColumns>
  <tableStyleInfo name="TableStyleLight20" showFirstColumn="0" showLastColumn="0" showRowStripes="1" showColumnStripes="0"/>
</table>
</file>

<file path=xl/tables/table15.xml><?xml version="1.0" encoding="utf-8"?>
<table xmlns="http://schemas.openxmlformats.org/spreadsheetml/2006/main" id="14" name="Table13715" displayName="Table13715" ref="C49:F54" totalsRowCount="1" headerRowDxfId="1453" dataDxfId="1452" totalsRowDxfId="1451">
  <autoFilter ref="C49:F53"/>
  <tableColumns count="4">
    <tableColumn id="1" name="Living" totalsRowLabel="Total" dataDxfId="1450" totalsRowDxfId="1449"/>
    <tableColumn id="2" name="Budget" totalsRowFunction="sum" dataDxfId="1448" totalsRowDxfId="1447" dataCellStyle="Currency"/>
    <tableColumn id="3" name="Actual" totalsRowFunction="sum" dataDxfId="1446" totalsRowDxfId="1445" dataCellStyle="Currency">
      <calculatedColumnFormula>SUMIFS(Table413[Amount],Table413[Category],Table13715[[#Headers],[Living]],Table413[Sub-Category],Table13715[[#This Row],[Living]])+SUMIFS(Table4419[Amount],Table4419[Category],Table13715[[#Headers],[Living]],Table4419[Sub-Category],Table13715[[#This Row],[Living]])</calculatedColumnFormula>
    </tableColumn>
    <tableColumn id="4" name="Variance" totalsRowFunction="sum" dataDxfId="1444" totalsRowDxfId="1443" dataCellStyle="Currency">
      <calculatedColumnFormula>Table13715[[#This Row],[Budget]]-Table13715[[#This Row],[Actual]]</calculatedColumnFormula>
    </tableColumn>
  </tableColumns>
  <tableStyleInfo name="TableStyleLight20" showFirstColumn="0" showLastColumn="0" showRowStripes="1" showColumnStripes="0"/>
</table>
</file>

<file path=xl/tables/table16.xml><?xml version="1.0" encoding="utf-8"?>
<table xmlns="http://schemas.openxmlformats.org/spreadsheetml/2006/main" id="15" name="Table13816" displayName="Table13816" ref="C57:F60" totalsRowCount="1" headerRowDxfId="1442" dataDxfId="1441" totalsRowDxfId="1440">
  <autoFilter ref="C57:F59"/>
  <tableColumns count="4">
    <tableColumn id="1" name="Entertainment" totalsRowLabel="Total" dataDxfId="1439" totalsRowDxfId="1438"/>
    <tableColumn id="2" name="Budget" totalsRowFunction="sum" dataDxfId="1437" totalsRowDxfId="1436" dataCellStyle="Currency"/>
    <tableColumn id="3" name="Actual" totalsRowFunction="sum" dataDxfId="1435" totalsRowDxfId="1434" dataCellStyle="Currency">
      <calculatedColumnFormula>SUMIFS(Table413[Amount],Table413[Category],Table13816[[#Headers],[Entertainment]],Table413[Sub-Category],Table13816[[#This Row],[Entertainment]])+SUMIFS(Table4419[Amount],Table4419[Category],Table13816[[#Headers],[Entertainment]],Table4419[Sub-Category],Table13816[[#This Row],[Entertainment]])</calculatedColumnFormula>
    </tableColumn>
    <tableColumn id="4" name="Variance" totalsRowFunction="sum" dataDxfId="1433" totalsRowDxfId="1432" dataCellStyle="Currency">
      <calculatedColumnFormula>Table13816[[#This Row],[Budget]]-Table13816[[#This Row],[Actual]]</calculatedColumnFormula>
    </tableColumn>
  </tableColumns>
  <tableStyleInfo name="TableStyleLight20" showFirstColumn="0" showLastColumn="0" showRowStripes="1" showColumnStripes="0"/>
</table>
</file>

<file path=xl/tables/table17.xml><?xml version="1.0" encoding="utf-8"?>
<table xmlns="http://schemas.openxmlformats.org/spreadsheetml/2006/main" id="16" name="Table13917" displayName="Table13917" ref="C63:F66" totalsRowCount="1" headerRowDxfId="1431" dataDxfId="1430" totalsRowDxfId="1429">
  <autoFilter ref="C63:F65"/>
  <tableColumns count="4">
    <tableColumn id="1" name="Misc." totalsRowLabel="Total" dataDxfId="1428" totalsRowDxfId="1427"/>
    <tableColumn id="2" name="Budget" totalsRowFunction="sum" dataDxfId="1426" totalsRowDxfId="1425" dataCellStyle="Currency"/>
    <tableColumn id="3" name="Actual" totalsRowFunction="sum" dataDxfId="1424" totalsRowDxfId="1423" dataCellStyle="Currency">
      <calculatedColumnFormula>SUMIFS(Table413[Amount],Table413[Category],Table13917[[#Headers],[Misc.]],Table413[Sub-Category],Table13917[[#This Row],[Misc.]])+SUMIFS(Table4419[Amount],Table4419[Category],Table13917[[#Headers],[Misc.]],Table4419[Sub-Category],Table13917[[#This Row],[Misc.]])</calculatedColumnFormula>
    </tableColumn>
    <tableColumn id="4" name="Variance" totalsRowFunction="sum" dataDxfId="1422" totalsRowDxfId="1421" dataCellStyle="Currency">
      <calculatedColumnFormula>Table13917[[#This Row],[Budget]]-Table13917[[#This Row],[Actual]]</calculatedColumnFormula>
    </tableColumn>
  </tableColumns>
  <tableStyleInfo name="TableStyleLight20" showFirstColumn="0" showLastColumn="0" showRowStripes="1" showColumnStripes="0"/>
</table>
</file>

<file path=xl/tables/table18.xml><?xml version="1.0" encoding="utf-8"?>
<table xmlns="http://schemas.openxmlformats.org/spreadsheetml/2006/main" id="17" name="Table1391018" displayName="Table1391018" ref="C40:F46" totalsRowCount="1" headerRowDxfId="1420" dataDxfId="1419" totalsRowDxfId="1418">
  <autoFilter ref="C40:F45"/>
  <tableColumns count="4">
    <tableColumn id="1" name="Bills" totalsRowLabel="Total" dataDxfId="1417" totalsRowDxfId="1416"/>
    <tableColumn id="2" name="Budget" totalsRowFunction="sum" dataDxfId="1415" totalsRowDxfId="1414" dataCellStyle="Currency"/>
    <tableColumn id="3" name="Actual" totalsRowFunction="sum" dataDxfId="1413" totalsRowDxfId="1412" dataCellStyle="Currency">
      <calculatedColumnFormula>SUMIFS(Table413[Amount],Table413[Category],Table1391018[[#Headers],[Bills]],Table413[Sub-Category],Table1391018[[#This Row],[Bills]])+SUMIFS(Table4419[Amount],Table4419[Category],Table1391018[[#Headers],[Bills]],Table4419[Sub-Category],Table1391018[[#This Row],[Bills]])</calculatedColumnFormula>
    </tableColumn>
    <tableColumn id="4" name="Variance" totalsRowFunction="sum" dataDxfId="1411" totalsRowDxfId="1410" dataCellStyle="Currency">
      <calculatedColumnFormula>Table1391018[[#This Row],[Budget]]-Table1391018[[#This Row],[Actual]]</calculatedColumnFormula>
    </tableColumn>
  </tableColumns>
  <tableStyleInfo name="TableStyleLight20" showFirstColumn="0" showLastColumn="0" showRowStripes="1" showColumnStripes="0"/>
</table>
</file>

<file path=xl/tables/table19.xml><?xml version="1.0" encoding="utf-8"?>
<table xmlns="http://schemas.openxmlformats.org/spreadsheetml/2006/main" id="18" name="Table4419" displayName="Table4419" ref="J34:O40" totalsRowShown="0" headerRowDxfId="1409" dataDxfId="1408">
  <autoFilter ref="J34:O40"/>
  <tableColumns count="6">
    <tableColumn id="1" name="Description" dataDxfId="1407" totalsRowDxfId="1406"/>
    <tableColumn id="2" name="Category" dataDxfId="1405" totalsRowDxfId="1404"/>
    <tableColumn id="3" name="Sub-Category" dataDxfId="1403" totalsRowDxfId="1402"/>
    <tableColumn id="4" name="Date" dataDxfId="1401" totalsRowDxfId="1400"/>
    <tableColumn id="5" name="Amount" dataDxfId="1399" totalsRowDxfId="1398" dataCellStyle="Currency"/>
    <tableColumn id="6" name="Status" dataDxfId="1397" totalsRowDxfId="1396"/>
  </tableColumns>
  <tableStyleInfo name="TableStyleLight20" showFirstColumn="0" showLastColumn="0" showRowStripes="1" showColumnStripes="0"/>
</table>
</file>

<file path=xl/tables/table20.xml><?xml version="1.0" encoding="utf-8"?>
<table xmlns="http://schemas.openxmlformats.org/spreadsheetml/2006/main" id="20" name="Table442021" displayName="Table442021" ref="J11:O15" totalsRowShown="0" headerRowDxfId="1395" dataDxfId="1394">
  <autoFilter ref="J11:O15"/>
  <sortState ref="J12:O15">
    <sortCondition ref="M11:M15"/>
  </sortState>
  <tableColumns count="6">
    <tableColumn id="1" name="Description" dataDxfId="1393" totalsRowDxfId="1392"/>
    <tableColumn id="2" name="Category" dataDxfId="1391" totalsRowDxfId="1390"/>
    <tableColumn id="3" name="Sub-Category" dataDxfId="1389" totalsRowDxfId="1388"/>
    <tableColumn id="4" name="Date" dataDxfId="1387" totalsRowDxfId="1386"/>
    <tableColumn id="5" name="Amount" dataDxfId="1385" totalsRowDxfId="1384" dataCellStyle="Currency"/>
    <tableColumn id="6" name="Status" dataDxfId="1383" totalsRowDxfId="1382"/>
  </tableColumns>
  <tableStyleInfo name="TableStyleLight20" showFirstColumn="0" showLastColumn="0" showRowStripes="1" showColumnStripes="0"/>
</table>
</file>

<file path=xl/tables/table21.xml><?xml version="1.0" encoding="utf-8"?>
<table xmlns="http://schemas.openxmlformats.org/spreadsheetml/2006/main" id="31" name="Table132" displayName="Table132" ref="C19:F29" totalsRowCount="1" headerRowDxfId="1381" dataDxfId="1380" totalsRowDxfId="1379">
  <autoFilter ref="C19:F28"/>
  <tableColumns count="4">
    <tableColumn id="1" name="Housing" totalsRowLabel="Total" dataDxfId="1378" totalsRowDxfId="1377"/>
    <tableColumn id="2" name="Budget" totalsRowFunction="sum" dataDxfId="1376" totalsRowDxfId="1375" dataCellStyle="Currency"/>
    <tableColumn id="3" name="Actual" totalsRowFunction="sum" dataDxfId="1374" totalsRowDxfId="1373" dataCellStyle="Currency">
      <calculatedColumnFormula>SUMIFS(Table434[Amount],Table434[Category],Table132[[#Headers],[Housing]],Table434[Sub-Category],Table132[[#This Row],[Housing]])+SUMIFS(Table4440[Amount],Table4440[Category],Table132[[#Headers],[Housing]],Table4440[Sub-Category],Table132[[#This Row],[Housing]])</calculatedColumnFormula>
    </tableColumn>
    <tableColumn id="6" name="Variance" totalsRowFunction="sum" dataDxfId="1372" totalsRowDxfId="1371" dataCellStyle="Currency">
      <calculatedColumnFormula>Table132[[#This Row],[Budget]]-Table132[[#This Row],[Actual]]</calculatedColumnFormula>
    </tableColumn>
  </tableColumns>
  <tableStyleInfo name="TableStyleLight20" showFirstColumn="0" showLastColumn="0" showRowStripes="1" showColumnStripes="0"/>
</table>
</file>

<file path=xl/tables/table22.xml><?xml version="1.0" encoding="utf-8"?>
<table xmlns="http://schemas.openxmlformats.org/spreadsheetml/2006/main" id="32" name="Table1333" displayName="Table1333" ref="C32:F37" totalsRowCount="1" headerRowDxfId="1370" dataDxfId="1369" totalsRowDxfId="1368">
  <autoFilter ref="C32:F36"/>
  <tableColumns count="4">
    <tableColumn id="1" name="Transportation" totalsRowLabel="Total" dataDxfId="1367" totalsRowDxfId="1366"/>
    <tableColumn id="2" name="Budget" totalsRowFunction="sum" dataDxfId="1365" totalsRowDxfId="1364" dataCellStyle="Currency"/>
    <tableColumn id="3" name="Actual" totalsRowFunction="sum" dataDxfId="1363" totalsRowDxfId="1362" dataCellStyle="Currency">
      <calculatedColumnFormula>SUMIFS(Table434[Amount],Table434[Category],Table1333[[#Headers],[Transportation]],Table434[Sub-Category],Table1333[[#This Row],[Transportation]])+SUMIFS(Table4440[Amount],Table4440[Category],Table1333[[#Headers],[Transportation]],Table4440[Sub-Category],Table1333[[#This Row],[Transportation]])</calculatedColumnFormula>
    </tableColumn>
    <tableColumn id="4" name="Variance" totalsRowFunction="sum" dataDxfId="1361" totalsRowDxfId="1360" dataCellStyle="Currency">
      <calculatedColumnFormula>Table1333[[#This Row],[Budget]]-Table1333[[#This Row],[Actual]]</calculatedColumnFormula>
    </tableColumn>
  </tableColumns>
  <tableStyleInfo name="TableStyleLight20" showFirstColumn="0" showLastColumn="0" showRowStripes="1" showColumnStripes="0"/>
</table>
</file>

<file path=xl/tables/table23.xml><?xml version="1.0" encoding="utf-8"?>
<table xmlns="http://schemas.openxmlformats.org/spreadsheetml/2006/main" id="33" name="Table434" displayName="Table434" ref="J18:O31" totalsRowShown="0" headerRowDxfId="1359" dataDxfId="1358">
  <autoFilter ref="J18:O31"/>
  <sortState ref="J19:O31">
    <sortCondition ref="M18:M31"/>
  </sortState>
  <tableColumns count="6">
    <tableColumn id="1" name="Description" dataDxfId="1357" totalsRowDxfId="1356"/>
    <tableColumn id="2" name="Category" dataDxfId="1355" totalsRowDxfId="1354"/>
    <tableColumn id="3" name="Sub-Category" dataDxfId="1353" totalsRowDxfId="1352"/>
    <tableColumn id="4" name="Date" dataDxfId="1351" totalsRowDxfId="1350"/>
    <tableColumn id="5" name="Amount" dataDxfId="1349" totalsRowDxfId="1348" dataCellStyle="Currency"/>
    <tableColumn id="6" name="Status" dataDxfId="1347" totalsRowDxfId="1346"/>
  </tableColumns>
  <tableStyleInfo name="TableStyleLight20" showFirstColumn="0" showLastColumn="0" showRowStripes="1" showColumnStripes="0"/>
</table>
</file>

<file path=xl/tables/table24.xml><?xml version="1.0" encoding="utf-8"?>
<table xmlns="http://schemas.openxmlformats.org/spreadsheetml/2006/main" id="34" name="Table13635" displayName="Table13635" ref="C11:F16" totalsRowCount="1" headerRowDxfId="1345" dataDxfId="1344" totalsRowDxfId="1343">
  <autoFilter ref="C11:F15"/>
  <tableColumns count="4">
    <tableColumn id="1" name="Income" totalsRowLabel="Total" dataDxfId="1342" totalsRowDxfId="1341"/>
    <tableColumn id="2" name="Budget" totalsRowFunction="sum" dataDxfId="1340" totalsRowDxfId="1339" dataCellStyle="Currency"/>
    <tableColumn id="3" name="Actual" totalsRowFunction="sum" dataDxfId="1338" totalsRowDxfId="1337" dataCellStyle="Currency">
      <calculatedColumnFormula>SUMIFS(Table442041[Amount],Table442041[Category],Table13635[[#Headers],[Income]],Table442041[Sub-Category],Table13635[[#This Row],[Income]])+SUMIFS(Table4440[Amount],Table4440[Category],Table13635[[#Headers],[Income]],Table4440[Sub-Category],Table13635[[#This Row],[Income]])</calculatedColumnFormula>
    </tableColumn>
    <tableColumn id="4" name="Variance" totalsRowFunction="sum" dataDxfId="1336" totalsRowDxfId="1335" dataCellStyle="Currency">
      <calculatedColumnFormula>Table13635[[#This Row],[Actual]]-Table13635[[#This Row],[Budget]]</calculatedColumnFormula>
    </tableColumn>
  </tableColumns>
  <tableStyleInfo name="TableStyleLight20" showFirstColumn="0" showLastColumn="0" showRowStripes="1" showColumnStripes="0"/>
</table>
</file>

<file path=xl/tables/table25.xml><?xml version="1.0" encoding="utf-8"?>
<table xmlns="http://schemas.openxmlformats.org/spreadsheetml/2006/main" id="35" name="Table13736" displayName="Table13736" ref="C49:F54" totalsRowCount="1" headerRowDxfId="1334" dataDxfId="1333" totalsRowDxfId="1332">
  <autoFilter ref="C49:F53"/>
  <tableColumns count="4">
    <tableColumn id="1" name="Living" totalsRowLabel="Total" dataDxfId="1331" totalsRowDxfId="1330"/>
    <tableColumn id="2" name="Budget" totalsRowFunction="sum" dataDxfId="1329" totalsRowDxfId="1328" dataCellStyle="Currency"/>
    <tableColumn id="3" name="Actual" totalsRowFunction="sum" dataDxfId="1327" totalsRowDxfId="1326" dataCellStyle="Currency">
      <calculatedColumnFormula>SUMIFS(Table434[Amount],Table434[Category],Table13736[[#Headers],[Living]],Table434[Sub-Category],Table13736[[#This Row],[Living]])+SUMIFS(Table4440[Amount],Table4440[Category],Table13736[[#Headers],[Living]],Table4440[Sub-Category],Table13736[[#This Row],[Living]])</calculatedColumnFormula>
    </tableColumn>
    <tableColumn id="4" name="Variance" totalsRowFunction="sum" dataDxfId="1325" totalsRowDxfId="1324" dataCellStyle="Currency">
      <calculatedColumnFormula>Table13736[[#This Row],[Budget]]-Table13736[[#This Row],[Actual]]</calculatedColumnFormula>
    </tableColumn>
  </tableColumns>
  <tableStyleInfo name="TableStyleLight20" showFirstColumn="0" showLastColumn="0" showRowStripes="1" showColumnStripes="0"/>
</table>
</file>

<file path=xl/tables/table26.xml><?xml version="1.0" encoding="utf-8"?>
<table xmlns="http://schemas.openxmlformats.org/spreadsheetml/2006/main" id="36" name="Table13837" displayName="Table13837" ref="C57:F60" totalsRowCount="1" headerRowDxfId="1323" dataDxfId="1322" totalsRowDxfId="1321">
  <autoFilter ref="C57:F59"/>
  <tableColumns count="4">
    <tableColumn id="1" name="Entertainment" totalsRowLabel="Total" dataDxfId="1320" totalsRowDxfId="1319"/>
    <tableColumn id="2" name="Budget" totalsRowFunction="sum" dataDxfId="1318" totalsRowDxfId="1317" dataCellStyle="Currency"/>
    <tableColumn id="3" name="Actual" totalsRowFunction="sum" dataDxfId="1316" totalsRowDxfId="1315" dataCellStyle="Currency">
      <calculatedColumnFormula>SUMIFS(Table434[Amount],Table434[Category],Table13837[[#Headers],[Entertainment]],Table434[Sub-Category],Table13837[[#This Row],[Entertainment]])+SUMIFS(Table4440[Amount],Table4440[Category],Table13837[[#Headers],[Entertainment]],Table4440[Sub-Category],Table13837[[#This Row],[Entertainment]])</calculatedColumnFormula>
    </tableColumn>
    <tableColumn id="4" name="Variance" totalsRowFunction="sum" dataDxfId="1314" totalsRowDxfId="1313" dataCellStyle="Currency">
      <calculatedColumnFormula>Table13837[[#This Row],[Budget]]-Table13837[[#This Row],[Actual]]</calculatedColumnFormula>
    </tableColumn>
  </tableColumns>
  <tableStyleInfo name="TableStyleLight20" showFirstColumn="0" showLastColumn="0" showRowStripes="1" showColumnStripes="0"/>
</table>
</file>

<file path=xl/tables/table27.xml><?xml version="1.0" encoding="utf-8"?>
<table xmlns="http://schemas.openxmlformats.org/spreadsheetml/2006/main" id="37" name="Table13938" displayName="Table13938" ref="C63:F66" totalsRowCount="1" headerRowDxfId="1312" dataDxfId="1311" totalsRowDxfId="1310">
  <autoFilter ref="C63:F65"/>
  <tableColumns count="4">
    <tableColumn id="1" name="Misc." totalsRowLabel="Total" dataDxfId="1309" totalsRowDxfId="1308"/>
    <tableColumn id="2" name="Budget" totalsRowFunction="sum" dataDxfId="1307" totalsRowDxfId="1306" dataCellStyle="Currency"/>
    <tableColumn id="3" name="Actual" totalsRowFunction="sum" dataDxfId="1305" totalsRowDxfId="1304" dataCellStyle="Currency">
      <calculatedColumnFormula>SUMIFS(Table434[Amount],Table434[Category],Table13938[[#Headers],[Misc.]],Table434[Sub-Category],Table13938[[#This Row],[Misc.]])+SUMIFS(Table4440[Amount],Table4440[Category],Table13938[[#Headers],[Misc.]],Table4440[Sub-Category],Table13938[[#This Row],[Misc.]])</calculatedColumnFormula>
    </tableColumn>
    <tableColumn id="4" name="Variance" totalsRowFunction="sum" dataDxfId="1303" totalsRowDxfId="1302" dataCellStyle="Currency">
      <calculatedColumnFormula>Table13938[[#This Row],[Budget]]-Table13938[[#This Row],[Actual]]</calculatedColumnFormula>
    </tableColumn>
  </tableColumns>
  <tableStyleInfo name="TableStyleLight20" showFirstColumn="0" showLastColumn="0" showRowStripes="1" showColumnStripes="0"/>
</table>
</file>

<file path=xl/tables/table28.xml><?xml version="1.0" encoding="utf-8"?>
<table xmlns="http://schemas.openxmlformats.org/spreadsheetml/2006/main" id="38" name="Table1391039" displayName="Table1391039" ref="C40:F46" totalsRowCount="1" headerRowDxfId="1301" dataDxfId="1300" totalsRowDxfId="1299">
  <autoFilter ref="C40:F45"/>
  <tableColumns count="4">
    <tableColumn id="1" name="Bills" totalsRowLabel="Total" dataDxfId="1298" totalsRowDxfId="1297"/>
    <tableColumn id="2" name="Budget" totalsRowFunction="sum" dataDxfId="1296" totalsRowDxfId="1295" dataCellStyle="Currency"/>
    <tableColumn id="3" name="Actual" totalsRowFunction="sum" dataDxfId="1294" totalsRowDxfId="1293" dataCellStyle="Currency">
      <calculatedColumnFormula>SUMIFS(Table434[Amount],Table434[Category],Table1391039[[#Headers],[Bills]],Table434[Sub-Category],Table1391039[[#This Row],[Bills]])+SUMIFS(Table4440[Amount],Table4440[Category],Table1391039[[#Headers],[Bills]],Table4440[Sub-Category],Table1391039[[#This Row],[Bills]])</calculatedColumnFormula>
    </tableColumn>
    <tableColumn id="4" name="Variance" totalsRowFunction="sum" dataDxfId="1292" totalsRowDxfId="1291" dataCellStyle="Currency">
      <calculatedColumnFormula>Table1391039[[#This Row],[Budget]]-Table1391039[[#This Row],[Actual]]</calculatedColumnFormula>
    </tableColumn>
  </tableColumns>
  <tableStyleInfo name="TableStyleLight20" showFirstColumn="0" showLastColumn="0" showRowStripes="1" showColumnStripes="0"/>
</table>
</file>

<file path=xl/tables/table29.xml><?xml version="1.0" encoding="utf-8"?>
<table xmlns="http://schemas.openxmlformats.org/spreadsheetml/2006/main" id="39" name="Table4440" displayName="Table4440" ref="J34:O40" totalsRowShown="0" headerRowDxfId="1290" dataDxfId="1289">
  <autoFilter ref="J34:O40"/>
  <tableColumns count="6">
    <tableColumn id="1" name="Description" dataDxfId="1288" totalsRowDxfId="1287"/>
    <tableColumn id="2" name="Category" dataDxfId="1286" totalsRowDxfId="1285"/>
    <tableColumn id="3" name="Sub-Category" dataDxfId="1284" totalsRowDxfId="1283"/>
    <tableColumn id="4" name="Date" dataDxfId="1282" totalsRowDxfId="1281"/>
    <tableColumn id="5" name="Amount" dataDxfId="1280" totalsRowDxfId="1279" dataCellStyle="Currency"/>
    <tableColumn id="6" name="Status" dataDxfId="1278" totalsRowDxfId="1277"/>
  </tableColumns>
  <tableStyleInfo name="TableStyleLight20" showFirstColumn="0" showLastColumn="0" showRowStripes="1" showColumnStripes="0"/>
</table>
</file>

<file path=xl/tables/table30.xml><?xml version="1.0" encoding="utf-8"?>
<table xmlns="http://schemas.openxmlformats.org/spreadsheetml/2006/main" id="40" name="Table442041" displayName="Table442041" ref="J11:O15" totalsRowShown="0" headerRowDxfId="1276" dataDxfId="1275">
  <autoFilter ref="J11:O15"/>
  <sortState ref="J12:O15">
    <sortCondition ref="M11:M15"/>
  </sortState>
  <tableColumns count="6">
    <tableColumn id="1" name="Description" dataDxfId="1274" totalsRowDxfId="1273"/>
    <tableColumn id="2" name="Category" dataDxfId="1272" totalsRowDxfId="1271"/>
    <tableColumn id="3" name="Sub-Category" dataDxfId="1270" totalsRowDxfId="1269"/>
    <tableColumn id="4" name="Date" dataDxfId="1268" totalsRowDxfId="1267"/>
    <tableColumn id="5" name="Amount" dataDxfId="1266" totalsRowDxfId="1265" dataCellStyle="Currency"/>
    <tableColumn id="6" name="Status" dataDxfId="1264" totalsRowDxfId="1263"/>
  </tableColumns>
  <tableStyleInfo name="TableStyleLight20" showFirstColumn="0" showLastColumn="0" showRowStripes="1" showColumnStripes="0"/>
</table>
</file>

<file path=xl/tables/table31.xml><?xml version="1.0" encoding="utf-8"?>
<table xmlns="http://schemas.openxmlformats.org/spreadsheetml/2006/main" id="41" name="Table142" displayName="Table142" ref="C19:F29" totalsRowCount="1" headerRowDxfId="1262" dataDxfId="1261" totalsRowDxfId="1260">
  <autoFilter ref="C19:F28"/>
  <tableColumns count="4">
    <tableColumn id="1" name="Housing" totalsRowLabel="Total" dataDxfId="1259" totalsRowDxfId="1258"/>
    <tableColumn id="2" name="Budget" totalsRowFunction="sum" dataDxfId="1257" totalsRowDxfId="1256" dataCellStyle="Currency"/>
    <tableColumn id="3" name="Actual" totalsRowFunction="sum" dataDxfId="1255" totalsRowDxfId="1254" dataCellStyle="Currency">
      <calculatedColumnFormula>SUMIFS(Table444[Amount],Table444[Category],Table142[[#Headers],[Housing]],Table444[Sub-Category],Table142[[#This Row],[Housing]])+SUMIFS(Table4450[Amount],Table4450[Category],Table142[[#Headers],[Housing]],Table4450[Sub-Category],Table142[[#This Row],[Housing]])</calculatedColumnFormula>
    </tableColumn>
    <tableColumn id="6" name="Variance" totalsRowFunction="sum" dataDxfId="1253" totalsRowDxfId="1252" dataCellStyle="Currency">
      <calculatedColumnFormula>Table142[[#This Row],[Budget]]-Table142[[#This Row],[Actual]]</calculatedColumnFormula>
    </tableColumn>
  </tableColumns>
  <tableStyleInfo name="TableStyleLight20" showFirstColumn="0" showLastColumn="0" showRowStripes="1" showColumnStripes="0"/>
</table>
</file>

<file path=xl/tables/table32.xml><?xml version="1.0" encoding="utf-8"?>
<table xmlns="http://schemas.openxmlformats.org/spreadsheetml/2006/main" id="42" name="Table1343" displayName="Table1343" ref="C32:F37" totalsRowCount="1" headerRowDxfId="1251" dataDxfId="1250" totalsRowDxfId="1249">
  <autoFilter ref="C32:F36"/>
  <tableColumns count="4">
    <tableColumn id="1" name="Transportation" totalsRowLabel="Total" dataDxfId="1248" totalsRowDxfId="1247"/>
    <tableColumn id="2" name="Budget" totalsRowFunction="sum" dataDxfId="1246" totalsRowDxfId="1245" dataCellStyle="Currency"/>
    <tableColumn id="3" name="Actual" totalsRowFunction="sum" dataDxfId="1244" totalsRowDxfId="1243" dataCellStyle="Currency">
      <calculatedColumnFormula>SUMIFS(Table444[Amount],Table444[Category],Table1343[[#Headers],[Transportation]],Table444[Sub-Category],Table1343[[#This Row],[Transportation]])+SUMIFS(Table4450[Amount],Table4450[Category],Table1343[[#Headers],[Transportation]],Table4450[Sub-Category],Table1343[[#This Row],[Transportation]])</calculatedColumnFormula>
    </tableColumn>
    <tableColumn id="4" name="Variance" totalsRowFunction="sum" dataDxfId="1242" totalsRowDxfId="1241" dataCellStyle="Currency">
      <calculatedColumnFormula>Table1343[[#This Row],[Budget]]-Table1343[[#This Row],[Actual]]</calculatedColumnFormula>
    </tableColumn>
  </tableColumns>
  <tableStyleInfo name="TableStyleLight20" showFirstColumn="0" showLastColumn="0" showRowStripes="1" showColumnStripes="0"/>
</table>
</file>

<file path=xl/tables/table33.xml><?xml version="1.0" encoding="utf-8"?>
<table xmlns="http://schemas.openxmlformats.org/spreadsheetml/2006/main" id="43" name="Table444" displayName="Table444" ref="J18:O31" totalsRowShown="0" headerRowDxfId="1240" dataDxfId="1239">
  <autoFilter ref="J18:O31"/>
  <sortState ref="J19:O31">
    <sortCondition ref="M18:M31"/>
  </sortState>
  <tableColumns count="6">
    <tableColumn id="1" name="Description" dataDxfId="1238" totalsRowDxfId="1237"/>
    <tableColumn id="2" name="Category" dataDxfId="1236" totalsRowDxfId="1235"/>
    <tableColumn id="3" name="Sub-Category" dataDxfId="1234" totalsRowDxfId="1233"/>
    <tableColumn id="4" name="Date" dataDxfId="1232" totalsRowDxfId="1231"/>
    <tableColumn id="5" name="Amount" dataDxfId="1230" totalsRowDxfId="1229" dataCellStyle="Currency"/>
    <tableColumn id="6" name="Status" dataDxfId="1228" totalsRowDxfId="1227"/>
  </tableColumns>
  <tableStyleInfo name="TableStyleLight20" showFirstColumn="0" showLastColumn="0" showRowStripes="1" showColumnStripes="0"/>
</table>
</file>

<file path=xl/tables/table34.xml><?xml version="1.0" encoding="utf-8"?>
<table xmlns="http://schemas.openxmlformats.org/spreadsheetml/2006/main" id="44" name="Table13645" displayName="Table13645" ref="C11:F16" totalsRowCount="1" headerRowDxfId="1226" dataDxfId="1225" totalsRowDxfId="1224">
  <autoFilter ref="C11:F15"/>
  <tableColumns count="4">
    <tableColumn id="1" name="Income" totalsRowLabel="Total" dataDxfId="1223" totalsRowDxfId="1222"/>
    <tableColumn id="2" name="Budget" totalsRowFunction="sum" dataDxfId="1221" totalsRowDxfId="1220" dataCellStyle="Currency"/>
    <tableColumn id="3" name="Actual" totalsRowFunction="sum" dataDxfId="1219" totalsRowDxfId="1218" dataCellStyle="Currency">
      <calculatedColumnFormula>SUMIFS(Table442051[Amount],Table442051[Category],Table13645[[#Headers],[Income]],Table442051[Sub-Category],Table13645[[#This Row],[Income]])+SUMIFS(Table4450[Amount],Table4450[Category],Table13645[[#Headers],[Income]],Table4450[Sub-Category],Table13645[[#This Row],[Income]])</calculatedColumnFormula>
    </tableColumn>
    <tableColumn id="4" name="Variance" totalsRowFunction="sum" dataDxfId="1217" totalsRowDxfId="1216" dataCellStyle="Currency">
      <calculatedColumnFormula>Table13645[[#This Row],[Actual]]-Table13645[[#This Row],[Budget]]</calculatedColumnFormula>
    </tableColumn>
  </tableColumns>
  <tableStyleInfo name="TableStyleLight20" showFirstColumn="0" showLastColumn="0" showRowStripes="1" showColumnStripes="0"/>
</table>
</file>

<file path=xl/tables/table35.xml><?xml version="1.0" encoding="utf-8"?>
<table xmlns="http://schemas.openxmlformats.org/spreadsheetml/2006/main" id="45" name="Table13746" displayName="Table13746" ref="C49:F54" totalsRowCount="1" headerRowDxfId="1215" dataDxfId="1214" totalsRowDxfId="1213">
  <autoFilter ref="C49:F53"/>
  <tableColumns count="4">
    <tableColumn id="1" name="Living" totalsRowLabel="Total" dataDxfId="1212" totalsRowDxfId="1211"/>
    <tableColumn id="2" name="Budget" totalsRowFunction="sum" dataDxfId="1210" totalsRowDxfId="1209" dataCellStyle="Currency"/>
    <tableColumn id="3" name="Actual" totalsRowFunction="sum" dataDxfId="1208" totalsRowDxfId="1207" dataCellStyle="Currency">
      <calculatedColumnFormula>SUMIFS(Table444[Amount],Table444[Category],Table13746[[#Headers],[Living]],Table444[Sub-Category],Table13746[[#This Row],[Living]])+SUMIFS(Table4450[Amount],Table4450[Category],Table13746[[#Headers],[Living]],Table4450[Sub-Category],Table13746[[#This Row],[Living]])</calculatedColumnFormula>
    </tableColumn>
    <tableColumn id="4" name="Variance" totalsRowFunction="sum" dataDxfId="1206" totalsRowDxfId="1205" dataCellStyle="Currency">
      <calculatedColumnFormula>Table13746[[#This Row],[Budget]]-Table13746[[#This Row],[Actual]]</calculatedColumnFormula>
    </tableColumn>
  </tableColumns>
  <tableStyleInfo name="TableStyleLight20" showFirstColumn="0" showLastColumn="0" showRowStripes="1" showColumnStripes="0"/>
</table>
</file>

<file path=xl/tables/table36.xml><?xml version="1.0" encoding="utf-8"?>
<table xmlns="http://schemas.openxmlformats.org/spreadsheetml/2006/main" id="46" name="Table13847" displayName="Table13847" ref="C57:F60" totalsRowCount="1" headerRowDxfId="1204" dataDxfId="1203" totalsRowDxfId="1202">
  <autoFilter ref="C57:F59"/>
  <tableColumns count="4">
    <tableColumn id="1" name="Entertainment" totalsRowLabel="Total" dataDxfId="1201" totalsRowDxfId="1200"/>
    <tableColumn id="2" name="Budget" totalsRowFunction="sum" dataDxfId="1199" totalsRowDxfId="1198" dataCellStyle="Currency"/>
    <tableColumn id="3" name="Actual" totalsRowFunction="sum" dataDxfId="1197" totalsRowDxfId="1196" dataCellStyle="Currency">
      <calculatedColumnFormula>SUMIFS(Table444[Amount],Table444[Category],Table13847[[#Headers],[Entertainment]],Table444[Sub-Category],Table13847[[#This Row],[Entertainment]])+SUMIFS(Table4450[Amount],Table4450[Category],Table13847[[#Headers],[Entertainment]],Table4450[Sub-Category],Table13847[[#This Row],[Entertainment]])</calculatedColumnFormula>
    </tableColumn>
    <tableColumn id="4" name="Variance" totalsRowFunction="sum" dataDxfId="1195" totalsRowDxfId="1194" dataCellStyle="Currency">
      <calculatedColumnFormula>Table13847[[#This Row],[Budget]]-Table13847[[#This Row],[Actual]]</calculatedColumnFormula>
    </tableColumn>
  </tableColumns>
  <tableStyleInfo name="TableStyleLight20" showFirstColumn="0" showLastColumn="0" showRowStripes="1" showColumnStripes="0"/>
</table>
</file>

<file path=xl/tables/table37.xml><?xml version="1.0" encoding="utf-8"?>
<table xmlns="http://schemas.openxmlformats.org/spreadsheetml/2006/main" id="47" name="Table13948" displayName="Table13948" ref="C63:F66" totalsRowCount="1" headerRowDxfId="1193" dataDxfId="1192" totalsRowDxfId="1191">
  <autoFilter ref="C63:F65"/>
  <tableColumns count="4">
    <tableColumn id="1" name="Misc." totalsRowLabel="Total" dataDxfId="1190" totalsRowDxfId="1189"/>
    <tableColumn id="2" name="Budget" totalsRowFunction="sum" dataDxfId="1188" totalsRowDxfId="1187" dataCellStyle="Currency"/>
    <tableColumn id="3" name="Actual" totalsRowFunction="sum" dataDxfId="1186" totalsRowDxfId="1185" dataCellStyle="Currency">
      <calculatedColumnFormula>SUMIFS(Table444[Amount],Table444[Category],Table13948[[#Headers],[Misc.]],Table444[Sub-Category],Table13948[[#This Row],[Misc.]])+SUMIFS(Table4450[Amount],Table4450[Category],Table13948[[#Headers],[Misc.]],Table4450[Sub-Category],Table13948[[#This Row],[Misc.]])</calculatedColumnFormula>
    </tableColumn>
    <tableColumn id="4" name="Variance" totalsRowFunction="sum" dataDxfId="1184" totalsRowDxfId="1183" dataCellStyle="Currency">
      <calculatedColumnFormula>Table13948[[#This Row],[Budget]]-Table13948[[#This Row],[Actual]]</calculatedColumnFormula>
    </tableColumn>
  </tableColumns>
  <tableStyleInfo name="TableStyleLight20" showFirstColumn="0" showLastColumn="0" showRowStripes="1" showColumnStripes="0"/>
</table>
</file>

<file path=xl/tables/table38.xml><?xml version="1.0" encoding="utf-8"?>
<table xmlns="http://schemas.openxmlformats.org/spreadsheetml/2006/main" id="48" name="Table1391049" displayName="Table1391049" ref="C40:F46" totalsRowCount="1" headerRowDxfId="1182" dataDxfId="1181" totalsRowDxfId="1180">
  <autoFilter ref="C40:F45"/>
  <tableColumns count="4">
    <tableColumn id="1" name="Bills" totalsRowLabel="Total" dataDxfId="1179" totalsRowDxfId="1178"/>
    <tableColumn id="2" name="Budget" totalsRowFunction="sum" dataDxfId="1177" totalsRowDxfId="1176" dataCellStyle="Currency"/>
    <tableColumn id="3" name="Actual" totalsRowFunction="sum" dataDxfId="1175" totalsRowDxfId="1174" dataCellStyle="Currency">
      <calculatedColumnFormula>SUMIFS(Table444[Amount],Table444[Category],Table1391049[[#Headers],[Bills]],Table444[Sub-Category],Table1391049[[#This Row],[Bills]])+SUMIFS(Table4450[Amount],Table4450[Category],Table1391049[[#Headers],[Bills]],Table4450[Sub-Category],Table1391049[[#This Row],[Bills]])</calculatedColumnFormula>
    </tableColumn>
    <tableColumn id="4" name="Variance" totalsRowFunction="sum" dataDxfId="1173" totalsRowDxfId="1172" dataCellStyle="Currency">
      <calculatedColumnFormula>Table1391049[[#This Row],[Budget]]-Table1391049[[#This Row],[Actual]]</calculatedColumnFormula>
    </tableColumn>
  </tableColumns>
  <tableStyleInfo name="TableStyleLight20" showFirstColumn="0" showLastColumn="0" showRowStripes="1" showColumnStripes="0"/>
</table>
</file>

<file path=xl/tables/table39.xml><?xml version="1.0" encoding="utf-8"?>
<table xmlns="http://schemas.openxmlformats.org/spreadsheetml/2006/main" id="49" name="Table4450" displayName="Table4450" ref="J34:O40" totalsRowShown="0" headerRowDxfId="1171" dataDxfId="1170">
  <autoFilter ref="J34:O40"/>
  <tableColumns count="6">
    <tableColumn id="1" name="Description" dataDxfId="1169" totalsRowDxfId="1168"/>
    <tableColumn id="2" name="Category" dataDxfId="1167" totalsRowDxfId="1166"/>
    <tableColumn id="3" name="Sub-Category" dataDxfId="1165" totalsRowDxfId="1164"/>
    <tableColumn id="4" name="Date" dataDxfId="1163" totalsRowDxfId="1162"/>
    <tableColumn id="5" name="Amount" dataDxfId="1161" totalsRowDxfId="1160" dataCellStyle="Currency"/>
    <tableColumn id="6" name="Status" dataDxfId="1159" totalsRowDxfId="1158"/>
  </tableColumns>
  <tableStyleInfo name="TableStyleLight20" showFirstColumn="0" showLastColumn="0" showRowStripes="1" showColumnStripes="0"/>
</table>
</file>

<file path=xl/tables/table40.xml><?xml version="1.0" encoding="utf-8"?>
<table xmlns="http://schemas.openxmlformats.org/spreadsheetml/2006/main" id="50" name="Table442051" displayName="Table442051" ref="J11:O15" totalsRowShown="0" headerRowDxfId="1157" dataDxfId="1156">
  <autoFilter ref="J11:O15"/>
  <sortState ref="J12:O15">
    <sortCondition ref="M11:M15"/>
  </sortState>
  <tableColumns count="6">
    <tableColumn id="1" name="Description" dataDxfId="1155" totalsRowDxfId="1154"/>
    <tableColumn id="2" name="Category" dataDxfId="1153" totalsRowDxfId="1152"/>
    <tableColumn id="3" name="Sub-Category" dataDxfId="1151" totalsRowDxfId="1150"/>
    <tableColumn id="4" name="Date" dataDxfId="1149" totalsRowDxfId="1148"/>
    <tableColumn id="5" name="Amount" dataDxfId="1147" totalsRowDxfId="1146" dataCellStyle="Currency"/>
    <tableColumn id="6" name="Status" dataDxfId="1145" totalsRowDxfId="1144"/>
  </tableColumns>
  <tableStyleInfo name="TableStyleLight20" showFirstColumn="0" showLastColumn="0" showRowStripes="1" showColumnStripes="0"/>
</table>
</file>

<file path=xl/tables/table41.xml><?xml version="1.0" encoding="utf-8"?>
<table xmlns="http://schemas.openxmlformats.org/spreadsheetml/2006/main" id="51" name="Table152" displayName="Table152" ref="C19:F29" totalsRowCount="1" headerRowDxfId="1143" dataDxfId="1142" totalsRowDxfId="1141">
  <autoFilter ref="C19:F28"/>
  <tableColumns count="4">
    <tableColumn id="1" name="Housing" totalsRowLabel="Total" dataDxfId="1140" totalsRowDxfId="1139"/>
    <tableColumn id="2" name="Budget" totalsRowFunction="sum" dataDxfId="1138" totalsRowDxfId="1137" dataCellStyle="Currency"/>
    <tableColumn id="3" name="Actual" totalsRowFunction="sum" dataDxfId="1136" totalsRowDxfId="1135" dataCellStyle="Currency">
      <calculatedColumnFormula>SUMIFS(Table454[Amount],Table454[Category],Table152[[#Headers],[Housing]],Table454[Sub-Category],Table152[[#This Row],[Housing]])+SUMIFS(Table4460[Amount],Table4460[Category],Table152[[#Headers],[Housing]],Table4460[Sub-Category],Table152[[#This Row],[Housing]])</calculatedColumnFormula>
    </tableColumn>
    <tableColumn id="6" name="Variance" totalsRowFunction="sum" dataDxfId="1134" totalsRowDxfId="1133" dataCellStyle="Currency">
      <calculatedColumnFormula>Table152[[#This Row],[Budget]]-Table152[[#This Row],[Actual]]</calculatedColumnFormula>
    </tableColumn>
  </tableColumns>
  <tableStyleInfo name="TableStyleLight20" showFirstColumn="0" showLastColumn="0" showRowStripes="1" showColumnStripes="0"/>
</table>
</file>

<file path=xl/tables/table42.xml><?xml version="1.0" encoding="utf-8"?>
<table xmlns="http://schemas.openxmlformats.org/spreadsheetml/2006/main" id="52" name="Table1353" displayName="Table1353" ref="C32:F37" totalsRowCount="1" headerRowDxfId="1132" dataDxfId="1131" totalsRowDxfId="1130">
  <autoFilter ref="C32:F36"/>
  <tableColumns count="4">
    <tableColumn id="1" name="Transportation" totalsRowLabel="Total" dataDxfId="1129" totalsRowDxfId="1128"/>
    <tableColumn id="2" name="Budget" totalsRowFunction="sum" dataDxfId="1127" totalsRowDxfId="1126" dataCellStyle="Currency"/>
    <tableColumn id="3" name="Actual" totalsRowFunction="sum" dataDxfId="1125" totalsRowDxfId="1124" dataCellStyle="Currency">
      <calculatedColumnFormula>SUMIFS(Table454[Amount],Table454[Category],Table1353[[#Headers],[Transportation]],Table454[Sub-Category],Table1353[[#This Row],[Transportation]])+SUMIFS(Table4460[Amount],Table4460[Category],Table1353[[#Headers],[Transportation]],Table4460[Sub-Category],Table1353[[#This Row],[Transportation]])</calculatedColumnFormula>
    </tableColumn>
    <tableColumn id="4" name="Variance" totalsRowFunction="sum" dataDxfId="1123" totalsRowDxfId="1122" dataCellStyle="Currency">
      <calculatedColumnFormula>Table1353[[#This Row],[Budget]]-Table1353[[#This Row],[Actual]]</calculatedColumnFormula>
    </tableColumn>
  </tableColumns>
  <tableStyleInfo name="TableStyleLight20" showFirstColumn="0" showLastColumn="0" showRowStripes="1" showColumnStripes="0"/>
</table>
</file>

<file path=xl/tables/table43.xml><?xml version="1.0" encoding="utf-8"?>
<table xmlns="http://schemas.openxmlformats.org/spreadsheetml/2006/main" id="53" name="Table454" displayName="Table454" ref="J18:O31" totalsRowShown="0" headerRowDxfId="1121" dataDxfId="1120">
  <autoFilter ref="J18:O31"/>
  <sortState ref="J19:O31">
    <sortCondition ref="M18:M31"/>
  </sortState>
  <tableColumns count="6">
    <tableColumn id="1" name="Description" dataDxfId="1119" totalsRowDxfId="1118"/>
    <tableColumn id="2" name="Category" dataDxfId="1117" totalsRowDxfId="1116"/>
    <tableColumn id="3" name="Sub-Category" dataDxfId="1115" totalsRowDxfId="1114"/>
    <tableColumn id="4" name="Date" dataDxfId="1113" totalsRowDxfId="1112"/>
    <tableColumn id="5" name="Amount" dataDxfId="1111" totalsRowDxfId="1110" dataCellStyle="Currency"/>
    <tableColumn id="6" name="Status" dataDxfId="1109" totalsRowDxfId="1108"/>
  </tableColumns>
  <tableStyleInfo name="TableStyleLight20" showFirstColumn="0" showLastColumn="0" showRowStripes="1" showColumnStripes="0"/>
</table>
</file>

<file path=xl/tables/table44.xml><?xml version="1.0" encoding="utf-8"?>
<table xmlns="http://schemas.openxmlformats.org/spreadsheetml/2006/main" id="54" name="Table13655" displayName="Table13655" ref="C11:F16" totalsRowCount="1" headerRowDxfId="1107" dataDxfId="1106" totalsRowDxfId="1105">
  <autoFilter ref="C11:F15"/>
  <tableColumns count="4">
    <tableColumn id="1" name="Income" totalsRowLabel="Total" dataDxfId="1104" totalsRowDxfId="1103"/>
    <tableColumn id="2" name="Budget" totalsRowFunction="sum" dataDxfId="1102" totalsRowDxfId="1101" dataCellStyle="Currency"/>
    <tableColumn id="3" name="Actual" totalsRowFunction="sum" dataDxfId="1100" totalsRowDxfId="1099" dataCellStyle="Currency">
      <calculatedColumnFormula>SUMIFS(Table442061[Amount],Table442061[Category],Table13655[[#Headers],[Income]],Table442061[Sub-Category],Table13655[[#This Row],[Income]])+SUMIFS(Table4460[Amount],Table4460[Category],Table13655[[#Headers],[Income]],Table4460[Sub-Category],Table13655[[#This Row],[Income]])</calculatedColumnFormula>
    </tableColumn>
    <tableColumn id="4" name="Variance" totalsRowFunction="sum" dataDxfId="1098" totalsRowDxfId="1097" dataCellStyle="Currency">
      <calculatedColumnFormula>Table13655[[#This Row],[Actual]]-Table13655[[#This Row],[Budget]]</calculatedColumnFormula>
    </tableColumn>
  </tableColumns>
  <tableStyleInfo name="TableStyleLight20" showFirstColumn="0" showLastColumn="0" showRowStripes="1" showColumnStripes="0"/>
</table>
</file>

<file path=xl/tables/table45.xml><?xml version="1.0" encoding="utf-8"?>
<table xmlns="http://schemas.openxmlformats.org/spreadsheetml/2006/main" id="55" name="Table13756" displayName="Table13756" ref="C49:F54" totalsRowCount="1" headerRowDxfId="1096" dataDxfId="1095" totalsRowDxfId="1094">
  <autoFilter ref="C49:F53"/>
  <tableColumns count="4">
    <tableColumn id="1" name="Living" totalsRowLabel="Total" dataDxfId="1093" totalsRowDxfId="1092"/>
    <tableColumn id="2" name="Budget" totalsRowFunction="sum" dataDxfId="1091" totalsRowDxfId="1090" dataCellStyle="Currency"/>
    <tableColumn id="3" name="Actual" totalsRowFunction="sum" dataDxfId="1089" totalsRowDxfId="1088" dataCellStyle="Currency">
      <calculatedColumnFormula>SUMIFS(Table454[Amount],Table454[Category],Table13756[[#Headers],[Living]],Table454[Sub-Category],Table13756[[#This Row],[Living]])+SUMIFS(Table4460[Amount],Table4460[Category],Table13756[[#Headers],[Living]],Table4460[Sub-Category],Table13756[[#This Row],[Living]])</calculatedColumnFormula>
    </tableColumn>
    <tableColumn id="4" name="Variance" totalsRowFunction="sum" dataDxfId="1087" totalsRowDxfId="1086" dataCellStyle="Currency">
      <calculatedColumnFormula>Table13756[[#This Row],[Budget]]-Table13756[[#This Row],[Actual]]</calculatedColumnFormula>
    </tableColumn>
  </tableColumns>
  <tableStyleInfo name="TableStyleLight20" showFirstColumn="0" showLastColumn="0" showRowStripes="1" showColumnStripes="0"/>
</table>
</file>

<file path=xl/tables/table46.xml><?xml version="1.0" encoding="utf-8"?>
<table xmlns="http://schemas.openxmlformats.org/spreadsheetml/2006/main" id="56" name="Table13857" displayName="Table13857" ref="C57:F60" totalsRowCount="1" headerRowDxfId="1085" dataDxfId="1084" totalsRowDxfId="1083">
  <autoFilter ref="C57:F59"/>
  <tableColumns count="4">
    <tableColumn id="1" name="Entertainment" totalsRowLabel="Total" dataDxfId="1082" totalsRowDxfId="1081"/>
    <tableColumn id="2" name="Budget" totalsRowFunction="sum" dataDxfId="1080" totalsRowDxfId="1079" dataCellStyle="Currency"/>
    <tableColumn id="3" name="Actual" totalsRowFunction="sum" dataDxfId="1078" totalsRowDxfId="1077" dataCellStyle="Currency">
      <calculatedColumnFormula>SUMIFS(Table454[Amount],Table454[Category],Table13857[[#Headers],[Entertainment]],Table454[Sub-Category],Table13857[[#This Row],[Entertainment]])+SUMIFS(Table4460[Amount],Table4460[Category],Table13857[[#Headers],[Entertainment]],Table4460[Sub-Category],Table13857[[#This Row],[Entertainment]])</calculatedColumnFormula>
    </tableColumn>
    <tableColumn id="4" name="Variance" totalsRowFunction="sum" dataDxfId="1076" totalsRowDxfId="1075" dataCellStyle="Currency">
      <calculatedColumnFormula>Table13857[[#This Row],[Budget]]-Table13857[[#This Row],[Actual]]</calculatedColumnFormula>
    </tableColumn>
  </tableColumns>
  <tableStyleInfo name="TableStyleLight20" showFirstColumn="0" showLastColumn="0" showRowStripes="1" showColumnStripes="0"/>
</table>
</file>

<file path=xl/tables/table47.xml><?xml version="1.0" encoding="utf-8"?>
<table xmlns="http://schemas.openxmlformats.org/spreadsheetml/2006/main" id="57" name="Table13958" displayName="Table13958" ref="C63:F66" totalsRowCount="1" headerRowDxfId="1074" dataDxfId="1073" totalsRowDxfId="1072">
  <autoFilter ref="C63:F65"/>
  <tableColumns count="4">
    <tableColumn id="1" name="Misc." totalsRowLabel="Total" dataDxfId="1071" totalsRowDxfId="1070"/>
    <tableColumn id="2" name="Budget" totalsRowFunction="sum" dataDxfId="1069" totalsRowDxfId="1068" dataCellStyle="Currency"/>
    <tableColumn id="3" name="Actual" totalsRowFunction="sum" dataDxfId="1067" totalsRowDxfId="1066" dataCellStyle="Currency">
      <calculatedColumnFormula>SUMIFS(Table454[Amount],Table454[Category],Table13958[[#Headers],[Misc.]],Table454[Sub-Category],Table13958[[#This Row],[Misc.]])+SUMIFS(Table4460[Amount],Table4460[Category],Table13958[[#Headers],[Misc.]],Table4460[Sub-Category],Table13958[[#This Row],[Misc.]])</calculatedColumnFormula>
    </tableColumn>
    <tableColumn id="4" name="Variance" totalsRowFunction="sum" dataDxfId="1065" totalsRowDxfId="1064" dataCellStyle="Currency">
      <calculatedColumnFormula>Table13958[[#This Row],[Budget]]-Table13958[[#This Row],[Actual]]</calculatedColumnFormula>
    </tableColumn>
  </tableColumns>
  <tableStyleInfo name="TableStyleLight20" showFirstColumn="0" showLastColumn="0" showRowStripes="1" showColumnStripes="0"/>
</table>
</file>

<file path=xl/tables/table48.xml><?xml version="1.0" encoding="utf-8"?>
<table xmlns="http://schemas.openxmlformats.org/spreadsheetml/2006/main" id="58" name="Table1391059" displayName="Table1391059" ref="C40:F46" totalsRowCount="1" headerRowDxfId="1063" dataDxfId="1062" totalsRowDxfId="1061">
  <autoFilter ref="C40:F45"/>
  <tableColumns count="4">
    <tableColumn id="1" name="Bills" totalsRowLabel="Total" dataDxfId="1060" totalsRowDxfId="1059"/>
    <tableColumn id="2" name="Budget" totalsRowFunction="sum" dataDxfId="1058" totalsRowDxfId="1057" dataCellStyle="Currency"/>
    <tableColumn id="3" name="Actual" totalsRowFunction="sum" dataDxfId="1056" totalsRowDxfId="1055" dataCellStyle="Currency">
      <calculatedColumnFormula>SUMIFS(Table454[Amount],Table454[Category],Table1391059[[#Headers],[Bills]],Table454[Sub-Category],Table1391059[[#This Row],[Bills]])+SUMIFS(Table4460[Amount],Table4460[Category],Table1391059[[#Headers],[Bills]],Table4460[Sub-Category],Table1391059[[#This Row],[Bills]])</calculatedColumnFormula>
    </tableColumn>
    <tableColumn id="4" name="Variance" totalsRowFunction="sum" dataDxfId="1054" totalsRowDxfId="1053" dataCellStyle="Currency">
      <calculatedColumnFormula>Table1391059[[#This Row],[Budget]]-Table1391059[[#This Row],[Actual]]</calculatedColumnFormula>
    </tableColumn>
  </tableColumns>
  <tableStyleInfo name="TableStyleLight20" showFirstColumn="0" showLastColumn="0" showRowStripes="1" showColumnStripes="0"/>
</table>
</file>

<file path=xl/tables/table49.xml><?xml version="1.0" encoding="utf-8"?>
<table xmlns="http://schemas.openxmlformats.org/spreadsheetml/2006/main" id="59" name="Table4460" displayName="Table4460" ref="J34:O40" totalsRowShown="0" headerRowDxfId="1052" dataDxfId="1051">
  <autoFilter ref="J34:O40"/>
  <tableColumns count="6">
    <tableColumn id="1" name="Description" dataDxfId="1050" totalsRowDxfId="1049"/>
    <tableColumn id="2" name="Category" dataDxfId="1048" totalsRowDxfId="1047"/>
    <tableColumn id="3" name="Sub-Category" dataDxfId="1046" totalsRowDxfId="1045"/>
    <tableColumn id="4" name="Date" dataDxfId="1044" totalsRowDxfId="1043"/>
    <tableColumn id="5" name="Amount" dataDxfId="1042" totalsRowDxfId="1041" dataCellStyle="Currency"/>
    <tableColumn id="6" name="Status" dataDxfId="1040" totalsRowDxfId="1039"/>
  </tableColumns>
  <tableStyleInfo name="TableStyleLight20" showFirstColumn="0" showLastColumn="0" showRowStripes="1" showColumnStripes="0"/>
</table>
</file>

<file path=xl/tables/table50.xml><?xml version="1.0" encoding="utf-8"?>
<table xmlns="http://schemas.openxmlformats.org/spreadsheetml/2006/main" id="60" name="Table442061" displayName="Table442061" ref="J11:O15" totalsRowShown="0" headerRowDxfId="1038" dataDxfId="1037">
  <autoFilter ref="J11:O15"/>
  <sortState ref="J12:O15">
    <sortCondition ref="M11:M15"/>
  </sortState>
  <tableColumns count="6">
    <tableColumn id="1" name="Description" dataDxfId="1036" totalsRowDxfId="1035"/>
    <tableColumn id="2" name="Category" dataDxfId="1034" totalsRowDxfId="1033"/>
    <tableColumn id="3" name="Sub-Category" dataDxfId="1032" totalsRowDxfId="1031"/>
    <tableColumn id="4" name="Date" dataDxfId="1030" totalsRowDxfId="1029"/>
    <tableColumn id="5" name="Amount" dataDxfId="1028" totalsRowDxfId="1027" dataCellStyle="Currency"/>
    <tableColumn id="6" name="Status" dataDxfId="1026" totalsRowDxfId="1025"/>
  </tableColumns>
  <tableStyleInfo name="TableStyleLight20" showFirstColumn="0" showLastColumn="0" showRowStripes="1" showColumnStripes="0"/>
</table>
</file>

<file path=xl/tables/table51.xml><?xml version="1.0" encoding="utf-8"?>
<table xmlns="http://schemas.openxmlformats.org/spreadsheetml/2006/main" id="61" name="Table162" displayName="Table162" ref="C19:F29" totalsRowCount="1" headerRowDxfId="1024" dataDxfId="1023" totalsRowDxfId="1022">
  <autoFilter ref="C19:F28"/>
  <tableColumns count="4">
    <tableColumn id="1" name="Housing" totalsRowLabel="Total" dataDxfId="1021" totalsRowDxfId="1020"/>
    <tableColumn id="2" name="Budget" totalsRowFunction="sum" dataDxfId="1019" totalsRowDxfId="1018" dataCellStyle="Currency"/>
    <tableColumn id="3" name="Actual" totalsRowFunction="sum" dataDxfId="1017" totalsRowDxfId="1016" dataCellStyle="Currency">
      <calculatedColumnFormula>SUMIFS(Table464[Amount],Table464[Category],Table162[[#Headers],[Housing]],Table464[Sub-Category],Table162[[#This Row],[Housing]])+SUMIFS(Table4470[Amount],Table4470[Category],Table162[[#Headers],[Housing]],Table4470[Sub-Category],Table162[[#This Row],[Housing]])</calculatedColumnFormula>
    </tableColumn>
    <tableColumn id="6" name="Variance" totalsRowFunction="sum" dataDxfId="1015" totalsRowDxfId="1014" dataCellStyle="Currency">
      <calculatedColumnFormula>Table162[[#This Row],[Budget]]-Table162[[#This Row],[Actual]]</calculatedColumnFormula>
    </tableColumn>
  </tableColumns>
  <tableStyleInfo name="TableStyleLight20" showFirstColumn="0" showLastColumn="0" showRowStripes="1" showColumnStripes="0"/>
</table>
</file>

<file path=xl/tables/table52.xml><?xml version="1.0" encoding="utf-8"?>
<table xmlns="http://schemas.openxmlformats.org/spreadsheetml/2006/main" id="62" name="Table1363" displayName="Table1363" ref="C32:F37" totalsRowCount="1" headerRowDxfId="1013" dataDxfId="1012" totalsRowDxfId="1011">
  <autoFilter ref="C32:F36"/>
  <tableColumns count="4">
    <tableColumn id="1" name="Transportation" totalsRowLabel="Total" dataDxfId="1010" totalsRowDxfId="1009"/>
    <tableColumn id="2" name="Budget" totalsRowFunction="sum" dataDxfId="1008" totalsRowDxfId="1007" dataCellStyle="Currency"/>
    <tableColumn id="3" name="Actual" totalsRowFunction="sum" dataDxfId="1006" totalsRowDxfId="1005" dataCellStyle="Currency">
      <calculatedColumnFormula>SUMIFS(Table464[Amount],Table464[Category],Table1363[[#Headers],[Transportation]],Table464[Sub-Category],Table1363[[#This Row],[Transportation]])+SUMIFS(Table4470[Amount],Table4470[Category],Table1363[[#Headers],[Transportation]],Table4470[Sub-Category],Table1363[[#This Row],[Transportation]])</calculatedColumnFormula>
    </tableColumn>
    <tableColumn id="4" name="Variance" totalsRowFunction="sum" dataDxfId="1004" totalsRowDxfId="1003" dataCellStyle="Currency">
      <calculatedColumnFormula>Table1363[[#This Row],[Budget]]-Table1363[[#This Row],[Actual]]</calculatedColumnFormula>
    </tableColumn>
  </tableColumns>
  <tableStyleInfo name="TableStyleLight20" showFirstColumn="0" showLastColumn="0" showRowStripes="1" showColumnStripes="0"/>
</table>
</file>

<file path=xl/tables/table53.xml><?xml version="1.0" encoding="utf-8"?>
<table xmlns="http://schemas.openxmlformats.org/spreadsheetml/2006/main" id="63" name="Table464" displayName="Table464" ref="J18:O31" totalsRowShown="0" headerRowDxfId="1002" dataDxfId="1001">
  <autoFilter ref="J18:O31"/>
  <sortState ref="J19:O31">
    <sortCondition ref="M18:M31"/>
  </sortState>
  <tableColumns count="6">
    <tableColumn id="1" name="Description" dataDxfId="1000" totalsRowDxfId="999"/>
    <tableColumn id="2" name="Category" dataDxfId="998" totalsRowDxfId="997"/>
    <tableColumn id="3" name="Sub-Category" dataDxfId="996" totalsRowDxfId="995"/>
    <tableColumn id="4" name="Date" dataDxfId="994" totalsRowDxfId="993"/>
    <tableColumn id="5" name="Amount" dataDxfId="992" totalsRowDxfId="991" dataCellStyle="Currency"/>
    <tableColumn id="6" name="Status" dataDxfId="990" totalsRowDxfId="989"/>
  </tableColumns>
  <tableStyleInfo name="TableStyleLight20" showFirstColumn="0" showLastColumn="0" showRowStripes="1" showColumnStripes="0"/>
</table>
</file>

<file path=xl/tables/table54.xml><?xml version="1.0" encoding="utf-8"?>
<table xmlns="http://schemas.openxmlformats.org/spreadsheetml/2006/main" id="64" name="Table13665" displayName="Table13665" ref="C11:F16" totalsRowCount="1" headerRowDxfId="988" dataDxfId="987" totalsRowDxfId="986">
  <autoFilter ref="C11:F15"/>
  <tableColumns count="4">
    <tableColumn id="1" name="Income" totalsRowLabel="Total" dataDxfId="985" totalsRowDxfId="984"/>
    <tableColumn id="2" name="Budget" totalsRowFunction="sum" dataDxfId="983" totalsRowDxfId="982" dataCellStyle="Currency"/>
    <tableColumn id="3" name="Actual" totalsRowFunction="sum" dataDxfId="981" totalsRowDxfId="980" dataCellStyle="Currency">
      <calculatedColumnFormula>SUMIFS(Table442071[Amount],Table442071[Category],Table13665[[#Headers],[Income]],Table442071[Sub-Category],Table13665[[#This Row],[Income]])+SUMIFS(Table4470[Amount],Table4470[Category],Table13665[[#Headers],[Income]],Table4470[Sub-Category],Table13665[[#This Row],[Income]])</calculatedColumnFormula>
    </tableColumn>
    <tableColumn id="4" name="Variance" totalsRowFunction="sum" dataDxfId="979" totalsRowDxfId="978" dataCellStyle="Currency">
      <calculatedColumnFormula>Table13665[[#This Row],[Actual]]-Table13665[[#This Row],[Budget]]</calculatedColumnFormula>
    </tableColumn>
  </tableColumns>
  <tableStyleInfo name="TableStyleLight20" showFirstColumn="0" showLastColumn="0" showRowStripes="1" showColumnStripes="0"/>
</table>
</file>

<file path=xl/tables/table55.xml><?xml version="1.0" encoding="utf-8"?>
<table xmlns="http://schemas.openxmlformats.org/spreadsheetml/2006/main" id="65" name="Table13766" displayName="Table13766" ref="C49:F54" totalsRowCount="1" headerRowDxfId="977" dataDxfId="976" totalsRowDxfId="975">
  <autoFilter ref="C49:F53"/>
  <tableColumns count="4">
    <tableColumn id="1" name="Living" totalsRowLabel="Total" dataDxfId="974" totalsRowDxfId="973"/>
    <tableColumn id="2" name="Budget" totalsRowFunction="sum" dataDxfId="972" totalsRowDxfId="971" dataCellStyle="Currency"/>
    <tableColumn id="3" name="Actual" totalsRowFunction="sum" dataDxfId="970" totalsRowDxfId="969" dataCellStyle="Currency">
      <calculatedColumnFormula>SUMIFS(Table464[Amount],Table464[Category],Table13766[[#Headers],[Living]],Table464[Sub-Category],Table13766[[#This Row],[Living]])+SUMIFS(Table4470[Amount],Table4470[Category],Table13766[[#Headers],[Living]],Table4470[Sub-Category],Table13766[[#This Row],[Living]])</calculatedColumnFormula>
    </tableColumn>
    <tableColumn id="4" name="Variance" totalsRowFunction="sum" dataDxfId="968" totalsRowDxfId="967" dataCellStyle="Currency">
      <calculatedColumnFormula>Table13766[[#This Row],[Budget]]-Table13766[[#This Row],[Actual]]</calculatedColumnFormula>
    </tableColumn>
  </tableColumns>
  <tableStyleInfo name="TableStyleLight20" showFirstColumn="0" showLastColumn="0" showRowStripes="1" showColumnStripes="0"/>
</table>
</file>

<file path=xl/tables/table56.xml><?xml version="1.0" encoding="utf-8"?>
<table xmlns="http://schemas.openxmlformats.org/spreadsheetml/2006/main" id="66" name="Table13867" displayName="Table13867" ref="C57:F60" totalsRowCount="1" headerRowDxfId="966" dataDxfId="965" totalsRowDxfId="964">
  <autoFilter ref="C57:F59"/>
  <tableColumns count="4">
    <tableColumn id="1" name="Entertainment" totalsRowLabel="Total" dataDxfId="963" totalsRowDxfId="962"/>
    <tableColumn id="2" name="Budget" totalsRowFunction="sum" dataDxfId="961" totalsRowDxfId="960" dataCellStyle="Currency"/>
    <tableColumn id="3" name="Actual" totalsRowFunction="sum" dataDxfId="959" totalsRowDxfId="958" dataCellStyle="Currency">
      <calculatedColumnFormula>SUMIFS(Table464[Amount],Table464[Category],Table13867[[#Headers],[Entertainment]],Table464[Sub-Category],Table13867[[#This Row],[Entertainment]])+SUMIFS(Table4470[Amount],Table4470[Category],Table13867[[#Headers],[Entertainment]],Table4470[Sub-Category],Table13867[[#This Row],[Entertainment]])</calculatedColumnFormula>
    </tableColumn>
    <tableColumn id="4" name="Variance" totalsRowFunction="sum" dataDxfId="957" totalsRowDxfId="956" dataCellStyle="Currency">
      <calculatedColumnFormula>Table13867[[#This Row],[Budget]]-Table13867[[#This Row],[Actual]]</calculatedColumnFormula>
    </tableColumn>
  </tableColumns>
  <tableStyleInfo name="TableStyleLight20" showFirstColumn="0" showLastColumn="0" showRowStripes="1" showColumnStripes="0"/>
</table>
</file>

<file path=xl/tables/table57.xml><?xml version="1.0" encoding="utf-8"?>
<table xmlns="http://schemas.openxmlformats.org/spreadsheetml/2006/main" id="67" name="Table13968" displayName="Table13968" ref="C63:F66" totalsRowCount="1" headerRowDxfId="955" dataDxfId="954" totalsRowDxfId="953">
  <autoFilter ref="C63:F65"/>
  <tableColumns count="4">
    <tableColumn id="1" name="Misc." totalsRowLabel="Total" dataDxfId="952" totalsRowDxfId="951"/>
    <tableColumn id="2" name="Budget" totalsRowFunction="sum" dataDxfId="950" totalsRowDxfId="949" dataCellStyle="Currency"/>
    <tableColumn id="3" name="Actual" totalsRowFunction="sum" dataDxfId="948" totalsRowDxfId="947" dataCellStyle="Currency">
      <calculatedColumnFormula>SUMIFS(Table464[Amount],Table464[Category],Table13968[[#Headers],[Misc.]],Table464[Sub-Category],Table13968[[#This Row],[Misc.]])+SUMIFS(Table4470[Amount],Table4470[Category],Table13968[[#Headers],[Misc.]],Table4470[Sub-Category],Table13968[[#This Row],[Misc.]])</calculatedColumnFormula>
    </tableColumn>
    <tableColumn id="4" name="Variance" totalsRowFunction="sum" dataDxfId="946" totalsRowDxfId="945" dataCellStyle="Currency">
      <calculatedColumnFormula>Table13968[[#This Row],[Budget]]-Table13968[[#This Row],[Actual]]</calculatedColumnFormula>
    </tableColumn>
  </tableColumns>
  <tableStyleInfo name="TableStyleLight20" showFirstColumn="0" showLastColumn="0" showRowStripes="1" showColumnStripes="0"/>
</table>
</file>

<file path=xl/tables/table58.xml><?xml version="1.0" encoding="utf-8"?>
<table xmlns="http://schemas.openxmlformats.org/spreadsheetml/2006/main" id="68" name="Table1391069" displayName="Table1391069" ref="C40:F46" totalsRowCount="1" headerRowDxfId="944" dataDxfId="943" totalsRowDxfId="942">
  <autoFilter ref="C40:F45"/>
  <tableColumns count="4">
    <tableColumn id="1" name="Bills" totalsRowLabel="Total" dataDxfId="941" totalsRowDxfId="940"/>
    <tableColumn id="2" name="Budget" totalsRowFunction="sum" dataDxfId="939" totalsRowDxfId="938" dataCellStyle="Currency"/>
    <tableColumn id="3" name="Actual" totalsRowFunction="sum" dataDxfId="937" totalsRowDxfId="936" dataCellStyle="Currency">
      <calculatedColumnFormula>SUMIFS(Table464[Amount],Table464[Category],Table1391069[[#Headers],[Bills]],Table464[Sub-Category],Table1391069[[#This Row],[Bills]])+SUMIFS(Table4470[Amount],Table4470[Category],Table1391069[[#Headers],[Bills]],Table4470[Sub-Category],Table1391069[[#This Row],[Bills]])</calculatedColumnFormula>
    </tableColumn>
    <tableColumn id="4" name="Variance" totalsRowFunction="sum" dataDxfId="935" totalsRowDxfId="934" dataCellStyle="Currency">
      <calculatedColumnFormula>Table1391069[[#This Row],[Budget]]-Table1391069[[#This Row],[Actual]]</calculatedColumnFormula>
    </tableColumn>
  </tableColumns>
  <tableStyleInfo name="TableStyleLight20" showFirstColumn="0" showLastColumn="0" showRowStripes="1" showColumnStripes="0"/>
</table>
</file>

<file path=xl/tables/table59.xml><?xml version="1.0" encoding="utf-8"?>
<table xmlns="http://schemas.openxmlformats.org/spreadsheetml/2006/main" id="69" name="Table4470" displayName="Table4470" ref="J34:O40" totalsRowShown="0" headerRowDxfId="933" dataDxfId="932">
  <autoFilter ref="J34:O40"/>
  <tableColumns count="6">
    <tableColumn id="1" name="Description" dataDxfId="931" totalsRowDxfId="930"/>
    <tableColumn id="2" name="Category" dataDxfId="929" totalsRowDxfId="928"/>
    <tableColumn id="3" name="Sub-Category" dataDxfId="927" totalsRowDxfId="926"/>
    <tableColumn id="4" name="Date" dataDxfId="925" totalsRowDxfId="924"/>
    <tableColumn id="5" name="Amount" dataDxfId="923" totalsRowDxfId="922" dataCellStyle="Currency"/>
    <tableColumn id="6" name="Status" dataDxfId="921" totalsRowDxfId="920"/>
  </tableColumns>
  <tableStyleInfo name="TableStyleLight20" showFirstColumn="0" showLastColumn="0" showRowStripes="1" showColumnStripes="0"/>
</table>
</file>

<file path=xl/tables/table60.xml><?xml version="1.0" encoding="utf-8"?>
<table xmlns="http://schemas.openxmlformats.org/spreadsheetml/2006/main" id="70" name="Table442071" displayName="Table442071" ref="J11:O15" totalsRowShown="0" headerRowDxfId="919" dataDxfId="918">
  <autoFilter ref="J11:O15"/>
  <sortState ref="J12:O15">
    <sortCondition ref="M11:M15"/>
  </sortState>
  <tableColumns count="6">
    <tableColumn id="1" name="Description" dataDxfId="917" totalsRowDxfId="916"/>
    <tableColumn id="2" name="Category" dataDxfId="915" totalsRowDxfId="914"/>
    <tableColumn id="3" name="Sub-Category" dataDxfId="913" totalsRowDxfId="912"/>
    <tableColumn id="4" name="Date" dataDxfId="911" totalsRowDxfId="910"/>
    <tableColumn id="5" name="Amount" dataDxfId="909" totalsRowDxfId="908" dataCellStyle="Currency"/>
    <tableColumn id="6" name="Status" dataDxfId="907" totalsRowDxfId="906"/>
  </tableColumns>
  <tableStyleInfo name="TableStyleLight20" showFirstColumn="0" showLastColumn="0" showRowStripes="1" showColumnStripes="0"/>
</table>
</file>

<file path=xl/tables/table61.xml><?xml version="1.0" encoding="utf-8"?>
<table xmlns="http://schemas.openxmlformats.org/spreadsheetml/2006/main" id="71" name="Table172" displayName="Table172" ref="C19:F29" totalsRowCount="1" headerRowDxfId="905" dataDxfId="904" totalsRowDxfId="903">
  <autoFilter ref="C19:F28"/>
  <tableColumns count="4">
    <tableColumn id="1" name="Housing" totalsRowLabel="Total" dataDxfId="902" totalsRowDxfId="901"/>
    <tableColumn id="2" name="Budget" totalsRowFunction="sum" dataDxfId="900" totalsRowDxfId="899" dataCellStyle="Currency"/>
    <tableColumn id="3" name="Actual" totalsRowFunction="sum" dataDxfId="898" totalsRowDxfId="897" dataCellStyle="Currency">
      <calculatedColumnFormula>SUMIFS(Table474[Amount],Table474[Category],Table172[[#Headers],[Housing]],Table474[Sub-Category],Table172[[#This Row],[Housing]])+SUMIFS(Table4480[Amount],Table4480[Category],Table172[[#Headers],[Housing]],Table4480[Sub-Category],Table172[[#This Row],[Housing]])</calculatedColumnFormula>
    </tableColumn>
    <tableColumn id="6" name="Variance" totalsRowFunction="sum" dataDxfId="896" totalsRowDxfId="895" dataCellStyle="Currency">
      <calculatedColumnFormula>Table172[[#This Row],[Budget]]-Table172[[#This Row],[Actual]]</calculatedColumnFormula>
    </tableColumn>
  </tableColumns>
  <tableStyleInfo name="TableStyleLight20" showFirstColumn="0" showLastColumn="0" showRowStripes="1" showColumnStripes="0"/>
</table>
</file>

<file path=xl/tables/table62.xml><?xml version="1.0" encoding="utf-8"?>
<table xmlns="http://schemas.openxmlformats.org/spreadsheetml/2006/main" id="72" name="Table1373" displayName="Table1373" ref="C32:F37" totalsRowCount="1" headerRowDxfId="894" dataDxfId="893" totalsRowDxfId="892">
  <autoFilter ref="C32:F36"/>
  <tableColumns count="4">
    <tableColumn id="1" name="Transportation" totalsRowLabel="Total" dataDxfId="891" totalsRowDxfId="890"/>
    <tableColumn id="2" name="Budget" totalsRowFunction="sum" dataDxfId="889" totalsRowDxfId="888" dataCellStyle="Currency"/>
    <tableColumn id="3" name="Actual" totalsRowFunction="sum" dataDxfId="887" totalsRowDxfId="886" dataCellStyle="Currency">
      <calculatedColumnFormula>SUMIFS(Table474[Amount],Table474[Category],Table1373[[#Headers],[Transportation]],Table474[Sub-Category],Table1373[[#This Row],[Transportation]])+SUMIFS(Table4480[Amount],Table4480[Category],Table1373[[#Headers],[Transportation]],Table4480[Sub-Category],Table1373[[#This Row],[Transportation]])</calculatedColumnFormula>
    </tableColumn>
    <tableColumn id="4" name="Variance" totalsRowFunction="sum" dataDxfId="885" totalsRowDxfId="884" dataCellStyle="Currency">
      <calculatedColumnFormula>Table1373[[#This Row],[Budget]]-Table1373[[#This Row],[Actual]]</calculatedColumnFormula>
    </tableColumn>
  </tableColumns>
  <tableStyleInfo name="TableStyleLight20" showFirstColumn="0" showLastColumn="0" showRowStripes="1" showColumnStripes="0"/>
</table>
</file>

<file path=xl/tables/table63.xml><?xml version="1.0" encoding="utf-8"?>
<table xmlns="http://schemas.openxmlformats.org/spreadsheetml/2006/main" id="73" name="Table474" displayName="Table474" ref="J18:O31" totalsRowShown="0" headerRowDxfId="883" dataDxfId="882">
  <autoFilter ref="J18:O31"/>
  <sortState ref="J19:O31">
    <sortCondition ref="M18:M31"/>
  </sortState>
  <tableColumns count="6">
    <tableColumn id="1" name="Description" dataDxfId="881" totalsRowDxfId="880"/>
    <tableColumn id="2" name="Category" dataDxfId="879" totalsRowDxfId="878"/>
    <tableColumn id="3" name="Sub-Category" dataDxfId="877" totalsRowDxfId="876"/>
    <tableColumn id="4" name="Date" dataDxfId="875" totalsRowDxfId="874"/>
    <tableColumn id="5" name="Amount" dataDxfId="873" totalsRowDxfId="872" dataCellStyle="Currency"/>
    <tableColumn id="6" name="Status" dataDxfId="871" totalsRowDxfId="870"/>
  </tableColumns>
  <tableStyleInfo name="TableStyleLight20" showFirstColumn="0" showLastColumn="0" showRowStripes="1" showColumnStripes="0"/>
</table>
</file>

<file path=xl/tables/table64.xml><?xml version="1.0" encoding="utf-8"?>
<table xmlns="http://schemas.openxmlformats.org/spreadsheetml/2006/main" id="74" name="Table13675" displayName="Table13675" ref="C11:F16" totalsRowCount="1" headerRowDxfId="869" dataDxfId="868" totalsRowDxfId="867">
  <autoFilter ref="C11:F15"/>
  <tableColumns count="4">
    <tableColumn id="1" name="Income" totalsRowLabel="Total" dataDxfId="866" totalsRowDxfId="865"/>
    <tableColumn id="2" name="Budget" totalsRowFunction="sum" dataDxfId="864" totalsRowDxfId="863" dataCellStyle="Currency"/>
    <tableColumn id="3" name="Actual" totalsRowFunction="sum" dataDxfId="862" totalsRowDxfId="861" dataCellStyle="Currency">
      <calculatedColumnFormula>SUMIFS(Table442081[Amount],Table442081[Category],Table13675[[#Headers],[Income]],Table442081[Sub-Category],Table13675[[#This Row],[Income]])+SUMIFS(Table4480[Amount],Table4480[Category],Table13675[[#Headers],[Income]],Table4480[Sub-Category],Table13675[[#This Row],[Income]])</calculatedColumnFormula>
    </tableColumn>
    <tableColumn id="4" name="Variance" totalsRowFunction="sum" dataDxfId="860" totalsRowDxfId="859" dataCellStyle="Currency">
      <calculatedColumnFormula>Table13675[[#This Row],[Actual]]-Table13675[[#This Row],[Budget]]</calculatedColumnFormula>
    </tableColumn>
  </tableColumns>
  <tableStyleInfo name="TableStyleLight20" showFirstColumn="0" showLastColumn="0" showRowStripes="1" showColumnStripes="0"/>
</table>
</file>

<file path=xl/tables/table65.xml><?xml version="1.0" encoding="utf-8"?>
<table xmlns="http://schemas.openxmlformats.org/spreadsheetml/2006/main" id="75" name="Table13776" displayName="Table13776" ref="C49:F54" totalsRowCount="1" headerRowDxfId="858" dataDxfId="857" totalsRowDxfId="856">
  <autoFilter ref="C49:F53"/>
  <tableColumns count="4">
    <tableColumn id="1" name="Living" totalsRowLabel="Total" dataDxfId="855" totalsRowDxfId="854"/>
    <tableColumn id="2" name="Budget" totalsRowFunction="sum" dataDxfId="853" totalsRowDxfId="852" dataCellStyle="Currency"/>
    <tableColumn id="3" name="Actual" totalsRowFunction="sum" dataDxfId="851" totalsRowDxfId="850" dataCellStyle="Currency">
      <calculatedColumnFormula>SUMIFS(Table474[Amount],Table474[Category],Table13776[[#Headers],[Living]],Table474[Sub-Category],Table13776[[#This Row],[Living]])+SUMIFS(Table4480[Amount],Table4480[Category],Table13776[[#Headers],[Living]],Table4480[Sub-Category],Table13776[[#This Row],[Living]])</calculatedColumnFormula>
    </tableColumn>
    <tableColumn id="4" name="Variance" totalsRowFunction="sum" dataDxfId="849" totalsRowDxfId="848" dataCellStyle="Currency">
      <calculatedColumnFormula>Table13776[[#This Row],[Budget]]-Table13776[[#This Row],[Actual]]</calculatedColumnFormula>
    </tableColumn>
  </tableColumns>
  <tableStyleInfo name="TableStyleLight20" showFirstColumn="0" showLastColumn="0" showRowStripes="1" showColumnStripes="0"/>
</table>
</file>

<file path=xl/tables/table66.xml><?xml version="1.0" encoding="utf-8"?>
<table xmlns="http://schemas.openxmlformats.org/spreadsheetml/2006/main" id="76" name="Table13877" displayName="Table13877" ref="C57:F60" totalsRowCount="1" headerRowDxfId="847" dataDxfId="846" totalsRowDxfId="845">
  <autoFilter ref="C57:F59"/>
  <tableColumns count="4">
    <tableColumn id="1" name="Entertainment" totalsRowLabel="Total" dataDxfId="844" totalsRowDxfId="843"/>
    <tableColumn id="2" name="Budget" totalsRowFunction="sum" dataDxfId="842" totalsRowDxfId="841" dataCellStyle="Currency"/>
    <tableColumn id="3" name="Actual" totalsRowFunction="sum" dataDxfId="840" totalsRowDxfId="839" dataCellStyle="Currency">
      <calculatedColumnFormula>SUMIFS(Table474[Amount],Table474[Category],Table13877[[#Headers],[Entertainment]],Table474[Sub-Category],Table13877[[#This Row],[Entertainment]])+SUMIFS(Table4480[Amount],Table4480[Category],Table13877[[#Headers],[Entertainment]],Table4480[Sub-Category],Table13877[[#This Row],[Entertainment]])</calculatedColumnFormula>
    </tableColumn>
    <tableColumn id="4" name="Variance" totalsRowFunction="sum" dataDxfId="838" totalsRowDxfId="837" dataCellStyle="Currency">
      <calculatedColumnFormula>Table13877[[#This Row],[Budget]]-Table13877[[#This Row],[Actual]]</calculatedColumnFormula>
    </tableColumn>
  </tableColumns>
  <tableStyleInfo name="TableStyleLight20" showFirstColumn="0" showLastColumn="0" showRowStripes="1" showColumnStripes="0"/>
</table>
</file>

<file path=xl/tables/table67.xml><?xml version="1.0" encoding="utf-8"?>
<table xmlns="http://schemas.openxmlformats.org/spreadsheetml/2006/main" id="77" name="Table13978" displayName="Table13978" ref="C63:F66" totalsRowCount="1" headerRowDxfId="836" dataDxfId="835" totalsRowDxfId="834">
  <autoFilter ref="C63:F65"/>
  <tableColumns count="4">
    <tableColumn id="1" name="Misc." totalsRowLabel="Total" dataDxfId="833" totalsRowDxfId="832"/>
    <tableColumn id="2" name="Budget" totalsRowFunction="sum" dataDxfId="831" totalsRowDxfId="830" dataCellStyle="Currency"/>
    <tableColumn id="3" name="Actual" totalsRowFunction="sum" dataDxfId="829" totalsRowDxfId="828" dataCellStyle="Currency">
      <calculatedColumnFormula>SUMIFS(Table474[Amount],Table474[Category],Table13978[[#Headers],[Misc.]],Table474[Sub-Category],Table13978[[#This Row],[Misc.]])+SUMIFS(Table4480[Amount],Table4480[Category],Table13978[[#Headers],[Misc.]],Table4480[Sub-Category],Table13978[[#This Row],[Misc.]])</calculatedColumnFormula>
    </tableColumn>
    <tableColumn id="4" name="Variance" totalsRowFunction="sum" dataDxfId="827" totalsRowDxfId="826" dataCellStyle="Currency">
      <calculatedColumnFormula>Table13978[[#This Row],[Budget]]-Table13978[[#This Row],[Actual]]</calculatedColumnFormula>
    </tableColumn>
  </tableColumns>
  <tableStyleInfo name="TableStyleLight20" showFirstColumn="0" showLastColumn="0" showRowStripes="1" showColumnStripes="0"/>
</table>
</file>

<file path=xl/tables/table68.xml><?xml version="1.0" encoding="utf-8"?>
<table xmlns="http://schemas.openxmlformats.org/spreadsheetml/2006/main" id="78" name="Table1391079" displayName="Table1391079" ref="C40:F46" totalsRowCount="1" headerRowDxfId="825" dataDxfId="824" totalsRowDxfId="823">
  <autoFilter ref="C40:F45"/>
  <tableColumns count="4">
    <tableColumn id="1" name="Bills" totalsRowLabel="Total" dataDxfId="822" totalsRowDxfId="821"/>
    <tableColumn id="2" name="Budget" totalsRowFunction="sum" dataDxfId="820" totalsRowDxfId="819" dataCellStyle="Currency"/>
    <tableColumn id="3" name="Actual" totalsRowFunction="sum" dataDxfId="818" totalsRowDxfId="817" dataCellStyle="Currency">
      <calculatedColumnFormula>SUMIFS(Table474[Amount],Table474[Category],Table1391079[[#Headers],[Bills]],Table474[Sub-Category],Table1391079[[#This Row],[Bills]])+SUMIFS(Table4480[Amount],Table4480[Category],Table1391079[[#Headers],[Bills]],Table4480[Sub-Category],Table1391079[[#This Row],[Bills]])</calculatedColumnFormula>
    </tableColumn>
    <tableColumn id="4" name="Variance" totalsRowFunction="sum" dataDxfId="816" totalsRowDxfId="815" dataCellStyle="Currency">
      <calculatedColumnFormula>Table1391079[[#This Row],[Budget]]-Table1391079[[#This Row],[Actual]]</calculatedColumnFormula>
    </tableColumn>
  </tableColumns>
  <tableStyleInfo name="TableStyleLight20" showFirstColumn="0" showLastColumn="0" showRowStripes="1" showColumnStripes="0"/>
</table>
</file>

<file path=xl/tables/table69.xml><?xml version="1.0" encoding="utf-8"?>
<table xmlns="http://schemas.openxmlformats.org/spreadsheetml/2006/main" id="79" name="Table4480" displayName="Table4480" ref="J34:O40" totalsRowShown="0" headerRowDxfId="814" dataDxfId="813">
  <autoFilter ref="J34:O40"/>
  <tableColumns count="6">
    <tableColumn id="1" name="Description" dataDxfId="812" totalsRowDxfId="811"/>
    <tableColumn id="2" name="Category" dataDxfId="810" totalsRowDxfId="809"/>
    <tableColumn id="3" name="Sub-Category" dataDxfId="808" totalsRowDxfId="807"/>
    <tableColumn id="4" name="Date" dataDxfId="806" totalsRowDxfId="805"/>
    <tableColumn id="5" name="Amount" dataDxfId="804" totalsRowDxfId="803" dataCellStyle="Currency"/>
    <tableColumn id="6" name="Status" dataDxfId="802" totalsRowDxfId="801"/>
  </tableColumns>
  <tableStyleInfo name="TableStyleLight20" showFirstColumn="0" showLastColumn="0" showRowStripes="1" showColumnStripes="0"/>
</table>
</file>

<file path=xl/tables/table70.xml><?xml version="1.0" encoding="utf-8"?>
<table xmlns="http://schemas.openxmlformats.org/spreadsheetml/2006/main" id="80" name="Table442081" displayName="Table442081" ref="J11:O15" totalsRowShown="0" headerRowDxfId="800" dataDxfId="799">
  <autoFilter ref="J11:O15"/>
  <sortState ref="J12:O15">
    <sortCondition ref="M11:M15"/>
  </sortState>
  <tableColumns count="6">
    <tableColumn id="1" name="Description" dataDxfId="798" totalsRowDxfId="797"/>
    <tableColumn id="2" name="Category" dataDxfId="796" totalsRowDxfId="795"/>
    <tableColumn id="3" name="Sub-Category" dataDxfId="794" totalsRowDxfId="793"/>
    <tableColumn id="4" name="Date" dataDxfId="792" totalsRowDxfId="791"/>
    <tableColumn id="5" name="Amount" dataDxfId="790" totalsRowDxfId="789" dataCellStyle="Currency"/>
    <tableColumn id="6" name="Status" dataDxfId="788" totalsRowDxfId="787"/>
  </tableColumns>
  <tableStyleInfo name="TableStyleLight20" showFirstColumn="0" showLastColumn="0" showRowStripes="1" showColumnStripes="0"/>
</table>
</file>

<file path=xl/tables/table71.xml><?xml version="1.0" encoding="utf-8"?>
<table xmlns="http://schemas.openxmlformats.org/spreadsheetml/2006/main" id="81" name="Table182" displayName="Table182" ref="C19:F29" totalsRowCount="1" headerRowDxfId="786" dataDxfId="785" totalsRowDxfId="784">
  <autoFilter ref="C19:F28"/>
  <tableColumns count="4">
    <tableColumn id="1" name="Housing" totalsRowLabel="Total" dataDxfId="783" totalsRowDxfId="782"/>
    <tableColumn id="2" name="Budget" totalsRowFunction="sum" dataDxfId="781" totalsRowDxfId="780" dataCellStyle="Currency"/>
    <tableColumn id="3" name="Actual" totalsRowFunction="sum" dataDxfId="779" totalsRowDxfId="778" dataCellStyle="Currency">
      <calculatedColumnFormula>SUMIFS(Table484[Amount],Table484[Category],Table182[[#Headers],[Housing]],Table484[Sub-Category],Table182[[#This Row],[Housing]])+SUMIFS(Table4490[Amount],Table4490[Category],Table182[[#Headers],[Housing]],Table4490[Sub-Category],Table182[[#This Row],[Housing]])</calculatedColumnFormula>
    </tableColumn>
    <tableColumn id="6" name="Variance" totalsRowFunction="sum" dataDxfId="777" totalsRowDxfId="776" dataCellStyle="Currency">
      <calculatedColumnFormula>Table182[[#This Row],[Budget]]-Table182[[#This Row],[Actual]]</calculatedColumnFormula>
    </tableColumn>
  </tableColumns>
  <tableStyleInfo name="TableStyleLight20" showFirstColumn="0" showLastColumn="0" showRowStripes="1" showColumnStripes="0"/>
</table>
</file>

<file path=xl/tables/table72.xml><?xml version="1.0" encoding="utf-8"?>
<table xmlns="http://schemas.openxmlformats.org/spreadsheetml/2006/main" id="82" name="Table1383" displayName="Table1383" ref="C32:F37" totalsRowCount="1" headerRowDxfId="775" dataDxfId="774" totalsRowDxfId="773">
  <autoFilter ref="C32:F36"/>
  <tableColumns count="4">
    <tableColumn id="1" name="Transportation" totalsRowLabel="Total" dataDxfId="772" totalsRowDxfId="771"/>
    <tableColumn id="2" name="Budget" totalsRowFunction="sum" dataDxfId="770" totalsRowDxfId="769" dataCellStyle="Currency"/>
    <tableColumn id="3" name="Actual" totalsRowFunction="sum" dataDxfId="768" totalsRowDxfId="767" dataCellStyle="Currency">
      <calculatedColumnFormula>SUMIFS(Table484[Amount],Table484[Category],Table1383[[#Headers],[Transportation]],Table484[Sub-Category],Table1383[[#This Row],[Transportation]])+SUMIFS(Table4490[Amount],Table4490[Category],Table1383[[#Headers],[Transportation]],Table4490[Sub-Category],Table1383[[#This Row],[Transportation]])</calculatedColumnFormula>
    </tableColumn>
    <tableColumn id="4" name="Variance" totalsRowFunction="sum" dataDxfId="766" totalsRowDxfId="765" dataCellStyle="Currency">
      <calculatedColumnFormula>Table1383[[#This Row],[Budget]]-Table1383[[#This Row],[Actual]]</calculatedColumnFormula>
    </tableColumn>
  </tableColumns>
  <tableStyleInfo name="TableStyleLight20" showFirstColumn="0" showLastColumn="0" showRowStripes="1" showColumnStripes="0"/>
</table>
</file>

<file path=xl/tables/table73.xml><?xml version="1.0" encoding="utf-8"?>
<table xmlns="http://schemas.openxmlformats.org/spreadsheetml/2006/main" id="83" name="Table484" displayName="Table484" ref="J18:O31" totalsRowShown="0" headerRowDxfId="764" dataDxfId="763">
  <autoFilter ref="J18:O31"/>
  <sortState ref="J19:O31">
    <sortCondition ref="M18:M31"/>
  </sortState>
  <tableColumns count="6">
    <tableColumn id="1" name="Description" dataDxfId="762" totalsRowDxfId="761"/>
    <tableColumn id="2" name="Category" dataDxfId="760" totalsRowDxfId="759"/>
    <tableColumn id="3" name="Sub-Category" dataDxfId="758" totalsRowDxfId="757"/>
    <tableColumn id="4" name="Date" dataDxfId="756" totalsRowDxfId="755"/>
    <tableColumn id="5" name="Amount" dataDxfId="754" totalsRowDxfId="753" dataCellStyle="Currency"/>
    <tableColumn id="6" name="Status" dataDxfId="752" totalsRowDxfId="751"/>
  </tableColumns>
  <tableStyleInfo name="TableStyleLight20" showFirstColumn="0" showLastColumn="0" showRowStripes="1" showColumnStripes="0"/>
</table>
</file>

<file path=xl/tables/table74.xml><?xml version="1.0" encoding="utf-8"?>
<table xmlns="http://schemas.openxmlformats.org/spreadsheetml/2006/main" id="84" name="Table13685" displayName="Table13685" ref="C11:F16" totalsRowCount="1" headerRowDxfId="750" dataDxfId="749" totalsRowDxfId="748">
  <autoFilter ref="C11:F15"/>
  <tableColumns count="4">
    <tableColumn id="1" name="Income" totalsRowLabel="Total" dataDxfId="747" totalsRowDxfId="746"/>
    <tableColumn id="2" name="Budget" totalsRowFunction="sum" dataDxfId="745" totalsRowDxfId="744" dataCellStyle="Currency"/>
    <tableColumn id="3" name="Actual" totalsRowFunction="sum" dataDxfId="743" totalsRowDxfId="742" dataCellStyle="Currency">
      <calculatedColumnFormula>SUMIFS(Table442091[Amount],Table442091[Category],Table13685[[#Headers],[Income]],Table442091[Sub-Category],Table13685[[#This Row],[Income]])+SUMIFS(Table4490[Amount],Table4490[Category],Table13685[[#Headers],[Income]],Table4490[Sub-Category],Table13685[[#This Row],[Income]])</calculatedColumnFormula>
    </tableColumn>
    <tableColumn id="4" name="Variance" totalsRowFunction="sum" dataDxfId="741" totalsRowDxfId="740" dataCellStyle="Currency">
      <calculatedColumnFormula>Table13685[[#This Row],[Actual]]-Table13685[[#This Row],[Budget]]</calculatedColumnFormula>
    </tableColumn>
  </tableColumns>
  <tableStyleInfo name="TableStyleLight20" showFirstColumn="0" showLastColumn="0" showRowStripes="1" showColumnStripes="0"/>
</table>
</file>

<file path=xl/tables/table75.xml><?xml version="1.0" encoding="utf-8"?>
<table xmlns="http://schemas.openxmlformats.org/spreadsheetml/2006/main" id="85" name="Table13786" displayName="Table13786" ref="C49:F54" totalsRowCount="1" headerRowDxfId="739" dataDxfId="738" totalsRowDxfId="737">
  <autoFilter ref="C49:F53"/>
  <tableColumns count="4">
    <tableColumn id="1" name="Living" totalsRowLabel="Total" dataDxfId="736" totalsRowDxfId="735"/>
    <tableColumn id="2" name="Budget" totalsRowFunction="sum" dataDxfId="734" totalsRowDxfId="733" dataCellStyle="Currency"/>
    <tableColumn id="3" name="Actual" totalsRowFunction="sum" dataDxfId="732" totalsRowDxfId="731" dataCellStyle="Currency">
      <calculatedColumnFormula>SUMIFS(Table484[Amount],Table484[Category],Table13786[[#Headers],[Living]],Table484[Sub-Category],Table13786[[#This Row],[Living]])+SUMIFS(Table4490[Amount],Table4490[Category],Table13786[[#Headers],[Living]],Table4490[Sub-Category],Table13786[[#This Row],[Living]])</calculatedColumnFormula>
    </tableColumn>
    <tableColumn id="4" name="Variance" totalsRowFunction="sum" dataDxfId="730" totalsRowDxfId="729" dataCellStyle="Currency">
      <calculatedColumnFormula>Table13786[[#This Row],[Budget]]-Table13786[[#This Row],[Actual]]</calculatedColumnFormula>
    </tableColumn>
  </tableColumns>
  <tableStyleInfo name="TableStyleLight20" showFirstColumn="0" showLastColumn="0" showRowStripes="1" showColumnStripes="0"/>
</table>
</file>

<file path=xl/tables/table76.xml><?xml version="1.0" encoding="utf-8"?>
<table xmlns="http://schemas.openxmlformats.org/spreadsheetml/2006/main" id="86" name="Table13887" displayName="Table13887" ref="C57:F60" totalsRowCount="1" headerRowDxfId="728" dataDxfId="727" totalsRowDxfId="726">
  <autoFilter ref="C57:F59"/>
  <tableColumns count="4">
    <tableColumn id="1" name="Entertainment" totalsRowLabel="Total" dataDxfId="725" totalsRowDxfId="724"/>
    <tableColumn id="2" name="Budget" totalsRowFunction="sum" dataDxfId="723" totalsRowDxfId="722" dataCellStyle="Currency"/>
    <tableColumn id="3" name="Actual" totalsRowFunction="sum" dataDxfId="721" totalsRowDxfId="720" dataCellStyle="Currency">
      <calculatedColumnFormula>SUMIFS(Table484[Amount],Table484[Category],Table13887[[#Headers],[Entertainment]],Table484[Sub-Category],Table13887[[#This Row],[Entertainment]])+SUMIFS(Table4490[Amount],Table4490[Category],Table13887[[#Headers],[Entertainment]],Table4490[Sub-Category],Table13887[[#This Row],[Entertainment]])</calculatedColumnFormula>
    </tableColumn>
    <tableColumn id="4" name="Variance" totalsRowFunction="sum" dataDxfId="719" totalsRowDxfId="718" dataCellStyle="Currency">
      <calculatedColumnFormula>Table13887[[#This Row],[Budget]]-Table13887[[#This Row],[Actual]]</calculatedColumnFormula>
    </tableColumn>
  </tableColumns>
  <tableStyleInfo name="TableStyleLight20" showFirstColumn="0" showLastColumn="0" showRowStripes="1" showColumnStripes="0"/>
</table>
</file>

<file path=xl/tables/table77.xml><?xml version="1.0" encoding="utf-8"?>
<table xmlns="http://schemas.openxmlformats.org/spreadsheetml/2006/main" id="87" name="Table13988" displayName="Table13988" ref="C63:F66" totalsRowCount="1" headerRowDxfId="717" dataDxfId="716" totalsRowDxfId="715">
  <autoFilter ref="C63:F65"/>
  <tableColumns count="4">
    <tableColumn id="1" name="Misc." totalsRowLabel="Total" dataDxfId="714" totalsRowDxfId="713"/>
    <tableColumn id="2" name="Budget" totalsRowFunction="sum" dataDxfId="712" totalsRowDxfId="711" dataCellStyle="Currency"/>
    <tableColumn id="3" name="Actual" totalsRowFunction="sum" dataDxfId="710" totalsRowDxfId="709" dataCellStyle="Currency">
      <calculatedColumnFormula>SUMIFS(Table484[Amount],Table484[Category],Table13988[[#Headers],[Misc.]],Table484[Sub-Category],Table13988[[#This Row],[Misc.]])+SUMIFS(Table4490[Amount],Table4490[Category],Table13988[[#Headers],[Misc.]],Table4490[Sub-Category],Table13988[[#This Row],[Misc.]])</calculatedColumnFormula>
    </tableColumn>
    <tableColumn id="4" name="Variance" totalsRowFunction="sum" dataDxfId="708" totalsRowDxfId="707" dataCellStyle="Currency">
      <calculatedColumnFormula>Table13988[[#This Row],[Budget]]-Table13988[[#This Row],[Actual]]</calculatedColumnFormula>
    </tableColumn>
  </tableColumns>
  <tableStyleInfo name="TableStyleLight20" showFirstColumn="0" showLastColumn="0" showRowStripes="1" showColumnStripes="0"/>
</table>
</file>

<file path=xl/tables/table78.xml><?xml version="1.0" encoding="utf-8"?>
<table xmlns="http://schemas.openxmlformats.org/spreadsheetml/2006/main" id="88" name="Table1391089" displayName="Table1391089" ref="C40:F46" totalsRowCount="1" headerRowDxfId="706" dataDxfId="705" totalsRowDxfId="704">
  <autoFilter ref="C40:F45"/>
  <tableColumns count="4">
    <tableColumn id="1" name="Bills" totalsRowLabel="Total" dataDxfId="703" totalsRowDxfId="702"/>
    <tableColumn id="2" name="Budget" totalsRowFunction="sum" dataDxfId="701" totalsRowDxfId="700" dataCellStyle="Currency"/>
    <tableColumn id="3" name="Actual" totalsRowFunction="sum" dataDxfId="699" totalsRowDxfId="698" dataCellStyle="Currency">
      <calculatedColumnFormula>SUMIFS(Table484[Amount],Table484[Category],Table1391089[[#Headers],[Bills]],Table484[Sub-Category],Table1391089[[#This Row],[Bills]])+SUMIFS(Table4490[Amount],Table4490[Category],Table1391089[[#Headers],[Bills]],Table4490[Sub-Category],Table1391089[[#This Row],[Bills]])</calculatedColumnFormula>
    </tableColumn>
    <tableColumn id="4" name="Variance" totalsRowFunction="sum" dataDxfId="697" totalsRowDxfId="696" dataCellStyle="Currency">
      <calculatedColumnFormula>Table1391089[[#This Row],[Budget]]-Table1391089[[#This Row],[Actual]]</calculatedColumnFormula>
    </tableColumn>
  </tableColumns>
  <tableStyleInfo name="TableStyleLight20" showFirstColumn="0" showLastColumn="0" showRowStripes="1" showColumnStripes="0"/>
</table>
</file>

<file path=xl/tables/table79.xml><?xml version="1.0" encoding="utf-8"?>
<table xmlns="http://schemas.openxmlformats.org/spreadsheetml/2006/main" id="89" name="Table4490" displayName="Table4490" ref="J34:O40" totalsRowShown="0" headerRowDxfId="695" dataDxfId="694">
  <autoFilter ref="J34:O40"/>
  <tableColumns count="6">
    <tableColumn id="1" name="Description" dataDxfId="693" totalsRowDxfId="692"/>
    <tableColumn id="2" name="Category" dataDxfId="691" totalsRowDxfId="690"/>
    <tableColumn id="3" name="Sub-Category" dataDxfId="689" totalsRowDxfId="688"/>
    <tableColumn id="4" name="Date" dataDxfId="687" totalsRowDxfId="686"/>
    <tableColumn id="5" name="Amount" dataDxfId="685" totalsRowDxfId="684" dataCellStyle="Currency"/>
    <tableColumn id="6" name="Status" dataDxfId="683" totalsRowDxfId="682"/>
  </tableColumns>
  <tableStyleInfo name="TableStyleLight20" showFirstColumn="0" showLastColumn="0" showRowStripes="1" showColumnStripes="0"/>
</table>
</file>

<file path=xl/tables/table80.xml><?xml version="1.0" encoding="utf-8"?>
<table xmlns="http://schemas.openxmlformats.org/spreadsheetml/2006/main" id="90" name="Table442091" displayName="Table442091" ref="J11:O15" totalsRowShown="0" headerRowDxfId="681" dataDxfId="680">
  <autoFilter ref="J11:O15"/>
  <sortState ref="J12:O15">
    <sortCondition ref="M11:M15"/>
  </sortState>
  <tableColumns count="6">
    <tableColumn id="1" name="Description" dataDxfId="679" totalsRowDxfId="678"/>
    <tableColumn id="2" name="Category" dataDxfId="677" totalsRowDxfId="676"/>
    <tableColumn id="3" name="Sub-Category" dataDxfId="675" totalsRowDxfId="674"/>
    <tableColumn id="4" name="Date" dataDxfId="673" totalsRowDxfId="672"/>
    <tableColumn id="5" name="Amount" dataDxfId="671" totalsRowDxfId="670" dataCellStyle="Currency"/>
    <tableColumn id="6" name="Status" dataDxfId="669" totalsRowDxfId="668"/>
  </tableColumns>
  <tableStyleInfo name="TableStyleLight20" showFirstColumn="0" showLastColumn="0" showRowStripes="1" showColumnStripes="0"/>
</table>
</file>

<file path=xl/tables/table81.xml><?xml version="1.0" encoding="utf-8"?>
<table xmlns="http://schemas.openxmlformats.org/spreadsheetml/2006/main" id="91" name="Table192" displayName="Table192" ref="C19:F29" totalsRowCount="1" headerRowDxfId="667" dataDxfId="666" totalsRowDxfId="665">
  <autoFilter ref="C19:F28"/>
  <tableColumns count="4">
    <tableColumn id="1" name="Housing" totalsRowLabel="Total" dataDxfId="664" totalsRowDxfId="663"/>
    <tableColumn id="2" name="Budget" totalsRowFunction="sum" dataDxfId="662" totalsRowDxfId="661" dataCellStyle="Currency"/>
    <tableColumn id="3" name="Actual" totalsRowFunction="sum" dataDxfId="660" totalsRowDxfId="659" dataCellStyle="Currency">
      <calculatedColumnFormula>SUMIFS(Table494[Amount],Table494[Category],Table192[[#Headers],[Housing]],Table494[Sub-Category],Table192[[#This Row],[Housing]])+SUMIFS(Table44100[Amount],Table44100[Category],Table192[[#Headers],[Housing]],Table44100[Sub-Category],Table192[[#This Row],[Housing]])</calculatedColumnFormula>
    </tableColumn>
    <tableColumn id="6" name="Variance" totalsRowFunction="sum" dataDxfId="658" totalsRowDxfId="657" dataCellStyle="Currency">
      <calculatedColumnFormula>Table192[[#This Row],[Budget]]-Table192[[#This Row],[Actual]]</calculatedColumnFormula>
    </tableColumn>
  </tableColumns>
  <tableStyleInfo name="TableStyleLight20" showFirstColumn="0" showLastColumn="0" showRowStripes="1" showColumnStripes="0"/>
</table>
</file>

<file path=xl/tables/table82.xml><?xml version="1.0" encoding="utf-8"?>
<table xmlns="http://schemas.openxmlformats.org/spreadsheetml/2006/main" id="92" name="Table1393" displayName="Table1393" ref="C32:F37" totalsRowCount="1" headerRowDxfId="656" dataDxfId="655" totalsRowDxfId="654">
  <autoFilter ref="C32:F36"/>
  <tableColumns count="4">
    <tableColumn id="1" name="Transportation" totalsRowLabel="Total" dataDxfId="653" totalsRowDxfId="652"/>
    <tableColumn id="2" name="Budget" totalsRowFunction="sum" dataDxfId="651" totalsRowDxfId="650" dataCellStyle="Currency"/>
    <tableColumn id="3" name="Actual" totalsRowFunction="sum" dataDxfId="649" totalsRowDxfId="648" dataCellStyle="Currency">
      <calculatedColumnFormula>SUMIFS(Table494[Amount],Table494[Category],Table1393[[#Headers],[Transportation]],Table494[Sub-Category],Table1393[[#This Row],[Transportation]])+SUMIFS(Table44100[Amount],Table44100[Category],Table1393[[#Headers],[Transportation]],Table44100[Sub-Category],Table1393[[#This Row],[Transportation]])</calculatedColumnFormula>
    </tableColumn>
    <tableColumn id="4" name="Variance" totalsRowFunction="sum" dataDxfId="647" totalsRowDxfId="646" dataCellStyle="Currency">
      <calculatedColumnFormula>Table1393[[#This Row],[Budget]]-Table1393[[#This Row],[Actual]]</calculatedColumnFormula>
    </tableColumn>
  </tableColumns>
  <tableStyleInfo name="TableStyleLight20" showFirstColumn="0" showLastColumn="0" showRowStripes="1" showColumnStripes="0"/>
</table>
</file>

<file path=xl/tables/table83.xml><?xml version="1.0" encoding="utf-8"?>
<table xmlns="http://schemas.openxmlformats.org/spreadsheetml/2006/main" id="93" name="Table494" displayName="Table494" ref="J18:O31" totalsRowShown="0" headerRowDxfId="645" dataDxfId="644">
  <autoFilter ref="J18:O31"/>
  <sortState ref="J19:O31">
    <sortCondition ref="M18:M31"/>
  </sortState>
  <tableColumns count="6">
    <tableColumn id="1" name="Description" dataDxfId="643" totalsRowDxfId="642"/>
    <tableColumn id="2" name="Category" dataDxfId="641" totalsRowDxfId="640"/>
    <tableColumn id="3" name="Sub-Category" dataDxfId="639" totalsRowDxfId="638"/>
    <tableColumn id="4" name="Date" dataDxfId="637" totalsRowDxfId="636"/>
    <tableColumn id="5" name="Amount" dataDxfId="635" totalsRowDxfId="634" dataCellStyle="Currency"/>
    <tableColumn id="6" name="Status" dataDxfId="633" totalsRowDxfId="632"/>
  </tableColumns>
  <tableStyleInfo name="TableStyleLight20" showFirstColumn="0" showLastColumn="0" showRowStripes="1" showColumnStripes="0"/>
</table>
</file>

<file path=xl/tables/table84.xml><?xml version="1.0" encoding="utf-8"?>
<table xmlns="http://schemas.openxmlformats.org/spreadsheetml/2006/main" id="94" name="Table13695" displayName="Table13695" ref="C11:F16" totalsRowCount="1" headerRowDxfId="631" dataDxfId="630" totalsRowDxfId="629">
  <autoFilter ref="C11:F15"/>
  <tableColumns count="4">
    <tableColumn id="1" name="Income" totalsRowLabel="Total" dataDxfId="628" totalsRowDxfId="627"/>
    <tableColumn id="2" name="Budget" totalsRowFunction="sum" dataDxfId="626" totalsRowDxfId="625" dataCellStyle="Currency"/>
    <tableColumn id="3" name="Actual" totalsRowFunction="sum" dataDxfId="624" totalsRowDxfId="623" dataCellStyle="Currency">
      <calculatedColumnFormula>SUMIFS(Table4420101[Amount],Table4420101[Category],Table13695[[#Headers],[Income]],Table4420101[Sub-Category],Table13695[[#This Row],[Income]])+SUMIFS(Table44100[Amount],Table44100[Category],Table13695[[#Headers],[Income]],Table44100[Sub-Category],Table13695[[#This Row],[Income]])</calculatedColumnFormula>
    </tableColumn>
    <tableColumn id="4" name="Variance" totalsRowFunction="sum" dataDxfId="622" totalsRowDxfId="621" dataCellStyle="Currency">
      <calculatedColumnFormula>Table13695[[#This Row],[Actual]]-Table13695[[#This Row],[Budget]]</calculatedColumnFormula>
    </tableColumn>
  </tableColumns>
  <tableStyleInfo name="TableStyleLight20" showFirstColumn="0" showLastColumn="0" showRowStripes="1" showColumnStripes="0"/>
</table>
</file>

<file path=xl/tables/table85.xml><?xml version="1.0" encoding="utf-8"?>
<table xmlns="http://schemas.openxmlformats.org/spreadsheetml/2006/main" id="95" name="Table13796" displayName="Table13796" ref="C49:F54" totalsRowCount="1" headerRowDxfId="620" dataDxfId="619" totalsRowDxfId="618">
  <autoFilter ref="C49:F53"/>
  <tableColumns count="4">
    <tableColumn id="1" name="Living" totalsRowLabel="Total" dataDxfId="617" totalsRowDxfId="616"/>
    <tableColumn id="2" name="Budget" totalsRowFunction="sum" dataDxfId="615" totalsRowDxfId="614" dataCellStyle="Currency"/>
    <tableColumn id="3" name="Actual" totalsRowFunction="sum" dataDxfId="613" totalsRowDxfId="612" dataCellStyle="Currency">
      <calculatedColumnFormula>SUMIFS(Table494[Amount],Table494[Category],Table13796[[#Headers],[Living]],Table494[Sub-Category],Table13796[[#This Row],[Living]])+SUMIFS(Table44100[Amount],Table44100[Category],Table13796[[#Headers],[Living]],Table44100[Sub-Category],Table13796[[#This Row],[Living]])</calculatedColumnFormula>
    </tableColumn>
    <tableColumn id="4" name="Variance" totalsRowFunction="sum" dataDxfId="611" totalsRowDxfId="610" dataCellStyle="Currency">
      <calculatedColumnFormula>Table13796[[#This Row],[Budget]]-Table13796[[#This Row],[Actual]]</calculatedColumnFormula>
    </tableColumn>
  </tableColumns>
  <tableStyleInfo name="TableStyleLight20" showFirstColumn="0" showLastColumn="0" showRowStripes="1" showColumnStripes="0"/>
</table>
</file>

<file path=xl/tables/table86.xml><?xml version="1.0" encoding="utf-8"?>
<table xmlns="http://schemas.openxmlformats.org/spreadsheetml/2006/main" id="96" name="Table13897" displayName="Table13897" ref="C57:F60" totalsRowCount="1" headerRowDxfId="609" dataDxfId="608" totalsRowDxfId="607">
  <autoFilter ref="C57:F59"/>
  <tableColumns count="4">
    <tableColumn id="1" name="Entertainment" totalsRowLabel="Total" dataDxfId="606" totalsRowDxfId="605"/>
    <tableColumn id="2" name="Budget" totalsRowFunction="sum" dataDxfId="604" totalsRowDxfId="603" dataCellStyle="Currency"/>
    <tableColumn id="3" name="Actual" totalsRowFunction="sum" dataDxfId="602" totalsRowDxfId="601" dataCellStyle="Currency">
      <calculatedColumnFormula>SUMIFS(Table494[Amount],Table494[Category],Table13897[[#Headers],[Entertainment]],Table494[Sub-Category],Table13897[[#This Row],[Entertainment]])+SUMIFS(Table44100[Amount],Table44100[Category],Table13897[[#Headers],[Entertainment]],Table44100[Sub-Category],Table13897[[#This Row],[Entertainment]])</calculatedColumnFormula>
    </tableColumn>
    <tableColumn id="4" name="Variance" totalsRowFunction="sum" dataDxfId="600" totalsRowDxfId="599" dataCellStyle="Currency">
      <calculatedColumnFormula>Table13897[[#This Row],[Budget]]-Table13897[[#This Row],[Actual]]</calculatedColumnFormula>
    </tableColumn>
  </tableColumns>
  <tableStyleInfo name="TableStyleLight20" showFirstColumn="0" showLastColumn="0" showRowStripes="1" showColumnStripes="0"/>
</table>
</file>

<file path=xl/tables/table87.xml><?xml version="1.0" encoding="utf-8"?>
<table xmlns="http://schemas.openxmlformats.org/spreadsheetml/2006/main" id="97" name="Table13998" displayName="Table13998" ref="C63:F66" totalsRowCount="1" headerRowDxfId="598" dataDxfId="597" totalsRowDxfId="596">
  <autoFilter ref="C63:F65"/>
  <tableColumns count="4">
    <tableColumn id="1" name="Misc." totalsRowLabel="Total" dataDxfId="595" totalsRowDxfId="594"/>
    <tableColumn id="2" name="Budget" totalsRowFunction="sum" dataDxfId="593" totalsRowDxfId="592" dataCellStyle="Currency"/>
    <tableColumn id="3" name="Actual" totalsRowFunction="sum" dataDxfId="591" totalsRowDxfId="590" dataCellStyle="Currency">
      <calculatedColumnFormula>SUMIFS(Table494[Amount],Table494[Category],Table13998[[#Headers],[Misc.]],Table494[Sub-Category],Table13998[[#This Row],[Misc.]])+SUMIFS(Table44100[Amount],Table44100[Category],Table13998[[#Headers],[Misc.]],Table44100[Sub-Category],Table13998[[#This Row],[Misc.]])</calculatedColumnFormula>
    </tableColumn>
    <tableColumn id="4" name="Variance" totalsRowFunction="sum" dataDxfId="589" totalsRowDxfId="588" dataCellStyle="Currency">
      <calculatedColumnFormula>Table13998[[#This Row],[Budget]]-Table13998[[#This Row],[Actual]]</calculatedColumnFormula>
    </tableColumn>
  </tableColumns>
  <tableStyleInfo name="TableStyleLight20" showFirstColumn="0" showLastColumn="0" showRowStripes="1" showColumnStripes="0"/>
</table>
</file>

<file path=xl/tables/table88.xml><?xml version="1.0" encoding="utf-8"?>
<table xmlns="http://schemas.openxmlformats.org/spreadsheetml/2006/main" id="98" name="Table1391099" displayName="Table1391099" ref="C40:F46" totalsRowCount="1" headerRowDxfId="587" dataDxfId="586" totalsRowDxfId="585">
  <autoFilter ref="C40:F45"/>
  <tableColumns count="4">
    <tableColumn id="1" name="Bills" totalsRowLabel="Total" dataDxfId="584" totalsRowDxfId="583"/>
    <tableColumn id="2" name="Budget" totalsRowFunction="sum" dataDxfId="582" totalsRowDxfId="581" dataCellStyle="Currency"/>
    <tableColumn id="3" name="Actual" totalsRowFunction="sum" dataDxfId="580" totalsRowDxfId="579" dataCellStyle="Currency">
      <calculatedColumnFormula>SUMIFS(Table494[Amount],Table494[Category],Table1391099[[#Headers],[Bills]],Table494[Sub-Category],Table1391099[[#This Row],[Bills]])+SUMIFS(Table44100[Amount],Table44100[Category],Table1391099[[#Headers],[Bills]],Table44100[Sub-Category],Table1391099[[#This Row],[Bills]])</calculatedColumnFormula>
    </tableColumn>
    <tableColumn id="4" name="Variance" totalsRowFunction="sum" dataDxfId="578" totalsRowDxfId="577" dataCellStyle="Currency">
      <calculatedColumnFormula>Table1391099[[#This Row],[Budget]]-Table1391099[[#This Row],[Actual]]</calculatedColumnFormula>
    </tableColumn>
  </tableColumns>
  <tableStyleInfo name="TableStyleLight20" showFirstColumn="0" showLastColumn="0" showRowStripes="1" showColumnStripes="0"/>
</table>
</file>

<file path=xl/tables/table89.xml><?xml version="1.0" encoding="utf-8"?>
<table xmlns="http://schemas.openxmlformats.org/spreadsheetml/2006/main" id="99" name="Table44100" displayName="Table44100" ref="J34:O40" totalsRowShown="0" headerRowDxfId="576" dataDxfId="575">
  <autoFilter ref="J34:O40"/>
  <tableColumns count="6">
    <tableColumn id="1" name="Description" dataDxfId="574" totalsRowDxfId="573"/>
    <tableColumn id="2" name="Category" dataDxfId="572" totalsRowDxfId="571"/>
    <tableColumn id="3" name="Sub-Category" dataDxfId="570" totalsRowDxfId="569"/>
    <tableColumn id="4" name="Date" dataDxfId="568" totalsRowDxfId="567"/>
    <tableColumn id="5" name="Amount" dataDxfId="566" totalsRowDxfId="565" dataCellStyle="Currency"/>
    <tableColumn id="6" name="Status" dataDxfId="564" totalsRowDxfId="563"/>
  </tableColumns>
  <tableStyleInfo name="TableStyleLight20" showFirstColumn="0" showLastColumn="0" showRowStripes="1" showColumnStripes="0"/>
</table>
</file>

<file path=xl/tables/table90.xml><?xml version="1.0" encoding="utf-8"?>
<table xmlns="http://schemas.openxmlformats.org/spreadsheetml/2006/main" id="100" name="Table4420101" displayName="Table4420101" ref="J11:O15" totalsRowShown="0" headerRowDxfId="562" dataDxfId="561">
  <autoFilter ref="J11:O15"/>
  <sortState ref="J12:O15">
    <sortCondition ref="M11:M15"/>
  </sortState>
  <tableColumns count="6">
    <tableColumn id="1" name="Description" dataDxfId="560" totalsRowDxfId="559"/>
    <tableColumn id="2" name="Category" dataDxfId="558" totalsRowDxfId="557"/>
    <tableColumn id="3" name="Sub-Category" dataDxfId="556" totalsRowDxfId="555"/>
    <tableColumn id="4" name="Date" dataDxfId="554" totalsRowDxfId="553"/>
    <tableColumn id="5" name="Amount" dataDxfId="552" totalsRowDxfId="551" dataCellStyle="Currency"/>
    <tableColumn id="6" name="Status" dataDxfId="550" totalsRowDxfId="549"/>
  </tableColumns>
  <tableStyleInfo name="TableStyleLight20" showFirstColumn="0" showLastColumn="0" showRowStripes="1" showColumnStripes="0"/>
</table>
</file>

<file path=xl/tables/table91.xml><?xml version="1.0" encoding="utf-8"?>
<table xmlns="http://schemas.openxmlformats.org/spreadsheetml/2006/main" id="101" name="Table1102" displayName="Table1102" ref="C19:F29" totalsRowCount="1" headerRowDxfId="548" dataDxfId="547" totalsRowDxfId="546">
  <autoFilter ref="C19:F28"/>
  <tableColumns count="4">
    <tableColumn id="1" name="Housing" totalsRowLabel="Total" dataDxfId="545" totalsRowDxfId="544"/>
    <tableColumn id="2" name="Budget" totalsRowFunction="sum" dataDxfId="543" totalsRowDxfId="542" dataCellStyle="Currency"/>
    <tableColumn id="3" name="Actual" totalsRowFunction="sum" dataDxfId="541" totalsRowDxfId="540" dataCellStyle="Currency">
      <calculatedColumnFormula>SUMIFS(Table4104[Amount],Table4104[Category],Table1102[[#Headers],[Housing]],Table4104[Sub-Category],Table1102[[#This Row],[Housing]])+SUMIFS(Table44110[Amount],Table44110[Category],Table1102[[#Headers],[Housing]],Table44110[Sub-Category],Table1102[[#This Row],[Housing]])</calculatedColumnFormula>
    </tableColumn>
    <tableColumn id="6" name="Variance" totalsRowFunction="sum" dataDxfId="539" totalsRowDxfId="538" dataCellStyle="Currency">
      <calculatedColumnFormula>Table1102[[#This Row],[Budget]]-Table1102[[#This Row],[Actual]]</calculatedColumnFormula>
    </tableColumn>
  </tableColumns>
  <tableStyleInfo name="TableStyleLight20" showFirstColumn="0" showLastColumn="0" showRowStripes="1" showColumnStripes="0"/>
</table>
</file>

<file path=xl/tables/table92.xml><?xml version="1.0" encoding="utf-8"?>
<table xmlns="http://schemas.openxmlformats.org/spreadsheetml/2006/main" id="102" name="Table13103" displayName="Table13103" ref="C32:F37" totalsRowCount="1" headerRowDxfId="537" dataDxfId="536" totalsRowDxfId="535">
  <autoFilter ref="C32:F36"/>
  <tableColumns count="4">
    <tableColumn id="1" name="Transportation" totalsRowLabel="Total" dataDxfId="534" totalsRowDxfId="533"/>
    <tableColumn id="2" name="Budget" totalsRowFunction="sum" dataDxfId="532" totalsRowDxfId="531" dataCellStyle="Currency"/>
    <tableColumn id="3" name="Actual" totalsRowFunction="sum" dataDxfId="530" totalsRowDxfId="529" dataCellStyle="Currency">
      <calculatedColumnFormula>SUMIFS(Table4104[Amount],Table4104[Category],Table13103[[#Headers],[Transportation]],Table4104[Sub-Category],Table13103[[#This Row],[Transportation]])+SUMIFS(Table44110[Amount],Table44110[Category],Table13103[[#Headers],[Transportation]],Table44110[Sub-Category],Table13103[[#This Row],[Transportation]])</calculatedColumnFormula>
    </tableColumn>
    <tableColumn id="4" name="Variance" totalsRowFunction="sum" dataDxfId="528" totalsRowDxfId="527" dataCellStyle="Currency">
      <calculatedColumnFormula>Table13103[[#This Row],[Budget]]-Table13103[[#This Row],[Actual]]</calculatedColumnFormula>
    </tableColumn>
  </tableColumns>
  <tableStyleInfo name="TableStyleLight20" showFirstColumn="0" showLastColumn="0" showRowStripes="1" showColumnStripes="0"/>
</table>
</file>

<file path=xl/tables/table93.xml><?xml version="1.0" encoding="utf-8"?>
<table xmlns="http://schemas.openxmlformats.org/spreadsheetml/2006/main" id="103" name="Table4104" displayName="Table4104" ref="J18:O31" totalsRowShown="0" headerRowDxfId="526" dataDxfId="525">
  <autoFilter ref="J18:O31"/>
  <sortState ref="J19:O31">
    <sortCondition ref="M18:M31"/>
  </sortState>
  <tableColumns count="6">
    <tableColumn id="1" name="Description" dataDxfId="524" totalsRowDxfId="523"/>
    <tableColumn id="2" name="Category" dataDxfId="522" totalsRowDxfId="521"/>
    <tableColumn id="3" name="Sub-Category" dataDxfId="520" totalsRowDxfId="519"/>
    <tableColumn id="4" name="Date" dataDxfId="518" totalsRowDxfId="517"/>
    <tableColumn id="5" name="Amount" dataDxfId="516" totalsRowDxfId="515" dataCellStyle="Currency"/>
    <tableColumn id="6" name="Status" dataDxfId="514" totalsRowDxfId="513"/>
  </tableColumns>
  <tableStyleInfo name="TableStyleLight20" showFirstColumn="0" showLastColumn="0" showRowStripes="1" showColumnStripes="0"/>
</table>
</file>

<file path=xl/tables/table94.xml><?xml version="1.0" encoding="utf-8"?>
<table xmlns="http://schemas.openxmlformats.org/spreadsheetml/2006/main" id="104" name="Table136105" displayName="Table136105" ref="C11:F16" totalsRowCount="1" headerRowDxfId="512" dataDxfId="511" totalsRowDxfId="510">
  <autoFilter ref="C11:F15"/>
  <tableColumns count="4">
    <tableColumn id="1" name="Income" totalsRowLabel="Total" dataDxfId="509" totalsRowDxfId="508"/>
    <tableColumn id="2" name="Budget" totalsRowFunction="sum" dataDxfId="507" totalsRowDxfId="506" dataCellStyle="Currency"/>
    <tableColumn id="3" name="Actual" totalsRowFunction="sum" dataDxfId="505" totalsRowDxfId="504" dataCellStyle="Currency">
      <calculatedColumnFormula>SUMIFS(Table4420111[Amount],Table4420111[Category],Table136105[[#Headers],[Income]],Table4420111[Sub-Category],Table136105[[#This Row],[Income]])+SUMIFS(Table44110[Amount],Table44110[Category],Table136105[[#Headers],[Income]],Table44110[Sub-Category],Table136105[[#This Row],[Income]])</calculatedColumnFormula>
    </tableColumn>
    <tableColumn id="4" name="Variance" totalsRowFunction="sum" dataDxfId="503" totalsRowDxfId="502" dataCellStyle="Currency">
      <calculatedColumnFormula>Table136105[[#This Row],[Actual]]-Table136105[[#This Row],[Budget]]</calculatedColumnFormula>
    </tableColumn>
  </tableColumns>
  <tableStyleInfo name="TableStyleLight20" showFirstColumn="0" showLastColumn="0" showRowStripes="1" showColumnStripes="0"/>
</table>
</file>

<file path=xl/tables/table95.xml><?xml version="1.0" encoding="utf-8"?>
<table xmlns="http://schemas.openxmlformats.org/spreadsheetml/2006/main" id="105" name="Table137106" displayName="Table137106" ref="C49:F54" totalsRowCount="1" headerRowDxfId="501" dataDxfId="500" totalsRowDxfId="499">
  <autoFilter ref="C49:F53"/>
  <tableColumns count="4">
    <tableColumn id="1" name="Living" totalsRowLabel="Total" dataDxfId="498" totalsRowDxfId="497"/>
    <tableColumn id="2" name="Budget" totalsRowFunction="sum" dataDxfId="496" totalsRowDxfId="495" dataCellStyle="Currency"/>
    <tableColumn id="3" name="Actual" totalsRowFunction="sum" dataDxfId="494" totalsRowDxfId="493" dataCellStyle="Currency">
      <calculatedColumnFormula>SUMIFS(Table4104[Amount],Table4104[Category],Table137106[[#Headers],[Living]],Table4104[Sub-Category],Table137106[[#This Row],[Living]])+SUMIFS(Table44110[Amount],Table44110[Category],Table137106[[#Headers],[Living]],Table44110[Sub-Category],Table137106[[#This Row],[Living]])</calculatedColumnFormula>
    </tableColumn>
    <tableColumn id="4" name="Variance" totalsRowFunction="sum" dataDxfId="492" totalsRowDxfId="491" dataCellStyle="Currency">
      <calculatedColumnFormula>Table137106[[#This Row],[Budget]]-Table137106[[#This Row],[Actual]]</calculatedColumnFormula>
    </tableColumn>
  </tableColumns>
  <tableStyleInfo name="TableStyleLight20" showFirstColumn="0" showLastColumn="0" showRowStripes="1" showColumnStripes="0"/>
</table>
</file>

<file path=xl/tables/table96.xml><?xml version="1.0" encoding="utf-8"?>
<table xmlns="http://schemas.openxmlformats.org/spreadsheetml/2006/main" id="106" name="Table138107" displayName="Table138107" ref="C57:F60" totalsRowCount="1" headerRowDxfId="490" dataDxfId="489" totalsRowDxfId="488">
  <autoFilter ref="C57:F59"/>
  <tableColumns count="4">
    <tableColumn id="1" name="Entertainment" totalsRowLabel="Total" dataDxfId="487" totalsRowDxfId="486"/>
    <tableColumn id="2" name="Budget" totalsRowFunction="sum" dataDxfId="485" totalsRowDxfId="484" dataCellStyle="Currency"/>
    <tableColumn id="3" name="Actual" totalsRowFunction="sum" dataDxfId="483" totalsRowDxfId="482" dataCellStyle="Currency">
      <calculatedColumnFormula>SUMIFS(Table4104[Amount],Table4104[Category],Table138107[[#Headers],[Entertainment]],Table4104[Sub-Category],Table138107[[#This Row],[Entertainment]])+SUMIFS(Table44110[Amount],Table44110[Category],Table138107[[#Headers],[Entertainment]],Table44110[Sub-Category],Table138107[[#This Row],[Entertainment]])</calculatedColumnFormula>
    </tableColumn>
    <tableColumn id="4" name="Variance" totalsRowFunction="sum" dataDxfId="481" totalsRowDxfId="480" dataCellStyle="Currency">
      <calculatedColumnFormula>Table138107[[#This Row],[Budget]]-Table138107[[#This Row],[Actual]]</calculatedColumnFormula>
    </tableColumn>
  </tableColumns>
  <tableStyleInfo name="TableStyleLight20" showFirstColumn="0" showLastColumn="0" showRowStripes="1" showColumnStripes="0"/>
</table>
</file>

<file path=xl/tables/table97.xml><?xml version="1.0" encoding="utf-8"?>
<table xmlns="http://schemas.openxmlformats.org/spreadsheetml/2006/main" id="107" name="Table139108" displayName="Table139108" ref="C63:F66" totalsRowCount="1" headerRowDxfId="479" dataDxfId="478" totalsRowDxfId="477">
  <autoFilter ref="C63:F65"/>
  <tableColumns count="4">
    <tableColumn id="1" name="Misc." totalsRowLabel="Total" dataDxfId="476" totalsRowDxfId="475"/>
    <tableColumn id="2" name="Budget" totalsRowFunction="sum" dataDxfId="474" totalsRowDxfId="473" dataCellStyle="Currency"/>
    <tableColumn id="3" name="Actual" totalsRowFunction="sum" dataDxfId="472" totalsRowDxfId="471" dataCellStyle="Currency">
      <calculatedColumnFormula>SUMIFS(Table4104[Amount],Table4104[Category],Table139108[[#Headers],[Misc.]],Table4104[Sub-Category],Table139108[[#This Row],[Misc.]])+SUMIFS(Table44110[Amount],Table44110[Category],Table139108[[#Headers],[Misc.]],Table44110[Sub-Category],Table139108[[#This Row],[Misc.]])</calculatedColumnFormula>
    </tableColumn>
    <tableColumn id="4" name="Variance" totalsRowFunction="sum" dataDxfId="470" totalsRowDxfId="469" dataCellStyle="Currency">
      <calculatedColumnFormula>Table139108[[#This Row],[Budget]]-Table139108[[#This Row],[Actual]]</calculatedColumnFormula>
    </tableColumn>
  </tableColumns>
  <tableStyleInfo name="TableStyleLight20" showFirstColumn="0" showLastColumn="0" showRowStripes="1" showColumnStripes="0"/>
</table>
</file>

<file path=xl/tables/table98.xml><?xml version="1.0" encoding="utf-8"?>
<table xmlns="http://schemas.openxmlformats.org/spreadsheetml/2006/main" id="108" name="Table13910109" displayName="Table13910109" ref="C40:F46" totalsRowCount="1" headerRowDxfId="468" dataDxfId="467" totalsRowDxfId="466">
  <autoFilter ref="C40:F45"/>
  <tableColumns count="4">
    <tableColumn id="1" name="Bills" totalsRowLabel="Total" dataDxfId="465" totalsRowDxfId="464"/>
    <tableColumn id="2" name="Budget" totalsRowFunction="sum" dataDxfId="463" totalsRowDxfId="462" dataCellStyle="Currency"/>
    <tableColumn id="3" name="Actual" totalsRowFunction="sum" dataDxfId="461" totalsRowDxfId="460" dataCellStyle="Currency">
      <calculatedColumnFormula>SUMIFS(Table4104[Amount],Table4104[Category],Table13910109[[#Headers],[Bills]],Table4104[Sub-Category],Table13910109[[#This Row],[Bills]])+SUMIFS(Table44110[Amount],Table44110[Category],Table13910109[[#Headers],[Bills]],Table44110[Sub-Category],Table13910109[[#This Row],[Bills]])</calculatedColumnFormula>
    </tableColumn>
    <tableColumn id="4" name="Variance" totalsRowFunction="sum" dataDxfId="459" totalsRowDxfId="458" dataCellStyle="Currency">
      <calculatedColumnFormula>Table13910109[[#This Row],[Budget]]-Table13910109[[#This Row],[Actual]]</calculatedColumnFormula>
    </tableColumn>
  </tableColumns>
  <tableStyleInfo name="TableStyleLight20" showFirstColumn="0" showLastColumn="0" showRowStripes="1" showColumnStripes="0"/>
</table>
</file>

<file path=xl/tables/table99.xml><?xml version="1.0" encoding="utf-8"?>
<table xmlns="http://schemas.openxmlformats.org/spreadsheetml/2006/main" id="109" name="Table44110" displayName="Table44110" ref="J34:O40" totalsRowShown="0" headerRowDxfId="457" dataDxfId="456">
  <autoFilter ref="J34:O40"/>
  <tableColumns count="6">
    <tableColumn id="1" name="Description" dataDxfId="455" totalsRowDxfId="454"/>
    <tableColumn id="2" name="Category" dataDxfId="453" totalsRowDxfId="452"/>
    <tableColumn id="3" name="Sub-Category" dataDxfId="451" totalsRowDxfId="450"/>
    <tableColumn id="4" name="Date" dataDxfId="449" totalsRowDxfId="448"/>
    <tableColumn id="5" name="Amount" dataDxfId="447" totalsRowDxfId="446" dataCellStyle="Currency"/>
    <tableColumn id="6" name="Status" dataDxfId="445" totalsRowDxfId="444"/>
  </tableColumns>
  <tableStyleInfo name="TableStyleLight20" showFirstColumn="0" showLastColumn="0" showRowStripes="1" showColumnStripes="0"/>
</table>
</file>

<file path=xl/tables/table100.xml><?xml version="1.0" encoding="utf-8"?>
<table xmlns="http://schemas.openxmlformats.org/spreadsheetml/2006/main" id="110" name="Table4420111" displayName="Table4420111" ref="J11:O15" totalsRowShown="0" headerRowDxfId="443" dataDxfId="442">
  <autoFilter ref="J11:O15"/>
  <sortState ref="J12:O15">
    <sortCondition ref="M11:M15"/>
  </sortState>
  <tableColumns count="6">
    <tableColumn id="1" name="Description" dataDxfId="441" totalsRowDxfId="440"/>
    <tableColumn id="2" name="Category" dataDxfId="439" totalsRowDxfId="438"/>
    <tableColumn id="3" name="Sub-Category" dataDxfId="437" totalsRowDxfId="436"/>
    <tableColumn id="4" name="Date" dataDxfId="435" totalsRowDxfId="434"/>
    <tableColumn id="5" name="Amount" dataDxfId="433" totalsRowDxfId="432" dataCellStyle="Currency"/>
    <tableColumn id="6" name="Status" dataDxfId="431" totalsRowDxfId="430"/>
  </tableColumns>
  <tableStyleInfo name="TableStyleLight20" showFirstColumn="0" showLastColumn="0" showRowStripes="1" showColumnStripes="0"/>
</table>
</file>

<file path=xl/tables/table101.xml><?xml version="1.0" encoding="utf-8"?>
<table xmlns="http://schemas.openxmlformats.org/spreadsheetml/2006/main" id="111" name="Table1112" displayName="Table1112" ref="C19:F29" totalsRowCount="1" headerRowDxfId="429" dataDxfId="428" totalsRowDxfId="427">
  <autoFilter ref="C19:F28"/>
  <tableColumns count="4">
    <tableColumn id="1" name="Housing" totalsRowLabel="Total" dataDxfId="426" totalsRowDxfId="425"/>
    <tableColumn id="2" name="Budget" totalsRowFunction="sum" dataDxfId="424" totalsRowDxfId="423" dataCellStyle="Currency"/>
    <tableColumn id="3" name="Actual" totalsRowFunction="sum" dataDxfId="422" totalsRowDxfId="421" dataCellStyle="Currency">
      <calculatedColumnFormula>SUMIFS(Table4114[Amount],Table4114[Category],Table1112[[#Headers],[Housing]],Table4114[Sub-Category],Table1112[[#This Row],[Housing]])+SUMIFS(Table44120[Amount],Table44120[Category],Table1112[[#Headers],[Housing]],Table44120[Sub-Category],Table1112[[#This Row],[Housing]])</calculatedColumnFormula>
    </tableColumn>
    <tableColumn id="6" name="Variance" totalsRowFunction="sum" dataDxfId="420" totalsRowDxfId="419" dataCellStyle="Currency">
      <calculatedColumnFormula>Table1112[[#This Row],[Budget]]-Table1112[[#This Row],[Actual]]</calculatedColumnFormula>
    </tableColumn>
  </tableColumns>
  <tableStyleInfo name="TableStyleLight20" showFirstColumn="0" showLastColumn="0" showRowStripes="1" showColumnStripes="0"/>
</table>
</file>

<file path=xl/tables/table102.xml><?xml version="1.0" encoding="utf-8"?>
<table xmlns="http://schemas.openxmlformats.org/spreadsheetml/2006/main" id="112" name="Table13113" displayName="Table13113" ref="C32:F37" totalsRowCount="1" headerRowDxfId="418" dataDxfId="417" totalsRowDxfId="416">
  <autoFilter ref="C32:F36"/>
  <tableColumns count="4">
    <tableColumn id="1" name="Transportation" totalsRowLabel="Total" dataDxfId="415" totalsRowDxfId="414"/>
    <tableColumn id="2" name="Budget" totalsRowFunction="sum" dataDxfId="413" totalsRowDxfId="412" dataCellStyle="Currency"/>
    <tableColumn id="3" name="Actual" totalsRowFunction="sum" dataDxfId="411" totalsRowDxfId="410" dataCellStyle="Currency">
      <calculatedColumnFormula>SUMIFS(Table4114[Amount],Table4114[Category],Table13113[[#Headers],[Transportation]],Table4114[Sub-Category],Table13113[[#This Row],[Transportation]])+SUMIFS(Table44120[Amount],Table44120[Category],Table13113[[#Headers],[Transportation]],Table44120[Sub-Category],Table13113[[#This Row],[Transportation]])</calculatedColumnFormula>
    </tableColumn>
    <tableColumn id="4" name="Variance" totalsRowFunction="sum" dataDxfId="409" totalsRowDxfId="408" dataCellStyle="Currency">
      <calculatedColumnFormula>Table13113[[#This Row],[Budget]]-Table13113[[#This Row],[Actual]]</calculatedColumnFormula>
    </tableColumn>
  </tableColumns>
  <tableStyleInfo name="TableStyleLight20" showFirstColumn="0" showLastColumn="0" showRowStripes="1" showColumnStripes="0"/>
</table>
</file>

<file path=xl/tables/table103.xml><?xml version="1.0" encoding="utf-8"?>
<table xmlns="http://schemas.openxmlformats.org/spreadsheetml/2006/main" id="113" name="Table4114" displayName="Table4114" ref="J18:O31" totalsRowShown="0" headerRowDxfId="407" dataDxfId="406">
  <autoFilter ref="J18:O31"/>
  <sortState ref="J19:O31">
    <sortCondition ref="M18:M31"/>
  </sortState>
  <tableColumns count="6">
    <tableColumn id="1" name="Description" dataDxfId="405" totalsRowDxfId="404"/>
    <tableColumn id="2" name="Category" dataDxfId="403" totalsRowDxfId="402"/>
    <tableColumn id="3" name="Sub-Category" dataDxfId="401" totalsRowDxfId="400"/>
    <tableColumn id="4" name="Date" dataDxfId="399" totalsRowDxfId="398"/>
    <tableColumn id="5" name="Amount" dataDxfId="397" totalsRowDxfId="396" dataCellStyle="Currency"/>
    <tableColumn id="6" name="Status" dataDxfId="395" totalsRowDxfId="394"/>
  </tableColumns>
  <tableStyleInfo name="TableStyleLight20" showFirstColumn="0" showLastColumn="0" showRowStripes="1" showColumnStripes="0"/>
</table>
</file>

<file path=xl/tables/table104.xml><?xml version="1.0" encoding="utf-8"?>
<table xmlns="http://schemas.openxmlformats.org/spreadsheetml/2006/main" id="114" name="Table136115" displayName="Table136115" ref="C11:F16" totalsRowCount="1" headerRowDxfId="393" dataDxfId="392" totalsRowDxfId="391">
  <autoFilter ref="C11:F15"/>
  <tableColumns count="4">
    <tableColumn id="1" name="Income" totalsRowLabel="Total" dataDxfId="390" totalsRowDxfId="389"/>
    <tableColumn id="2" name="Budget" totalsRowFunction="sum" dataDxfId="388" totalsRowDxfId="387" dataCellStyle="Currency"/>
    <tableColumn id="3" name="Actual" totalsRowFunction="sum" dataDxfId="386" totalsRowDxfId="385" dataCellStyle="Currency">
      <calculatedColumnFormula>SUMIFS(Table4420121[Amount],Table4420121[Category],Table136115[[#Headers],[Income]],Table4420121[Sub-Category],Table136115[[#This Row],[Income]])+SUMIFS(Table44120[Amount],Table44120[Category],Table136115[[#Headers],[Income]],Table44120[Sub-Category],Table136115[[#This Row],[Income]])</calculatedColumnFormula>
    </tableColumn>
    <tableColumn id="4" name="Variance" totalsRowFunction="sum" dataDxfId="384" totalsRowDxfId="383" dataCellStyle="Currency">
      <calculatedColumnFormula>Table136115[[#This Row],[Actual]]-Table136115[[#This Row],[Budget]]</calculatedColumnFormula>
    </tableColumn>
  </tableColumns>
  <tableStyleInfo name="TableStyleLight20" showFirstColumn="0" showLastColumn="0" showRowStripes="1" showColumnStripes="0"/>
</table>
</file>

<file path=xl/tables/table105.xml><?xml version="1.0" encoding="utf-8"?>
<table xmlns="http://schemas.openxmlformats.org/spreadsheetml/2006/main" id="115" name="Table137116" displayName="Table137116" ref="C49:F54" totalsRowCount="1" headerRowDxfId="382" dataDxfId="381" totalsRowDxfId="380">
  <autoFilter ref="C49:F53"/>
  <tableColumns count="4">
    <tableColumn id="1" name="Living" totalsRowLabel="Total" dataDxfId="379" totalsRowDxfId="378"/>
    <tableColumn id="2" name="Budget" totalsRowFunction="sum" dataDxfId="377" totalsRowDxfId="376" dataCellStyle="Currency"/>
    <tableColumn id="3" name="Actual" totalsRowFunction="sum" dataDxfId="375" totalsRowDxfId="374" dataCellStyle="Currency">
      <calculatedColumnFormula>SUMIFS(Table4114[Amount],Table4114[Category],Table137116[[#Headers],[Living]],Table4114[Sub-Category],Table137116[[#This Row],[Living]])+SUMIFS(Table44120[Amount],Table44120[Category],Table137116[[#Headers],[Living]],Table44120[Sub-Category],Table137116[[#This Row],[Living]])</calculatedColumnFormula>
    </tableColumn>
    <tableColumn id="4" name="Variance" totalsRowFunction="sum" dataDxfId="373" totalsRowDxfId="372" dataCellStyle="Currency">
      <calculatedColumnFormula>Table137116[[#This Row],[Budget]]-Table137116[[#This Row],[Actual]]</calculatedColumnFormula>
    </tableColumn>
  </tableColumns>
  <tableStyleInfo name="TableStyleLight20" showFirstColumn="0" showLastColumn="0" showRowStripes="1" showColumnStripes="0"/>
</table>
</file>

<file path=xl/tables/table106.xml><?xml version="1.0" encoding="utf-8"?>
<table xmlns="http://schemas.openxmlformats.org/spreadsheetml/2006/main" id="116" name="Table138117" displayName="Table138117" ref="C57:F60" totalsRowCount="1" headerRowDxfId="371" dataDxfId="370" totalsRowDxfId="369">
  <autoFilter ref="C57:F59"/>
  <tableColumns count="4">
    <tableColumn id="1" name="Entertainment" totalsRowLabel="Total" dataDxfId="368" totalsRowDxfId="367"/>
    <tableColumn id="2" name="Budget" totalsRowFunction="sum" dataDxfId="366" totalsRowDxfId="365" dataCellStyle="Currency"/>
    <tableColumn id="3" name="Actual" totalsRowFunction="sum" dataDxfId="364" totalsRowDxfId="363" dataCellStyle="Currency">
      <calculatedColumnFormula>SUMIFS(Table4114[Amount],Table4114[Category],Table138117[[#Headers],[Entertainment]],Table4114[Sub-Category],Table138117[[#This Row],[Entertainment]])+SUMIFS(Table44120[Amount],Table44120[Category],Table138117[[#Headers],[Entertainment]],Table44120[Sub-Category],Table138117[[#This Row],[Entertainment]])</calculatedColumnFormula>
    </tableColumn>
    <tableColumn id="4" name="Variance" totalsRowFunction="sum" dataDxfId="362" totalsRowDxfId="361" dataCellStyle="Currency">
      <calculatedColumnFormula>Table138117[[#This Row],[Budget]]-Table138117[[#This Row],[Actual]]</calculatedColumnFormula>
    </tableColumn>
  </tableColumns>
  <tableStyleInfo name="TableStyleLight20" showFirstColumn="0" showLastColumn="0" showRowStripes="1" showColumnStripes="0"/>
</table>
</file>

<file path=xl/tables/table107.xml><?xml version="1.0" encoding="utf-8"?>
<table xmlns="http://schemas.openxmlformats.org/spreadsheetml/2006/main" id="117" name="Table139118" displayName="Table139118" ref="C63:F66" totalsRowCount="1" headerRowDxfId="360" dataDxfId="359" totalsRowDxfId="358">
  <autoFilter ref="C63:F65"/>
  <tableColumns count="4">
    <tableColumn id="1" name="Misc." totalsRowLabel="Total" dataDxfId="357" totalsRowDxfId="356"/>
    <tableColumn id="2" name="Budget" totalsRowFunction="sum" dataDxfId="355" totalsRowDxfId="354" dataCellStyle="Currency"/>
    <tableColumn id="3" name="Actual" totalsRowFunction="sum" dataDxfId="353" totalsRowDxfId="352" dataCellStyle="Currency">
      <calculatedColumnFormula>SUMIFS(Table4114[Amount],Table4114[Category],Table139118[[#Headers],[Misc.]],Table4114[Sub-Category],Table139118[[#This Row],[Misc.]])+SUMIFS(Table44120[Amount],Table44120[Category],Table139118[[#Headers],[Misc.]],Table44120[Sub-Category],Table139118[[#This Row],[Misc.]])</calculatedColumnFormula>
    </tableColumn>
    <tableColumn id="4" name="Variance" totalsRowFunction="sum" dataDxfId="351" totalsRowDxfId="350" dataCellStyle="Currency">
      <calculatedColumnFormula>Table139118[[#This Row],[Budget]]-Table139118[[#This Row],[Actual]]</calculatedColumnFormula>
    </tableColumn>
  </tableColumns>
  <tableStyleInfo name="TableStyleLight20" showFirstColumn="0" showLastColumn="0" showRowStripes="1" showColumnStripes="0"/>
</table>
</file>

<file path=xl/tables/table108.xml><?xml version="1.0" encoding="utf-8"?>
<table xmlns="http://schemas.openxmlformats.org/spreadsheetml/2006/main" id="118" name="Table13910119" displayName="Table13910119" ref="C40:F46" totalsRowCount="1" headerRowDxfId="349" dataDxfId="348" totalsRowDxfId="347">
  <autoFilter ref="C40:F45"/>
  <tableColumns count="4">
    <tableColumn id="1" name="Bills" totalsRowLabel="Total" dataDxfId="346" totalsRowDxfId="345"/>
    <tableColumn id="2" name="Budget" totalsRowFunction="sum" dataDxfId="344" totalsRowDxfId="343" dataCellStyle="Currency"/>
    <tableColumn id="3" name="Actual" totalsRowFunction="sum" dataDxfId="342" totalsRowDxfId="341" dataCellStyle="Currency">
      <calculatedColumnFormula>SUMIFS(Table4114[Amount],Table4114[Category],Table13910119[[#Headers],[Bills]],Table4114[Sub-Category],Table13910119[[#This Row],[Bills]])+SUMIFS(Table44120[Amount],Table44120[Category],Table13910119[[#Headers],[Bills]],Table44120[Sub-Category],Table13910119[[#This Row],[Bills]])</calculatedColumnFormula>
    </tableColumn>
    <tableColumn id="4" name="Variance" totalsRowFunction="sum" dataDxfId="340" totalsRowDxfId="339" dataCellStyle="Currency">
      <calculatedColumnFormula>Table13910119[[#This Row],[Budget]]-Table13910119[[#This Row],[Actual]]</calculatedColumnFormula>
    </tableColumn>
  </tableColumns>
  <tableStyleInfo name="TableStyleLight20" showFirstColumn="0" showLastColumn="0" showRowStripes="1" showColumnStripes="0"/>
</table>
</file>

<file path=xl/tables/table109.xml><?xml version="1.0" encoding="utf-8"?>
<table xmlns="http://schemas.openxmlformats.org/spreadsheetml/2006/main" id="119" name="Table44120" displayName="Table44120" ref="J34:O40" totalsRowShown="0" headerRowDxfId="338" dataDxfId="337">
  <autoFilter ref="J34:O40"/>
  <tableColumns count="6">
    <tableColumn id="1" name="Description" dataDxfId="336" totalsRowDxfId="335"/>
    <tableColumn id="2" name="Category" dataDxfId="334" totalsRowDxfId="333"/>
    <tableColumn id="3" name="Sub-Category" dataDxfId="332" totalsRowDxfId="331"/>
    <tableColumn id="4" name="Date" dataDxfId="330" totalsRowDxfId="329"/>
    <tableColumn id="5" name="Amount" dataDxfId="328" totalsRowDxfId="327" dataCellStyle="Currency"/>
    <tableColumn id="6" name="Status" dataDxfId="326" totalsRowDxfId="325"/>
  </tableColumns>
  <tableStyleInfo name="TableStyleLight20" showFirstColumn="0" showLastColumn="0" showRowStripes="1" showColumnStripes="0"/>
</table>
</file>

<file path=xl/tables/table110.xml><?xml version="1.0" encoding="utf-8"?>
<table xmlns="http://schemas.openxmlformats.org/spreadsheetml/2006/main" id="120" name="Table4420121" displayName="Table4420121" ref="J11:O15" totalsRowShown="0" headerRowDxfId="324" dataDxfId="323">
  <autoFilter ref="J11:O15"/>
  <sortState ref="J12:O15">
    <sortCondition ref="M11:M15"/>
  </sortState>
  <tableColumns count="6">
    <tableColumn id="1" name="Description" dataDxfId="322" totalsRowDxfId="321"/>
    <tableColumn id="2" name="Category" dataDxfId="320" totalsRowDxfId="319"/>
    <tableColumn id="3" name="Sub-Category" dataDxfId="318" totalsRowDxfId="317"/>
    <tableColumn id="4" name="Date" dataDxfId="316" totalsRowDxfId="315"/>
    <tableColumn id="5" name="Amount" dataDxfId="314" totalsRowDxfId="313" dataCellStyle="Currency"/>
    <tableColumn id="6" name="Status" dataDxfId="312" totalsRowDxfId="311"/>
  </tableColumns>
  <tableStyleInfo name="TableStyleLight20" showFirstColumn="0" showLastColumn="0" showRowStripes="1" showColumnStripes="0"/>
</table>
</file>

<file path=xl/tables/table111.xml><?xml version="1.0" encoding="utf-8"?>
<table xmlns="http://schemas.openxmlformats.org/spreadsheetml/2006/main" id="121" name="Table1122" displayName="Table1122" ref="C19:F29" totalsRowCount="1" headerRowDxfId="310" dataDxfId="309" totalsRowDxfId="308">
  <autoFilter ref="C19:F28"/>
  <tableColumns count="4">
    <tableColumn id="1" name="Housing" totalsRowLabel="Total" dataDxfId="307" totalsRowDxfId="306"/>
    <tableColumn id="2" name="Budget" totalsRowFunction="sum" dataDxfId="305" totalsRowDxfId="304" dataCellStyle="Currency"/>
    <tableColumn id="3" name="Actual" totalsRowFunction="sum" dataDxfId="303" totalsRowDxfId="302" dataCellStyle="Currency">
      <calculatedColumnFormula>SUMIFS(Table4124[Amount],Table4124[Category],Table1122[[#Headers],[Housing]],Table4124[Sub-Category],Table1122[[#This Row],[Housing]])+SUMIFS(Table44130[Amount],Table44130[Category],Table1122[[#Headers],[Housing]],Table44130[Sub-Category],Table1122[[#This Row],[Housing]])</calculatedColumnFormula>
    </tableColumn>
    <tableColumn id="6" name="Variance" totalsRowFunction="sum" dataDxfId="301" totalsRowDxfId="300" dataCellStyle="Currency">
      <calculatedColumnFormula>Table1122[[#This Row],[Budget]]-Table1122[[#This Row],[Actual]]</calculatedColumnFormula>
    </tableColumn>
  </tableColumns>
  <tableStyleInfo name="TableStyleLight20" showFirstColumn="0" showLastColumn="0" showRowStripes="1" showColumnStripes="0"/>
</table>
</file>

<file path=xl/tables/table112.xml><?xml version="1.0" encoding="utf-8"?>
<table xmlns="http://schemas.openxmlformats.org/spreadsheetml/2006/main" id="122" name="Table13123" displayName="Table13123" ref="C32:F37" totalsRowCount="1" headerRowDxfId="299" dataDxfId="298" totalsRowDxfId="297">
  <autoFilter ref="C32:F36"/>
  <tableColumns count="4">
    <tableColumn id="1" name="Transportation" totalsRowLabel="Total" dataDxfId="296" totalsRowDxfId="295"/>
    <tableColumn id="2" name="Budget" totalsRowFunction="sum" dataDxfId="294" totalsRowDxfId="293" dataCellStyle="Currency"/>
    <tableColumn id="3" name="Actual" totalsRowFunction="sum" dataDxfId="292" totalsRowDxfId="291" dataCellStyle="Currency">
      <calculatedColumnFormula>SUMIFS(Table4124[Amount],Table4124[Category],Table13123[[#Headers],[Transportation]],Table4124[Sub-Category],Table13123[[#This Row],[Transportation]])+SUMIFS(Table44130[Amount],Table44130[Category],Table13123[[#Headers],[Transportation]],Table44130[Sub-Category],Table13123[[#This Row],[Transportation]])</calculatedColumnFormula>
    </tableColumn>
    <tableColumn id="4" name="Variance" totalsRowFunction="sum" dataDxfId="290" totalsRowDxfId="289" dataCellStyle="Currency">
      <calculatedColumnFormula>Table13123[[#This Row],[Budget]]-Table13123[[#This Row],[Actual]]</calculatedColumnFormula>
    </tableColumn>
  </tableColumns>
  <tableStyleInfo name="TableStyleLight20" showFirstColumn="0" showLastColumn="0" showRowStripes="1" showColumnStripes="0"/>
</table>
</file>

<file path=xl/tables/table113.xml><?xml version="1.0" encoding="utf-8"?>
<table xmlns="http://schemas.openxmlformats.org/spreadsheetml/2006/main" id="123" name="Table4124" displayName="Table4124" ref="J18:O31" totalsRowShown="0" headerRowDxfId="288" dataDxfId="287">
  <autoFilter ref="J18:O31"/>
  <sortState ref="J19:O31">
    <sortCondition ref="M18:M31"/>
  </sortState>
  <tableColumns count="6">
    <tableColumn id="1" name="Description" dataDxfId="286" totalsRowDxfId="285"/>
    <tableColumn id="2" name="Category" dataDxfId="284" totalsRowDxfId="283"/>
    <tableColumn id="3" name="Sub-Category" dataDxfId="282" totalsRowDxfId="281"/>
    <tableColumn id="4" name="Date" dataDxfId="280" totalsRowDxfId="279"/>
    <tableColumn id="5" name="Amount" dataDxfId="278" totalsRowDxfId="277" dataCellStyle="Currency"/>
    <tableColumn id="6" name="Status" dataDxfId="276" totalsRowDxfId="275"/>
  </tableColumns>
  <tableStyleInfo name="TableStyleLight20" showFirstColumn="0" showLastColumn="0" showRowStripes="1" showColumnStripes="0"/>
</table>
</file>

<file path=xl/tables/table114.xml><?xml version="1.0" encoding="utf-8"?>
<table xmlns="http://schemas.openxmlformats.org/spreadsheetml/2006/main" id="124" name="Table136125" displayName="Table136125" ref="C11:F16" totalsRowCount="1" headerRowDxfId="274" dataDxfId="273" totalsRowDxfId="272">
  <autoFilter ref="C11:F15"/>
  <tableColumns count="4">
    <tableColumn id="1" name="Income" totalsRowLabel="Total" dataDxfId="271" totalsRowDxfId="270"/>
    <tableColumn id="2" name="Budget" totalsRowFunction="sum" dataDxfId="269" totalsRowDxfId="268" dataCellStyle="Currency"/>
    <tableColumn id="3" name="Actual" totalsRowFunction="sum" dataDxfId="267" totalsRowDxfId="266" dataCellStyle="Currency">
      <calculatedColumnFormula>SUMIFS(Table4420131[Amount],Table4420131[Category],Table136125[[#Headers],[Income]],Table4420131[Sub-Category],Table136125[[#This Row],[Income]])+SUMIFS(Table44130[Amount],Table44130[Category],Table136125[[#Headers],[Income]],Table44130[Sub-Category],Table136125[[#This Row],[Income]])</calculatedColumnFormula>
    </tableColumn>
    <tableColumn id="4" name="Variance" totalsRowFunction="sum" dataDxfId="265" totalsRowDxfId="264" dataCellStyle="Currency">
      <calculatedColumnFormula>Table136125[[#This Row],[Actual]]-Table136125[[#This Row],[Budget]]</calculatedColumnFormula>
    </tableColumn>
  </tableColumns>
  <tableStyleInfo name="TableStyleLight20" showFirstColumn="0" showLastColumn="0" showRowStripes="1" showColumnStripes="0"/>
</table>
</file>

<file path=xl/tables/table115.xml><?xml version="1.0" encoding="utf-8"?>
<table xmlns="http://schemas.openxmlformats.org/spreadsheetml/2006/main" id="125" name="Table137126" displayName="Table137126" ref="C49:F54" totalsRowCount="1" headerRowDxfId="263" dataDxfId="262" totalsRowDxfId="261">
  <autoFilter ref="C49:F53"/>
  <tableColumns count="4">
    <tableColumn id="1" name="Living" totalsRowLabel="Total" dataDxfId="260" totalsRowDxfId="259"/>
    <tableColumn id="2" name="Budget" totalsRowFunction="sum" dataDxfId="258" totalsRowDxfId="257" dataCellStyle="Currency"/>
    <tableColumn id="3" name="Actual" totalsRowFunction="sum" dataDxfId="256" totalsRowDxfId="255" dataCellStyle="Currency">
      <calculatedColumnFormula>SUMIFS(Table4124[Amount],Table4124[Category],Table137126[[#Headers],[Living]],Table4124[Sub-Category],Table137126[[#This Row],[Living]])+SUMIFS(Table44130[Amount],Table44130[Category],Table137126[[#Headers],[Living]],Table44130[Sub-Category],Table137126[[#This Row],[Living]])</calculatedColumnFormula>
    </tableColumn>
    <tableColumn id="4" name="Variance" totalsRowFunction="sum" dataDxfId="254" totalsRowDxfId="253" dataCellStyle="Currency">
      <calculatedColumnFormula>Table137126[[#This Row],[Budget]]-Table137126[[#This Row],[Actual]]</calculatedColumnFormula>
    </tableColumn>
  </tableColumns>
  <tableStyleInfo name="TableStyleLight20" showFirstColumn="0" showLastColumn="0" showRowStripes="1" showColumnStripes="0"/>
</table>
</file>

<file path=xl/tables/table116.xml><?xml version="1.0" encoding="utf-8"?>
<table xmlns="http://schemas.openxmlformats.org/spreadsheetml/2006/main" id="126" name="Table138127" displayName="Table138127" ref="C57:F60" totalsRowCount="1" headerRowDxfId="252" dataDxfId="251" totalsRowDxfId="250">
  <autoFilter ref="C57:F59"/>
  <tableColumns count="4">
    <tableColumn id="1" name="Entertainment" totalsRowLabel="Total" dataDxfId="249" totalsRowDxfId="248"/>
    <tableColumn id="2" name="Budget" totalsRowFunction="sum" dataDxfId="247" totalsRowDxfId="246" dataCellStyle="Currency"/>
    <tableColumn id="3" name="Actual" totalsRowFunction="sum" dataDxfId="245" totalsRowDxfId="244" dataCellStyle="Currency">
      <calculatedColumnFormula>SUMIFS(Table4124[Amount],Table4124[Category],Table138127[[#Headers],[Entertainment]],Table4124[Sub-Category],Table138127[[#This Row],[Entertainment]])+SUMIFS(Table44130[Amount],Table44130[Category],Table138127[[#Headers],[Entertainment]],Table44130[Sub-Category],Table138127[[#This Row],[Entertainment]])</calculatedColumnFormula>
    </tableColumn>
    <tableColumn id="4" name="Variance" totalsRowFunction="sum" dataDxfId="243" totalsRowDxfId="242" dataCellStyle="Currency">
      <calculatedColumnFormula>Table138127[[#This Row],[Budget]]-Table138127[[#This Row],[Actual]]</calculatedColumnFormula>
    </tableColumn>
  </tableColumns>
  <tableStyleInfo name="TableStyleLight20" showFirstColumn="0" showLastColumn="0" showRowStripes="1" showColumnStripes="0"/>
</table>
</file>

<file path=xl/tables/table117.xml><?xml version="1.0" encoding="utf-8"?>
<table xmlns="http://schemas.openxmlformats.org/spreadsheetml/2006/main" id="127" name="Table139128" displayName="Table139128" ref="C63:F66" totalsRowCount="1" headerRowDxfId="241" dataDxfId="240" totalsRowDxfId="239">
  <autoFilter ref="C63:F65"/>
  <tableColumns count="4">
    <tableColumn id="1" name="Misc." totalsRowLabel="Total" dataDxfId="238" totalsRowDxfId="237"/>
    <tableColumn id="2" name="Budget" totalsRowFunction="sum" dataDxfId="236" totalsRowDxfId="235" dataCellStyle="Currency"/>
    <tableColumn id="3" name="Actual" totalsRowFunction="sum" dataDxfId="234" totalsRowDxfId="233" dataCellStyle="Currency">
      <calculatedColumnFormula>SUMIFS(Table4124[Amount],Table4124[Category],Table139128[[#Headers],[Misc.]],Table4124[Sub-Category],Table139128[[#This Row],[Misc.]])+SUMIFS(Table44130[Amount],Table44130[Category],Table139128[[#Headers],[Misc.]],Table44130[Sub-Category],Table139128[[#This Row],[Misc.]])</calculatedColumnFormula>
    </tableColumn>
    <tableColumn id="4" name="Variance" totalsRowFunction="sum" dataDxfId="232" totalsRowDxfId="231" dataCellStyle="Currency">
      <calculatedColumnFormula>Table139128[[#This Row],[Budget]]-Table139128[[#This Row],[Actual]]</calculatedColumnFormula>
    </tableColumn>
  </tableColumns>
  <tableStyleInfo name="TableStyleLight20" showFirstColumn="0" showLastColumn="0" showRowStripes="1" showColumnStripes="0"/>
</table>
</file>

<file path=xl/tables/table118.xml><?xml version="1.0" encoding="utf-8"?>
<table xmlns="http://schemas.openxmlformats.org/spreadsheetml/2006/main" id="128" name="Table13910129" displayName="Table13910129" ref="C40:F46" totalsRowCount="1" headerRowDxfId="230" dataDxfId="229" totalsRowDxfId="228">
  <autoFilter ref="C40:F45"/>
  <tableColumns count="4">
    <tableColumn id="1" name="Bills" totalsRowLabel="Total" dataDxfId="227" totalsRowDxfId="226"/>
    <tableColumn id="2" name="Budget" totalsRowFunction="sum" dataDxfId="225" totalsRowDxfId="224" dataCellStyle="Currency"/>
    <tableColumn id="3" name="Actual" totalsRowFunction="sum" dataDxfId="223" totalsRowDxfId="222" dataCellStyle="Currency">
      <calculatedColumnFormula>SUMIFS(Table4124[Amount],Table4124[Category],Table13910129[[#Headers],[Bills]],Table4124[Sub-Category],Table13910129[[#This Row],[Bills]])+SUMIFS(Table44130[Amount],Table44130[Category],Table13910129[[#Headers],[Bills]],Table44130[Sub-Category],Table13910129[[#This Row],[Bills]])</calculatedColumnFormula>
    </tableColumn>
    <tableColumn id="4" name="Variance" totalsRowFunction="sum" dataDxfId="221" totalsRowDxfId="220" dataCellStyle="Currency">
      <calculatedColumnFormula>Table13910129[[#This Row],[Budget]]-Table13910129[[#This Row],[Actual]]</calculatedColumnFormula>
    </tableColumn>
  </tableColumns>
  <tableStyleInfo name="TableStyleLight20" showFirstColumn="0" showLastColumn="0" showRowStripes="1" showColumnStripes="0"/>
</table>
</file>

<file path=xl/tables/table119.xml><?xml version="1.0" encoding="utf-8"?>
<table xmlns="http://schemas.openxmlformats.org/spreadsheetml/2006/main" id="129" name="Table44130" displayName="Table44130" ref="J34:O40" totalsRowShown="0" headerRowDxfId="219" dataDxfId="218">
  <autoFilter ref="J34:O40"/>
  <tableColumns count="6">
    <tableColumn id="1" name="Description" dataDxfId="217" totalsRowDxfId="216"/>
    <tableColumn id="2" name="Category" dataDxfId="215" totalsRowDxfId="214"/>
    <tableColumn id="3" name="Sub-Category" dataDxfId="213" totalsRowDxfId="212"/>
    <tableColumn id="4" name="Date" dataDxfId="211" totalsRowDxfId="210"/>
    <tableColumn id="5" name="Amount" dataDxfId="209" totalsRowDxfId="208" dataCellStyle="Currency"/>
    <tableColumn id="6" name="Status" dataDxfId="207" totalsRowDxfId="206"/>
  </tableColumns>
  <tableStyleInfo name="TableStyleLight20" showFirstColumn="0" showLastColumn="0" showRowStripes="1" showColumnStripes="0"/>
</table>
</file>

<file path=xl/tables/table120.xml><?xml version="1.0" encoding="utf-8"?>
<table xmlns="http://schemas.openxmlformats.org/spreadsheetml/2006/main" id="130" name="Table4420131" displayName="Table4420131" ref="J11:O15" totalsRowShown="0" headerRowDxfId="205" dataDxfId="204">
  <autoFilter ref="J11:O15"/>
  <sortState ref="J12:O15">
    <sortCondition ref="M11:M15"/>
  </sortState>
  <tableColumns count="6">
    <tableColumn id="1" name="Description" dataDxfId="203" totalsRowDxfId="202"/>
    <tableColumn id="2" name="Category" dataDxfId="201" totalsRowDxfId="200"/>
    <tableColumn id="3" name="Sub-Category" dataDxfId="199" totalsRowDxfId="198"/>
    <tableColumn id="4" name="Date" dataDxfId="197" totalsRowDxfId="196"/>
    <tableColumn id="5" name="Amount" dataDxfId="195" totalsRowDxfId="194" dataCellStyle="Currency"/>
    <tableColumn id="6" name="Status" dataDxfId="193" totalsRowDxfId="192"/>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2.xml"/><Relationship Id="rId13" Type="http://schemas.openxmlformats.org/officeDocument/2006/relationships/table" Target="../tables/table7.xml"/><Relationship Id="rId3" Type="http://schemas.openxmlformats.org/officeDocument/2006/relationships/hyperlink" Target="http://www.robertmcquaig.com/excel-templates/personal-finance/monthly-budget-tracking" TargetMode="External"/><Relationship Id="rId7" Type="http://schemas.openxmlformats.org/officeDocument/2006/relationships/table" Target="../tables/table1.xml"/><Relationship Id="rId12" Type="http://schemas.openxmlformats.org/officeDocument/2006/relationships/table" Target="../tables/table6.xml"/><Relationship Id="rId17" Type="http://schemas.openxmlformats.org/officeDocument/2006/relationships/comments" Target="../comments1.xml"/><Relationship Id="rId2" Type="http://schemas.openxmlformats.org/officeDocument/2006/relationships/hyperlink" Target="http://www.robertmcquaig.com/blog/solutions/excel-check-register/%20&#8206;" TargetMode="External"/><Relationship Id="rId16" Type="http://schemas.openxmlformats.org/officeDocument/2006/relationships/table" Target="../tables/table10.xml"/><Relationship Id="rId1" Type="http://schemas.openxmlformats.org/officeDocument/2006/relationships/hyperlink" Target="http://www.robertmcquaig.com/excel-templates/" TargetMode="External"/><Relationship Id="rId6" Type="http://schemas.openxmlformats.org/officeDocument/2006/relationships/vmlDrawing" Target="../drawings/vmlDrawing1.vml"/><Relationship Id="rId11" Type="http://schemas.openxmlformats.org/officeDocument/2006/relationships/table" Target="../tables/table5.xml"/><Relationship Id="rId5" Type="http://schemas.openxmlformats.org/officeDocument/2006/relationships/drawing" Target="../drawings/drawing1.xml"/><Relationship Id="rId15" Type="http://schemas.openxmlformats.org/officeDocument/2006/relationships/table" Target="../tables/table9.xml"/><Relationship Id="rId10" Type="http://schemas.openxmlformats.org/officeDocument/2006/relationships/table" Target="../tables/table4.xml"/><Relationship Id="rId4" Type="http://schemas.openxmlformats.org/officeDocument/2006/relationships/printerSettings" Target="../printerSettings/printerSettings1.bin"/><Relationship Id="rId9" Type="http://schemas.openxmlformats.org/officeDocument/2006/relationships/table" Target="../tables/table3.xml"/><Relationship Id="rId14" Type="http://schemas.openxmlformats.org/officeDocument/2006/relationships/table" Target="../tables/table8.xml"/></Relationships>
</file>

<file path=xl/worksheets/_rels/sheet2.xml.rels><?xml version="1.0" encoding="UTF-8" standalone="yes"?>
<Relationships xmlns="http://schemas.openxmlformats.org/package/2006/relationships"><Relationship Id="rId8" Type="http://schemas.openxmlformats.org/officeDocument/2006/relationships/table" Target="../tables/table1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6.xml"/><Relationship Id="rId3" Type="http://schemas.openxmlformats.org/officeDocument/2006/relationships/table" Target="../tables/table21.xml"/><Relationship Id="rId7" Type="http://schemas.openxmlformats.org/officeDocument/2006/relationships/table" Target="../tables/table25.xml"/><Relationship Id="rId12" Type="http://schemas.openxmlformats.org/officeDocument/2006/relationships/table" Target="../tables/table30.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table" Target="../tables/table24.xml"/><Relationship Id="rId11" Type="http://schemas.openxmlformats.org/officeDocument/2006/relationships/table" Target="../tables/table29.xml"/><Relationship Id="rId5" Type="http://schemas.openxmlformats.org/officeDocument/2006/relationships/table" Target="../tables/table23.xml"/><Relationship Id="rId10" Type="http://schemas.openxmlformats.org/officeDocument/2006/relationships/table" Target="../tables/table28.xml"/><Relationship Id="rId4" Type="http://schemas.openxmlformats.org/officeDocument/2006/relationships/table" Target="../tables/table22.xml"/><Relationship Id="rId9" Type="http://schemas.openxmlformats.org/officeDocument/2006/relationships/table" Target="../tables/table27.xml"/></Relationships>
</file>

<file path=xl/worksheets/_rels/sheet4.xml.rels><?xml version="1.0" encoding="UTF-8" standalone="yes"?>
<Relationships xmlns="http://schemas.openxmlformats.org/package/2006/relationships"><Relationship Id="rId8" Type="http://schemas.openxmlformats.org/officeDocument/2006/relationships/table" Target="../tables/table36.xml"/><Relationship Id="rId3" Type="http://schemas.openxmlformats.org/officeDocument/2006/relationships/table" Target="../tables/table31.xml"/><Relationship Id="rId7" Type="http://schemas.openxmlformats.org/officeDocument/2006/relationships/table" Target="../tables/table35.xml"/><Relationship Id="rId12" Type="http://schemas.openxmlformats.org/officeDocument/2006/relationships/table" Target="../tables/table40.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table" Target="../tables/table34.xml"/><Relationship Id="rId11" Type="http://schemas.openxmlformats.org/officeDocument/2006/relationships/table" Target="../tables/table39.xml"/><Relationship Id="rId5" Type="http://schemas.openxmlformats.org/officeDocument/2006/relationships/table" Target="../tables/table33.xml"/><Relationship Id="rId10" Type="http://schemas.openxmlformats.org/officeDocument/2006/relationships/table" Target="../tables/table38.xml"/><Relationship Id="rId4" Type="http://schemas.openxmlformats.org/officeDocument/2006/relationships/table" Target="../tables/table32.xml"/><Relationship Id="rId9" Type="http://schemas.openxmlformats.org/officeDocument/2006/relationships/table" Target="../tables/table37.xml"/></Relationships>
</file>

<file path=xl/worksheets/_rels/sheet5.xml.rels><?xml version="1.0" encoding="UTF-8" standalone="yes"?>
<Relationships xmlns="http://schemas.openxmlformats.org/package/2006/relationships"><Relationship Id="rId8" Type="http://schemas.openxmlformats.org/officeDocument/2006/relationships/table" Target="../tables/table46.xml"/><Relationship Id="rId3" Type="http://schemas.openxmlformats.org/officeDocument/2006/relationships/table" Target="../tables/table41.xml"/><Relationship Id="rId7" Type="http://schemas.openxmlformats.org/officeDocument/2006/relationships/table" Target="../tables/table45.xml"/><Relationship Id="rId12" Type="http://schemas.openxmlformats.org/officeDocument/2006/relationships/table" Target="../tables/table50.x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table" Target="../tables/table44.xml"/><Relationship Id="rId11" Type="http://schemas.openxmlformats.org/officeDocument/2006/relationships/table" Target="../tables/table49.xml"/><Relationship Id="rId5" Type="http://schemas.openxmlformats.org/officeDocument/2006/relationships/table" Target="../tables/table43.xml"/><Relationship Id="rId10" Type="http://schemas.openxmlformats.org/officeDocument/2006/relationships/table" Target="../tables/table48.xml"/><Relationship Id="rId4" Type="http://schemas.openxmlformats.org/officeDocument/2006/relationships/table" Target="../tables/table42.xml"/><Relationship Id="rId9" Type="http://schemas.openxmlformats.org/officeDocument/2006/relationships/table" Target="../tables/table47.xml"/></Relationships>
</file>

<file path=xl/worksheets/_rels/sheet6.xml.rels><?xml version="1.0" encoding="UTF-8" standalone="yes"?>
<Relationships xmlns="http://schemas.openxmlformats.org/package/2006/relationships"><Relationship Id="rId8" Type="http://schemas.openxmlformats.org/officeDocument/2006/relationships/table" Target="../tables/table56.xml"/><Relationship Id="rId3" Type="http://schemas.openxmlformats.org/officeDocument/2006/relationships/table" Target="../tables/table51.xml"/><Relationship Id="rId7" Type="http://schemas.openxmlformats.org/officeDocument/2006/relationships/table" Target="../tables/table55.xml"/><Relationship Id="rId12" Type="http://schemas.openxmlformats.org/officeDocument/2006/relationships/table" Target="../tables/table6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table" Target="../tables/table54.xml"/><Relationship Id="rId11" Type="http://schemas.openxmlformats.org/officeDocument/2006/relationships/table" Target="../tables/table59.xml"/><Relationship Id="rId5" Type="http://schemas.openxmlformats.org/officeDocument/2006/relationships/table" Target="../tables/table53.xml"/><Relationship Id="rId10" Type="http://schemas.openxmlformats.org/officeDocument/2006/relationships/table" Target="../tables/table58.xml"/><Relationship Id="rId4" Type="http://schemas.openxmlformats.org/officeDocument/2006/relationships/table" Target="../tables/table52.xml"/><Relationship Id="rId9" Type="http://schemas.openxmlformats.org/officeDocument/2006/relationships/table" Target="../tables/table57.xml"/></Relationships>
</file>

<file path=xl/worksheets/_rels/sheet7.xml.rels><?xml version="1.0" encoding="UTF-8" standalone="yes"?>
<Relationships xmlns="http://schemas.openxmlformats.org/package/2006/relationships"><Relationship Id="rId8" Type="http://schemas.openxmlformats.org/officeDocument/2006/relationships/table" Target="../tables/table66.xml"/><Relationship Id="rId3" Type="http://schemas.openxmlformats.org/officeDocument/2006/relationships/table" Target="../tables/table61.xml"/><Relationship Id="rId7" Type="http://schemas.openxmlformats.org/officeDocument/2006/relationships/table" Target="../tables/table65.xml"/><Relationship Id="rId12" Type="http://schemas.openxmlformats.org/officeDocument/2006/relationships/table" Target="../tables/table70.xml"/><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table" Target="../tables/table64.xml"/><Relationship Id="rId11" Type="http://schemas.openxmlformats.org/officeDocument/2006/relationships/table" Target="../tables/table69.xml"/><Relationship Id="rId5" Type="http://schemas.openxmlformats.org/officeDocument/2006/relationships/table" Target="../tables/table63.xml"/><Relationship Id="rId10" Type="http://schemas.openxmlformats.org/officeDocument/2006/relationships/table" Target="../tables/table68.xml"/><Relationship Id="rId4" Type="http://schemas.openxmlformats.org/officeDocument/2006/relationships/table" Target="../tables/table62.xml"/><Relationship Id="rId9" Type="http://schemas.openxmlformats.org/officeDocument/2006/relationships/table" Target="../tables/table67.xml"/></Relationships>
</file>

<file path=xl/worksheets/_rels/sheet8.xml.rels><?xml version="1.0" encoding="UTF-8" standalone="yes"?>
<Relationships xmlns="http://schemas.openxmlformats.org/package/2006/relationships"><Relationship Id="rId8" Type="http://schemas.openxmlformats.org/officeDocument/2006/relationships/table" Target="../tables/table76.xml"/><Relationship Id="rId3" Type="http://schemas.openxmlformats.org/officeDocument/2006/relationships/table" Target="../tables/table71.xml"/><Relationship Id="rId7" Type="http://schemas.openxmlformats.org/officeDocument/2006/relationships/table" Target="../tables/table75.xml"/><Relationship Id="rId12" Type="http://schemas.openxmlformats.org/officeDocument/2006/relationships/table" Target="../tables/table80.xml"/><Relationship Id="rId2" Type="http://schemas.openxmlformats.org/officeDocument/2006/relationships/drawing" Target="../drawings/drawing8.xml"/><Relationship Id="rId1" Type="http://schemas.openxmlformats.org/officeDocument/2006/relationships/printerSettings" Target="../printerSettings/printerSettings8.bin"/><Relationship Id="rId6" Type="http://schemas.openxmlformats.org/officeDocument/2006/relationships/table" Target="../tables/table74.xml"/><Relationship Id="rId11" Type="http://schemas.openxmlformats.org/officeDocument/2006/relationships/table" Target="../tables/table79.xml"/><Relationship Id="rId5" Type="http://schemas.openxmlformats.org/officeDocument/2006/relationships/table" Target="../tables/table73.xml"/><Relationship Id="rId10" Type="http://schemas.openxmlformats.org/officeDocument/2006/relationships/table" Target="../tables/table78.xml"/><Relationship Id="rId4" Type="http://schemas.openxmlformats.org/officeDocument/2006/relationships/table" Target="../tables/table72.xml"/><Relationship Id="rId9" Type="http://schemas.openxmlformats.org/officeDocument/2006/relationships/table" Target="../tables/table77.xml"/></Relationships>
</file>

<file path=xl/worksheets/_rels/sheet9.xml.rels><?xml version="1.0" encoding="UTF-8" standalone="yes"?>
<Relationships xmlns="http://schemas.openxmlformats.org/package/2006/relationships"><Relationship Id="rId8" Type="http://schemas.openxmlformats.org/officeDocument/2006/relationships/table" Target="../tables/table86.xml"/><Relationship Id="rId3" Type="http://schemas.openxmlformats.org/officeDocument/2006/relationships/table" Target="../tables/table81.xml"/><Relationship Id="rId7" Type="http://schemas.openxmlformats.org/officeDocument/2006/relationships/table" Target="../tables/table85.xml"/><Relationship Id="rId12" Type="http://schemas.openxmlformats.org/officeDocument/2006/relationships/table" Target="../tables/table90.xml"/><Relationship Id="rId2" Type="http://schemas.openxmlformats.org/officeDocument/2006/relationships/drawing" Target="../drawings/drawing9.xml"/><Relationship Id="rId1" Type="http://schemas.openxmlformats.org/officeDocument/2006/relationships/printerSettings" Target="../printerSettings/printerSettings9.bin"/><Relationship Id="rId6" Type="http://schemas.openxmlformats.org/officeDocument/2006/relationships/table" Target="../tables/table84.xml"/><Relationship Id="rId11" Type="http://schemas.openxmlformats.org/officeDocument/2006/relationships/table" Target="../tables/table89.xml"/><Relationship Id="rId5" Type="http://schemas.openxmlformats.org/officeDocument/2006/relationships/table" Target="../tables/table83.xml"/><Relationship Id="rId10" Type="http://schemas.openxmlformats.org/officeDocument/2006/relationships/table" Target="../tables/table88.xml"/><Relationship Id="rId4" Type="http://schemas.openxmlformats.org/officeDocument/2006/relationships/table" Target="../tables/table82.xml"/><Relationship Id="rId9" Type="http://schemas.openxmlformats.org/officeDocument/2006/relationships/table" Target="../tables/table87.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96.xml"/><Relationship Id="rId3" Type="http://schemas.openxmlformats.org/officeDocument/2006/relationships/table" Target="../tables/table91.xml"/><Relationship Id="rId7" Type="http://schemas.openxmlformats.org/officeDocument/2006/relationships/table" Target="../tables/table95.xml"/><Relationship Id="rId12" Type="http://schemas.openxmlformats.org/officeDocument/2006/relationships/table" Target="../tables/table100.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table" Target="../tables/table94.xml"/><Relationship Id="rId11" Type="http://schemas.openxmlformats.org/officeDocument/2006/relationships/table" Target="../tables/table99.xml"/><Relationship Id="rId5" Type="http://schemas.openxmlformats.org/officeDocument/2006/relationships/table" Target="../tables/table93.xml"/><Relationship Id="rId10" Type="http://schemas.openxmlformats.org/officeDocument/2006/relationships/table" Target="../tables/table98.xml"/><Relationship Id="rId4" Type="http://schemas.openxmlformats.org/officeDocument/2006/relationships/table" Target="../tables/table92.xml"/><Relationship Id="rId9" Type="http://schemas.openxmlformats.org/officeDocument/2006/relationships/table" Target="../tables/table97.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06.xml"/><Relationship Id="rId3" Type="http://schemas.openxmlformats.org/officeDocument/2006/relationships/table" Target="../tables/table101.xml"/><Relationship Id="rId7" Type="http://schemas.openxmlformats.org/officeDocument/2006/relationships/table" Target="../tables/table105.xml"/><Relationship Id="rId12" Type="http://schemas.openxmlformats.org/officeDocument/2006/relationships/table" Target="../tables/table110.xml"/><Relationship Id="rId2" Type="http://schemas.openxmlformats.org/officeDocument/2006/relationships/drawing" Target="../drawings/drawing11.xml"/><Relationship Id="rId1" Type="http://schemas.openxmlformats.org/officeDocument/2006/relationships/printerSettings" Target="../printerSettings/printerSettings11.bin"/><Relationship Id="rId6" Type="http://schemas.openxmlformats.org/officeDocument/2006/relationships/table" Target="../tables/table104.xml"/><Relationship Id="rId11" Type="http://schemas.openxmlformats.org/officeDocument/2006/relationships/table" Target="../tables/table109.xml"/><Relationship Id="rId5" Type="http://schemas.openxmlformats.org/officeDocument/2006/relationships/table" Target="../tables/table103.xml"/><Relationship Id="rId10" Type="http://schemas.openxmlformats.org/officeDocument/2006/relationships/table" Target="../tables/table108.xml"/><Relationship Id="rId4" Type="http://schemas.openxmlformats.org/officeDocument/2006/relationships/table" Target="../tables/table102.xml"/><Relationship Id="rId9" Type="http://schemas.openxmlformats.org/officeDocument/2006/relationships/table" Target="../tables/table107.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16.xml"/><Relationship Id="rId3" Type="http://schemas.openxmlformats.org/officeDocument/2006/relationships/table" Target="../tables/table111.xml"/><Relationship Id="rId7" Type="http://schemas.openxmlformats.org/officeDocument/2006/relationships/table" Target="../tables/table115.xml"/><Relationship Id="rId12" Type="http://schemas.openxmlformats.org/officeDocument/2006/relationships/table" Target="../tables/table120.xml"/><Relationship Id="rId2" Type="http://schemas.openxmlformats.org/officeDocument/2006/relationships/drawing" Target="../drawings/drawing12.xml"/><Relationship Id="rId1" Type="http://schemas.openxmlformats.org/officeDocument/2006/relationships/printerSettings" Target="../printerSettings/printerSettings12.bin"/><Relationship Id="rId6" Type="http://schemas.openxmlformats.org/officeDocument/2006/relationships/table" Target="../tables/table114.xml"/><Relationship Id="rId11" Type="http://schemas.openxmlformats.org/officeDocument/2006/relationships/table" Target="../tables/table119.xml"/><Relationship Id="rId5" Type="http://schemas.openxmlformats.org/officeDocument/2006/relationships/table" Target="../tables/table113.xml"/><Relationship Id="rId10" Type="http://schemas.openxmlformats.org/officeDocument/2006/relationships/table" Target="../tables/table118.xml"/><Relationship Id="rId4" Type="http://schemas.openxmlformats.org/officeDocument/2006/relationships/table" Target="../tables/table112.xml"/><Relationship Id="rId9" Type="http://schemas.openxmlformats.org/officeDocument/2006/relationships/table" Target="../tables/table11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F67"/>
  <sheetViews>
    <sheetView showGridLines="0" tabSelected="1" zoomScaleNormal="100" workbookViewId="0">
      <selection activeCell="B1" sqref="B1"/>
    </sheetView>
  </sheetViews>
  <sheetFormatPr defaultColWidth="0" defaultRowHeight="12" x14ac:dyDescent="0.2"/>
  <cols>
    <col min="1" max="1" width="1.140625" style="62" customWidth="1"/>
    <col min="2" max="2" width="11.140625" style="54" customWidth="1"/>
    <col min="3" max="4" width="9.140625" style="54" customWidth="1"/>
    <col min="5" max="5" width="8.7109375" style="54" customWidth="1"/>
    <col min="6" max="6" width="1.140625" style="62" customWidth="1"/>
    <col min="7" max="7" width="15" style="1" bestFit="1" customWidth="1"/>
    <col min="8" max="10" width="12.85546875" style="1" customWidth="1"/>
    <col min="11" max="11" width="0.85546875" style="1" customWidth="1"/>
    <col min="12" max="12" width="0.28515625" style="1" customWidth="1"/>
    <col min="13" max="13" width="0.85546875" style="1" customWidth="1"/>
    <col min="14" max="14" width="24.42578125" style="1" bestFit="1" customWidth="1"/>
    <col min="15" max="15" width="12.140625" style="1" bestFit="1" customWidth="1"/>
    <col min="16" max="16" width="14.140625" style="1" bestFit="1" customWidth="1"/>
    <col min="17" max="17" width="8.5703125" style="1" bestFit="1" customWidth="1"/>
    <col min="18" max="18" width="9.7109375" style="1" bestFit="1" customWidth="1"/>
    <col min="19" max="19" width="8.28515625" style="1" bestFit="1" customWidth="1"/>
    <col min="20" max="20" width="0.85546875" style="1" customWidth="1"/>
    <col min="21" max="21" width="0.28515625" style="1" customWidth="1"/>
    <col min="22" max="22" width="0.85546875" style="1" customWidth="1"/>
    <col min="23" max="23" width="10.28515625" style="1" bestFit="1" customWidth="1"/>
    <col min="24" max="26" width="9.5703125" style="1" customWidth="1"/>
    <col min="27" max="27" width="0.7109375" style="1" customWidth="1"/>
    <col min="28" max="28" width="0.7109375" style="1" hidden="1" customWidth="1"/>
    <col min="29" max="29" width="12.140625" style="1" hidden="1" customWidth="1"/>
    <col min="30" max="32" width="4" style="1" hidden="1" customWidth="1"/>
    <col min="33" max="16384" width="9.140625" style="1" hidden="1"/>
  </cols>
  <sheetData>
    <row r="1" spans="1:27" ht="26.25" x14ac:dyDescent="0.4">
      <c r="G1" s="58">
        <v>41518</v>
      </c>
      <c r="H1" s="59"/>
      <c r="I1" s="59"/>
      <c r="J1" s="60"/>
      <c r="V1" s="45" t="s">
        <v>0</v>
      </c>
      <c r="W1" s="45" t="s">
        <v>1</v>
      </c>
      <c r="X1" s="45" t="s">
        <v>2</v>
      </c>
      <c r="Y1" s="45" t="s">
        <v>16</v>
      </c>
      <c r="Z1" s="45" t="s">
        <v>45</v>
      </c>
    </row>
    <row r="2" spans="1:27" x14ac:dyDescent="0.2">
      <c r="H2" s="46" t="s">
        <v>1</v>
      </c>
      <c r="I2" s="47" t="s">
        <v>2</v>
      </c>
      <c r="J2" s="47" t="s">
        <v>14</v>
      </c>
      <c r="V2" s="45" t="str">
        <f>Table136[[#Headers],[Income]]</f>
        <v>Income</v>
      </c>
      <c r="W2" s="45">
        <f>SUM(Table136[Budget])</f>
        <v>5100</v>
      </c>
      <c r="X2" s="45">
        <f>SUM(Table136[Actual])</f>
        <v>5167.3500000000004</v>
      </c>
      <c r="Y2" s="45" t="s">
        <v>19</v>
      </c>
      <c r="Z2" s="45">
        <f>AVERAGE(Z12:Z42)</f>
        <v>2207.4038709677416</v>
      </c>
    </row>
    <row r="3" spans="1:27" x14ac:dyDescent="0.2">
      <c r="B3" s="63" t="s">
        <v>76</v>
      </c>
      <c r="C3" s="63"/>
      <c r="D3" s="63"/>
      <c r="E3" s="63"/>
      <c r="G3" s="17" t="s">
        <v>35</v>
      </c>
      <c r="H3" s="48">
        <f>I3</f>
        <v>1156.74</v>
      </c>
      <c r="I3" s="51">
        <v>1156.74</v>
      </c>
      <c r="J3" s="49">
        <f>I3-H3</f>
        <v>0</v>
      </c>
      <c r="V3" s="45" t="str">
        <f>Table1[[#Headers],[Housing]]</f>
        <v>Housing</v>
      </c>
      <c r="W3" s="45">
        <f>SUM(Table1[Budget])</f>
        <v>1650</v>
      </c>
      <c r="X3" s="45">
        <f>SUM(Table1[Actual])</f>
        <v>1549.15</v>
      </c>
      <c r="Y3" s="45" t="s">
        <v>17</v>
      </c>
      <c r="Z3" s="45"/>
    </row>
    <row r="4" spans="1:27" x14ac:dyDescent="0.2">
      <c r="B4" s="64" t="s">
        <v>77</v>
      </c>
      <c r="C4" s="65" t="s">
        <v>82</v>
      </c>
      <c r="D4" s="65"/>
      <c r="E4" s="65"/>
      <c r="G4" s="17" t="s">
        <v>32</v>
      </c>
      <c r="H4" s="5">
        <f>Table136[[#Totals],[Budget]]</f>
        <v>5100</v>
      </c>
      <c r="I4" s="50">
        <f>Table136[[#Totals],[Actual]]</f>
        <v>5167.3500000000004</v>
      </c>
      <c r="J4" s="5">
        <f>I4-H4</f>
        <v>67.350000000000364</v>
      </c>
      <c r="V4" s="45" t="str">
        <f>Table13[[#Headers],[Transportation]]</f>
        <v>Transportation</v>
      </c>
      <c r="W4" s="45">
        <f>SUM(Table13[Budget])</f>
        <v>1000</v>
      </c>
      <c r="X4" s="45">
        <f>SUM(Table13[Actual])</f>
        <v>1168.79</v>
      </c>
      <c r="Y4" s="45" t="s">
        <v>18</v>
      </c>
      <c r="Z4" s="45"/>
    </row>
    <row r="5" spans="1:27" x14ac:dyDescent="0.2">
      <c r="B5" s="64" t="s">
        <v>78</v>
      </c>
      <c r="C5" s="65" t="s">
        <v>79</v>
      </c>
      <c r="D5" s="65"/>
      <c r="E5" s="65"/>
      <c r="G5" s="17" t="s">
        <v>33</v>
      </c>
      <c r="H5" s="5">
        <f>Table1[[#Totals],[Budget]]+Table13[[#Totals],[Budget]]+Table13910[[#Totals],[Budget]]+Table137[[#Totals],[Budget]]+Table138[[#Totals],[Budget]]+Table139[[#Totals],[Budget]]</f>
        <v>4285</v>
      </c>
      <c r="I5" s="5">
        <f>Table1[[#Totals],[Actual]]+Table13[[#Totals],[Actual]]+Table13910[[#Totals],[Actual]]+Table137[[#Totals],[Actual]]+Table138[[#Totals],[Actual]]+Table139[[#Totals],[Actual]]</f>
        <v>3025.21</v>
      </c>
      <c r="J5" s="5">
        <f>I5-H5</f>
        <v>-1259.79</v>
      </c>
      <c r="V5" s="45" t="str">
        <f>Table13910[[#Headers],[Bills]]</f>
        <v>Bills</v>
      </c>
      <c r="W5" s="45">
        <f>SUM(Table13910[Budget])</f>
        <v>385</v>
      </c>
      <c r="X5" s="45">
        <f>SUM(Table13910[Actual])</f>
        <v>275</v>
      </c>
      <c r="Y5" s="45"/>
      <c r="Z5" s="45"/>
    </row>
    <row r="6" spans="1:27" x14ac:dyDescent="0.2">
      <c r="B6" s="63" t="s">
        <v>80</v>
      </c>
      <c r="C6" s="63"/>
      <c r="D6" s="63"/>
      <c r="E6" s="63"/>
      <c r="G6" s="15" t="s">
        <v>34</v>
      </c>
      <c r="H6" s="16">
        <f>H3+H4-H5</f>
        <v>1971.7399999999998</v>
      </c>
      <c r="I6" s="16">
        <f>I3+I4-I5</f>
        <v>3298.88</v>
      </c>
      <c r="J6" s="16">
        <f>J3+J4-J5</f>
        <v>1327.1400000000003</v>
      </c>
      <c r="V6" s="45" t="str">
        <f>Table137[[#Headers],[Living]]</f>
        <v>Living</v>
      </c>
      <c r="W6" s="45">
        <f>SUM(Table137[Budget])</f>
        <v>800</v>
      </c>
      <c r="X6" s="45">
        <f>SUM(Table137[Actual])</f>
        <v>21.39</v>
      </c>
      <c r="Y6" s="45"/>
      <c r="Z6" s="45"/>
    </row>
    <row r="7" spans="1:27" ht="3.75" customHeight="1" x14ac:dyDescent="0.2">
      <c r="H7" s="2"/>
      <c r="V7" s="45" t="str">
        <f>Table138[[#Headers],[Entertainment]]</f>
        <v>Entertainment</v>
      </c>
      <c r="W7" s="45">
        <f>SUM(Table138[Budget])</f>
        <v>300</v>
      </c>
      <c r="X7" s="45">
        <f>SUM(Table138[Actual])</f>
        <v>10.88</v>
      </c>
      <c r="Y7" s="45"/>
      <c r="Z7" s="45"/>
    </row>
    <row r="8" spans="1:27" ht="1.5" customHeight="1" x14ac:dyDescent="0.2">
      <c r="G8" s="42"/>
      <c r="H8" s="43"/>
      <c r="I8" s="42"/>
      <c r="J8" s="42"/>
      <c r="K8" s="42"/>
      <c r="L8" s="42"/>
      <c r="M8" s="42"/>
      <c r="N8" s="42"/>
      <c r="O8" s="42"/>
      <c r="P8" s="42"/>
      <c r="Q8" s="42"/>
      <c r="R8" s="42"/>
      <c r="S8" s="42"/>
      <c r="T8" s="42"/>
      <c r="U8" s="42"/>
      <c r="V8" s="44" t="str">
        <f>Table139[[#Headers],[Misc.]]</f>
        <v>Misc.</v>
      </c>
      <c r="W8" s="44">
        <f>SUM(Table139[Budget])</f>
        <v>150</v>
      </c>
      <c r="X8" s="44">
        <f>SUM(Table139[Actual])</f>
        <v>0</v>
      </c>
      <c r="Y8" s="44"/>
      <c r="Z8" s="44"/>
    </row>
    <row r="9" spans="1:27" ht="3.75" customHeight="1" x14ac:dyDescent="0.2">
      <c r="H9" s="2"/>
      <c r="L9" s="42"/>
      <c r="U9" s="42"/>
    </row>
    <row r="10" spans="1:27" s="25" customFormat="1" x14ac:dyDescent="0.2">
      <c r="A10" s="66"/>
      <c r="B10" s="54"/>
      <c r="C10" s="54"/>
      <c r="D10" s="54"/>
      <c r="E10" s="54"/>
      <c r="F10" s="35"/>
      <c r="G10" s="55" t="str">
        <f>CONCATENATE(Table136[[#Headers],[Income]]," - Budget &amp; Tracking")</f>
        <v>Income - Budget &amp; Tracking</v>
      </c>
      <c r="H10" s="56"/>
      <c r="I10" s="56"/>
      <c r="J10" s="57"/>
      <c r="K10" s="35"/>
      <c r="L10" s="41"/>
      <c r="N10" s="55" t="s">
        <v>42</v>
      </c>
      <c r="O10" s="56"/>
      <c r="P10" s="56"/>
      <c r="Q10" s="56"/>
      <c r="R10" s="56"/>
      <c r="S10" s="57"/>
      <c r="U10" s="41"/>
      <c r="W10" s="55" t="s">
        <v>40</v>
      </c>
      <c r="X10" s="56"/>
      <c r="Y10" s="56"/>
      <c r="Z10" s="57"/>
    </row>
    <row r="11" spans="1:27" ht="12.75" thickBot="1" x14ac:dyDescent="0.25">
      <c r="F11" s="32"/>
      <c r="G11" s="31" t="s">
        <v>15</v>
      </c>
      <c r="H11" s="31" t="s">
        <v>1</v>
      </c>
      <c r="I11" s="31" t="s">
        <v>2</v>
      </c>
      <c r="J11" s="31" t="s">
        <v>14</v>
      </c>
      <c r="K11" s="32"/>
      <c r="L11" s="42"/>
      <c r="N11" s="31" t="s">
        <v>9</v>
      </c>
      <c r="O11" s="31" t="s">
        <v>0</v>
      </c>
      <c r="P11" s="31" t="s">
        <v>13</v>
      </c>
      <c r="Q11" s="31" t="s">
        <v>10</v>
      </c>
      <c r="R11" s="31" t="s">
        <v>11</v>
      </c>
      <c r="S11" s="31" t="s">
        <v>16</v>
      </c>
      <c r="U11" s="42"/>
      <c r="W11" s="40" t="s">
        <v>10</v>
      </c>
      <c r="X11" s="40" t="s">
        <v>22</v>
      </c>
      <c r="Y11" s="40" t="s">
        <v>21</v>
      </c>
      <c r="Z11" s="40" t="s">
        <v>23</v>
      </c>
    </row>
    <row r="12" spans="1:27" x14ac:dyDescent="0.2">
      <c r="F12" s="32"/>
      <c r="G12" s="1" t="s">
        <v>46</v>
      </c>
      <c r="H12" s="2">
        <v>3000</v>
      </c>
      <c r="I12" s="2">
        <f>SUMIFS(Table4420[Amount],Table4420[Category],Table136[[#Headers],[Income]],Table4420[Sub-Category],Table136[[#This Row],[Income]])+SUMIFS(Table44[Amount],Table44[Category],Table136[[#Headers],[Income]],Table44[Sub-Category],Table136[[#This Row],[Income]])</f>
        <v>2967.35</v>
      </c>
      <c r="J12" s="3">
        <f>Table136[[#This Row],[Actual]]-Table136[[#This Row],[Budget]]</f>
        <v>-32.650000000000091</v>
      </c>
      <c r="K12" s="32"/>
      <c r="L12" s="42"/>
      <c r="N12" s="1" t="s">
        <v>74</v>
      </c>
      <c r="O12" s="1" t="s">
        <v>15</v>
      </c>
      <c r="P12" s="1" t="s">
        <v>46</v>
      </c>
      <c r="Q12" s="4">
        <v>41522</v>
      </c>
      <c r="R12" s="2">
        <v>1467.35</v>
      </c>
      <c r="S12" s="1" t="s">
        <v>18</v>
      </c>
      <c r="U12" s="42"/>
      <c r="W12" s="27">
        <f>G1</f>
        <v>41518</v>
      </c>
      <c r="X12" s="29">
        <f>SUMIFS(Table4420[Amount],Table4420[Date],W12,Table4420[Category],Table136[[#Headers],[Income]])+SUMIFS(Table44[Amount],Table44[Date],W12,Table44[Category],Table136[[#Headers],[Income]])</f>
        <v>0</v>
      </c>
      <c r="Y12" s="29">
        <f>SUMIFS(Table4[Amount],Table4[Date],W12,Table4[Category],"&lt;&gt;"&amp;Table136[[#Headers],[Income]])+SUMIFS(Table44[Amount],Table44[Date],W12,Table44[Category],"&lt;&gt;"&amp;Table136[[#Headers],[Income]])</f>
        <v>873.67</v>
      </c>
      <c r="Z12" s="29">
        <f>I3+X12-Y12</f>
        <v>283.07000000000005</v>
      </c>
      <c r="AA12" s="1">
        <f>Z2</f>
        <v>2207.4038709677416</v>
      </c>
    </row>
    <row r="13" spans="1:27" x14ac:dyDescent="0.2">
      <c r="F13" s="32"/>
      <c r="G13" s="1" t="s">
        <v>47</v>
      </c>
      <c r="H13" s="2">
        <v>2000</v>
      </c>
      <c r="I13" s="2">
        <f>SUMIFS(Table4420[Amount],Table4420[Category],Table136[[#Headers],[Income]],Table4420[Sub-Category],Table136[[#This Row],[Income]])+SUMIFS(Table44[Amount],Table44[Category],Table136[[#Headers],[Income]],Table44[Sub-Category],Table136[[#This Row],[Income]])</f>
        <v>2200</v>
      </c>
      <c r="J13" s="3">
        <f>Table136[[#This Row],[Actual]]-Table136[[#This Row],[Budget]]</f>
        <v>200</v>
      </c>
      <c r="K13" s="32"/>
      <c r="L13" s="42"/>
      <c r="N13" s="1" t="s">
        <v>75</v>
      </c>
      <c r="O13" s="1" t="s">
        <v>15</v>
      </c>
      <c r="P13" s="1" t="s">
        <v>47</v>
      </c>
      <c r="Q13" s="4">
        <v>41530</v>
      </c>
      <c r="R13" s="2">
        <v>1100</v>
      </c>
      <c r="S13" s="1" t="s">
        <v>19</v>
      </c>
      <c r="U13" s="42"/>
      <c r="W13" s="30">
        <f t="shared" ref="W13:W42" si="0">W12+1</f>
        <v>41519</v>
      </c>
      <c r="X13" s="28">
        <f>SUMIFS(Table4420[Amount],Table4420[Date],W13,Table4420[Category],Table136[[#Headers],[Income]])+SUMIFS(Table44[Amount],Table44[Date],W13,Table44[Category],Table136[[#Headers],[Income]])</f>
        <v>0</v>
      </c>
      <c r="Y13" s="28">
        <f>SUMIFS(Table4[Amount],Table4[Date],W13,Table4[Category],"&lt;&gt;"&amp;Table136[[#Headers],[Income]])+SUMIFS(Table44[Amount],Table44[Date],W13,Table44[Category],"&lt;&gt;"&amp;Table136[[#Headers],[Income]])</f>
        <v>0</v>
      </c>
      <c r="Z13" s="28">
        <f>Z12+X13-Y13</f>
        <v>283.07000000000005</v>
      </c>
      <c r="AA13" s="1">
        <f>AA12</f>
        <v>2207.4038709677416</v>
      </c>
    </row>
    <row r="14" spans="1:27" x14ac:dyDescent="0.2">
      <c r="F14" s="32"/>
      <c r="G14" s="1" t="s">
        <v>48</v>
      </c>
      <c r="H14" s="12">
        <v>100</v>
      </c>
      <c r="I14" s="12">
        <f>SUMIFS(Table4420[Amount],Table4420[Category],Table136[[#Headers],[Income]],Table4420[Sub-Category],Table136[[#This Row],[Income]])+SUMIFS(Table44[Amount],Table44[Category],Table136[[#Headers],[Income]],Table44[Sub-Category],Table136[[#This Row],[Income]])</f>
        <v>0</v>
      </c>
      <c r="J14" s="2">
        <f>Table136[[#This Row],[Actual]]-Table136[[#This Row],[Budget]]</f>
        <v>-100</v>
      </c>
      <c r="K14" s="32"/>
      <c r="L14" s="42"/>
      <c r="N14" s="1" t="s">
        <v>74</v>
      </c>
      <c r="O14" s="1" t="s">
        <v>15</v>
      </c>
      <c r="P14" s="1" t="s">
        <v>46</v>
      </c>
      <c r="Q14" s="4">
        <v>41537</v>
      </c>
      <c r="R14" s="2">
        <v>1500</v>
      </c>
      <c r="S14" s="1" t="s">
        <v>19</v>
      </c>
      <c r="U14" s="42"/>
      <c r="W14" s="27">
        <f t="shared" si="0"/>
        <v>41520</v>
      </c>
      <c r="X14" s="29">
        <f>SUMIFS(Table4420[Amount],Table4420[Date],W14,Table4420[Category],Table136[[#Headers],[Income]])+SUMIFS(Table44[Amount],Table44[Date],W14,Table44[Category],Table136[[#Headers],[Income]])</f>
        <v>0</v>
      </c>
      <c r="Y14" s="29">
        <f>SUMIFS(Table4[Amount],Table4[Date],W14,Table4[Category],"&lt;&gt;"&amp;Table136[[#Headers],[Income]])+SUMIFS(Table44[Amount],Table44[Date],W14,Table44[Category],"&lt;&gt;"&amp;Table136[[#Headers],[Income]])</f>
        <v>0</v>
      </c>
      <c r="Z14" s="29">
        <f t="shared" ref="Z14:Z42" si="1">Z13+X14-Y14</f>
        <v>283.07000000000005</v>
      </c>
      <c r="AA14" s="1">
        <f t="shared" ref="AA14:AA42" si="2">AA13</f>
        <v>2207.4038709677416</v>
      </c>
    </row>
    <row r="15" spans="1:27" x14ac:dyDescent="0.2">
      <c r="F15" s="32"/>
      <c r="G15" s="1" t="s">
        <v>29</v>
      </c>
      <c r="H15" s="2">
        <v>0</v>
      </c>
      <c r="I15" s="3">
        <f>SUMIFS(Table4420[Amount],Table4420[Category],Table136[[#Headers],[Income]],Table4420[Sub-Category],Table136[[#This Row],[Income]])+SUMIFS(Table44[Amount],Table44[Category],Table136[[#Headers],[Income]],Table44[Sub-Category],Table136[[#This Row],[Income]])</f>
        <v>0</v>
      </c>
      <c r="J15" s="3">
        <f>Table136[[#This Row],[Actual]]-Table136[[#This Row],[Budget]]</f>
        <v>0</v>
      </c>
      <c r="K15" s="32"/>
      <c r="L15" s="42"/>
      <c r="N15" s="1" t="s">
        <v>75</v>
      </c>
      <c r="O15" s="11" t="s">
        <v>15</v>
      </c>
      <c r="P15" s="11" t="s">
        <v>47</v>
      </c>
      <c r="Q15" s="24">
        <v>41544</v>
      </c>
      <c r="R15" s="12">
        <v>1100</v>
      </c>
      <c r="S15" s="11" t="s">
        <v>19</v>
      </c>
      <c r="U15" s="42"/>
      <c r="W15" s="30">
        <f t="shared" si="0"/>
        <v>41521</v>
      </c>
      <c r="X15" s="28">
        <f>SUMIFS(Table4420[Amount],Table4420[Date],W15,Table4420[Category],Table136[[#Headers],[Income]])+SUMIFS(Table44[Amount],Table44[Date],W15,Table44[Category],Table136[[#Headers],[Income]])</f>
        <v>0</v>
      </c>
      <c r="Y15" s="28">
        <f>SUMIFS(Table4[Amount],Table4[Date],W15,Table4[Category],"&lt;&gt;"&amp;Table136[[#Headers],[Income]])+SUMIFS(Table44[Amount],Table44[Date],W15,Table44[Category],"&lt;&gt;"&amp;Table136[[#Headers],[Income]])</f>
        <v>0</v>
      </c>
      <c r="Z15" s="28">
        <f t="shared" si="1"/>
        <v>283.07000000000005</v>
      </c>
      <c r="AA15" s="1">
        <f t="shared" si="2"/>
        <v>2207.4038709677416</v>
      </c>
    </row>
    <row r="16" spans="1:27" x14ac:dyDescent="0.2">
      <c r="F16" s="32"/>
      <c r="G16" s="6" t="s">
        <v>20</v>
      </c>
      <c r="H16" s="7">
        <f>SUBTOTAL(109,Table136[Budget])</f>
        <v>5100</v>
      </c>
      <c r="I16" s="7">
        <f>SUBTOTAL(109,Table136[Actual])</f>
        <v>5167.3500000000004</v>
      </c>
      <c r="J16" s="7">
        <f>SUBTOTAL(109,Table136[Variance])</f>
        <v>67.349999999999909</v>
      </c>
      <c r="K16" s="36"/>
      <c r="L16" s="43"/>
      <c r="M16" s="2"/>
      <c r="Q16" s="4"/>
      <c r="R16" s="2"/>
      <c r="U16" s="43"/>
      <c r="W16" s="27">
        <f t="shared" si="0"/>
        <v>41522</v>
      </c>
      <c r="X16" s="29">
        <f>SUMIFS(Table4420[Amount],Table4420[Date],W16,Table4420[Category],Table136[[#Headers],[Income]])+SUMIFS(Table44[Amount],Table44[Date],W16,Table44[Category],Table136[[#Headers],[Income]])</f>
        <v>1467.35</v>
      </c>
      <c r="Y16" s="29">
        <f>SUMIFS(Table4[Amount],Table4[Date],W16,Table4[Category],"&lt;&gt;"&amp;Table136[[#Headers],[Income]])+SUMIFS(Table44[Amount],Table44[Date],W16,Table44[Category],"&lt;&gt;"&amp;Table136[[#Headers],[Income]])</f>
        <v>0</v>
      </c>
      <c r="Z16" s="29">
        <f t="shared" si="1"/>
        <v>1750.42</v>
      </c>
      <c r="AA16" s="1">
        <f t="shared" si="2"/>
        <v>2207.4038709677416</v>
      </c>
    </row>
    <row r="17" spans="2:27" x14ac:dyDescent="0.2">
      <c r="F17" s="32"/>
      <c r="G17" s="20"/>
      <c r="H17" s="21"/>
      <c r="I17" s="21"/>
      <c r="J17" s="21"/>
      <c r="K17" s="36"/>
      <c r="L17" s="43"/>
      <c r="M17" s="2"/>
      <c r="N17" s="55" t="s">
        <v>43</v>
      </c>
      <c r="O17" s="56"/>
      <c r="P17" s="56"/>
      <c r="Q17" s="56"/>
      <c r="R17" s="56"/>
      <c r="S17" s="57"/>
      <c r="U17" s="43"/>
      <c r="W17" s="30">
        <f t="shared" si="0"/>
        <v>41523</v>
      </c>
      <c r="X17" s="28">
        <f>SUMIFS(Table4420[Amount],Table4420[Date],W17,Table4420[Category],Table136[[#Headers],[Income]])+SUMIFS(Table44[Amount],Table44[Date],W17,Table44[Category],Table136[[#Headers],[Income]])</f>
        <v>0</v>
      </c>
      <c r="Y17" s="28">
        <f>SUMIFS(Table4[Amount],Table4[Date],W17,Table4[Category],"&lt;&gt;"&amp;Table136[[#Headers],[Income]])+SUMIFS(Table44[Amount],Table44[Date],W17,Table44[Category],"&lt;&gt;"&amp;Table136[[#Headers],[Income]])</f>
        <v>213.28</v>
      </c>
      <c r="Z17" s="28">
        <f t="shared" si="1"/>
        <v>1537.14</v>
      </c>
      <c r="AA17" s="1">
        <f t="shared" si="2"/>
        <v>2207.4038709677416</v>
      </c>
    </row>
    <row r="18" spans="2:27" x14ac:dyDescent="0.2">
      <c r="F18" s="32"/>
      <c r="G18" s="53" t="str">
        <f>CONCATENATE(Table1[[#Headers],[Housing]]," - Budget &amp; Tracking")</f>
        <v>Housing - Budget &amp; Tracking</v>
      </c>
      <c r="H18" s="38"/>
      <c r="I18" s="38"/>
      <c r="J18" s="39"/>
      <c r="K18" s="36"/>
      <c r="L18" s="43"/>
      <c r="M18" s="2"/>
      <c r="N18" s="31" t="s">
        <v>9</v>
      </c>
      <c r="O18" s="31" t="s">
        <v>0</v>
      </c>
      <c r="P18" s="31" t="s">
        <v>13</v>
      </c>
      <c r="Q18" s="31" t="s">
        <v>10</v>
      </c>
      <c r="R18" s="31" t="s">
        <v>11</v>
      </c>
      <c r="S18" s="31" t="s">
        <v>16</v>
      </c>
      <c r="U18" s="43"/>
      <c r="W18" s="27">
        <f t="shared" si="0"/>
        <v>41524</v>
      </c>
      <c r="X18" s="29">
        <f>SUMIFS(Table4420[Amount],Table4420[Date],W18,Table4420[Category],Table136[[#Headers],[Income]])+SUMIFS(Table44[Amount],Table44[Date],W18,Table44[Category],Table136[[#Headers],[Income]])</f>
        <v>0</v>
      </c>
      <c r="Y18" s="29">
        <f>SUMIFS(Table4[Amount],Table4[Date],W18,Table4[Category],"&lt;&gt;"&amp;Table136[[#Headers],[Income]])+SUMIFS(Table44[Amount],Table44[Date],W18,Table44[Category],"&lt;&gt;"&amp;Table136[[#Headers],[Income]])</f>
        <v>42.58</v>
      </c>
      <c r="Z18" s="29">
        <f t="shared" si="1"/>
        <v>1494.5600000000002</v>
      </c>
      <c r="AA18" s="1">
        <f t="shared" si="2"/>
        <v>2207.4038709677416</v>
      </c>
    </row>
    <row r="19" spans="2:27" x14ac:dyDescent="0.2">
      <c r="F19" s="32"/>
      <c r="G19" s="52" t="s">
        <v>8</v>
      </c>
      <c r="H19" s="31" t="s">
        <v>1</v>
      </c>
      <c r="I19" s="31" t="s">
        <v>2</v>
      </c>
      <c r="J19" s="31" t="s">
        <v>14</v>
      </c>
      <c r="K19" s="36"/>
      <c r="L19" s="43"/>
      <c r="M19" s="2"/>
      <c r="N19" s="1" t="s">
        <v>51</v>
      </c>
      <c r="O19" s="1" t="s">
        <v>8</v>
      </c>
      <c r="P19" s="1" t="s">
        <v>3</v>
      </c>
      <c r="Q19" s="4">
        <v>41518</v>
      </c>
      <c r="R19" s="2">
        <v>873.67</v>
      </c>
      <c r="S19" s="1" t="s">
        <v>18</v>
      </c>
      <c r="U19" s="43"/>
      <c r="W19" s="30">
        <f t="shared" si="0"/>
        <v>41525</v>
      </c>
      <c r="X19" s="28">
        <f>SUMIFS(Table4420[Amount],Table4420[Date],W19,Table4420[Category],Table136[[#Headers],[Income]])+SUMIFS(Table44[Amount],Table44[Date],W19,Table44[Category],Table136[[#Headers],[Income]])</f>
        <v>0</v>
      </c>
      <c r="Y19" s="28">
        <f>SUMIFS(Table4[Amount],Table4[Date],W19,Table4[Category],"&lt;&gt;"&amp;Table136[[#Headers],[Income]])+SUMIFS(Table44[Amount],Table44[Date],W19,Table44[Category],"&lt;&gt;"&amp;Table136[[#Headers],[Income]])</f>
        <v>0</v>
      </c>
      <c r="Z19" s="28">
        <f t="shared" si="1"/>
        <v>1494.5600000000002</v>
      </c>
      <c r="AA19" s="1">
        <f t="shared" si="2"/>
        <v>2207.4038709677416</v>
      </c>
    </row>
    <row r="20" spans="2:27" x14ac:dyDescent="0.2">
      <c r="F20" s="32"/>
      <c r="G20" s="1" t="s">
        <v>3</v>
      </c>
      <c r="H20" s="2">
        <v>900</v>
      </c>
      <c r="I20" s="2">
        <f>SUMIFS(Table4[Amount],Table4[Category],Table1[[#Headers],[Housing]],Table4[Sub-Category],Table1[[#This Row],[Housing]])+SUMIFS(Table44[Amount],Table44[Category],Table1[[#Headers],[Housing]],Table44[Sub-Category],Table1[[#This Row],[Housing]])</f>
        <v>873.67</v>
      </c>
      <c r="J20" s="3">
        <f>Table1[[#This Row],[Budget]]-Table1[[#This Row],[Actual]]</f>
        <v>26.330000000000041</v>
      </c>
      <c r="K20" s="36"/>
      <c r="L20" s="43"/>
      <c r="M20" s="2"/>
      <c r="N20" s="11" t="s">
        <v>49</v>
      </c>
      <c r="O20" s="11" t="s">
        <v>8</v>
      </c>
      <c r="P20" s="11" t="s">
        <v>38</v>
      </c>
      <c r="Q20" s="24">
        <v>41523</v>
      </c>
      <c r="R20" s="12">
        <v>116.08</v>
      </c>
      <c r="S20" s="11" t="s">
        <v>18</v>
      </c>
      <c r="U20" s="43"/>
      <c r="W20" s="27">
        <f t="shared" si="0"/>
        <v>41526</v>
      </c>
      <c r="X20" s="29">
        <f>SUMIFS(Table4420[Amount],Table4420[Date],W20,Table4420[Category],Table136[[#Headers],[Income]])+SUMIFS(Table44[Amount],Table44[Date],W20,Table44[Category],Table136[[#Headers],[Income]])</f>
        <v>0</v>
      </c>
      <c r="Y20" s="29">
        <f>SUMIFS(Table4[Amount],Table4[Date],W20,Table4[Category],"&lt;&gt;"&amp;Table136[[#Headers],[Income]])+SUMIFS(Table44[Amount],Table44[Date],W20,Table44[Category],"&lt;&gt;"&amp;Table136[[#Headers],[Income]])</f>
        <v>129.54999999999998</v>
      </c>
      <c r="Z20" s="29">
        <f t="shared" si="1"/>
        <v>1365.0100000000002</v>
      </c>
      <c r="AA20" s="1">
        <f t="shared" si="2"/>
        <v>2207.4038709677416</v>
      </c>
    </row>
    <row r="21" spans="2:27" x14ac:dyDescent="0.2">
      <c r="F21" s="32"/>
      <c r="G21" s="1" t="s">
        <v>4</v>
      </c>
      <c r="H21" s="2">
        <v>150</v>
      </c>
      <c r="I21" s="2">
        <f>SUMIFS(Table4[Amount],Table4[Category],Table1[[#Headers],[Housing]],Table4[Sub-Category],Table1[[#This Row],[Housing]])+SUMIFS(Table44[Amount],Table44[Category],Table1[[#Headers],[Housing]],Table44[Sub-Category],Table1[[#This Row],[Housing]])</f>
        <v>126.17</v>
      </c>
      <c r="J21" s="3">
        <f>Table1[[#This Row],[Budget]]-Table1[[#This Row],[Actual]]</f>
        <v>23.83</v>
      </c>
      <c r="K21" s="36"/>
      <c r="L21" s="43"/>
      <c r="M21" s="2"/>
      <c r="N21" s="11" t="s">
        <v>50</v>
      </c>
      <c r="O21" s="11" t="s">
        <v>8</v>
      </c>
      <c r="P21" s="11" t="s">
        <v>29</v>
      </c>
      <c r="Q21" s="24">
        <v>41524</v>
      </c>
      <c r="R21" s="12">
        <v>35</v>
      </c>
      <c r="S21" s="11" t="s">
        <v>18</v>
      </c>
      <c r="U21" s="43"/>
      <c r="W21" s="30">
        <f t="shared" si="0"/>
        <v>41527</v>
      </c>
      <c r="X21" s="28">
        <f>SUMIFS(Table4420[Amount],Table4420[Date],W21,Table4420[Category],Table136[[#Headers],[Income]])+SUMIFS(Table44[Amount],Table44[Date],W21,Table44[Category],Table136[[#Headers],[Income]])</f>
        <v>0</v>
      </c>
      <c r="Y21" s="28">
        <f>SUMIFS(Table4[Amount],Table4[Date],W21,Table4[Category],"&lt;&gt;"&amp;Table136[[#Headers],[Income]])+SUMIFS(Table44[Amount],Table44[Date],W21,Table44[Category],"&lt;&gt;"&amp;Table136[[#Headers],[Income]])</f>
        <v>0</v>
      </c>
      <c r="Z21" s="28">
        <f t="shared" si="1"/>
        <v>1365.0100000000002</v>
      </c>
      <c r="AA21" s="1">
        <f t="shared" si="2"/>
        <v>2207.4038709677416</v>
      </c>
    </row>
    <row r="22" spans="2:27" x14ac:dyDescent="0.2">
      <c r="F22" s="32"/>
      <c r="G22" s="1" t="s">
        <v>5</v>
      </c>
      <c r="H22" s="2">
        <v>50</v>
      </c>
      <c r="I22" s="2">
        <f>SUMIFS(Table4[Amount],Table4[Category],Table1[[#Headers],[Housing]],Table4[Sub-Category],Table1[[#This Row],[Housing]])+SUMIFS(Table44[Amount],Table44[Category],Table1[[#Headers],[Housing]],Table44[Sub-Category],Table1[[#This Row],[Housing]])</f>
        <v>40.15</v>
      </c>
      <c r="J22" s="3">
        <f>Table1[[#This Row],[Budget]]-Table1[[#This Row],[Actual]]</f>
        <v>9.8500000000000014</v>
      </c>
      <c r="K22" s="36"/>
      <c r="L22" s="43"/>
      <c r="M22" s="2"/>
      <c r="N22" s="11" t="s">
        <v>52</v>
      </c>
      <c r="O22" s="11" t="s">
        <v>8</v>
      </c>
      <c r="P22" s="11" t="s">
        <v>5</v>
      </c>
      <c r="Q22" s="24">
        <v>41526</v>
      </c>
      <c r="R22" s="12">
        <v>40.15</v>
      </c>
      <c r="S22" s="11" t="s">
        <v>18</v>
      </c>
      <c r="U22" s="43"/>
      <c r="W22" s="27">
        <f t="shared" si="0"/>
        <v>41528</v>
      </c>
      <c r="X22" s="29">
        <f>SUMIFS(Table4420[Amount],Table4420[Date],W22,Table4420[Category],Table136[[#Headers],[Income]])+SUMIFS(Table44[Amount],Table44[Date],W22,Table44[Category],Table136[[#Headers],[Income]])</f>
        <v>0</v>
      </c>
      <c r="Y22" s="29">
        <f>SUMIFS(Table4[Amount],Table4[Date],W22,Table4[Category],"&lt;&gt;"&amp;Table136[[#Headers],[Income]])+SUMIFS(Table44[Amount],Table44[Date],W22,Table44[Category],"&lt;&gt;"&amp;Table136[[#Headers],[Income]])</f>
        <v>0</v>
      </c>
      <c r="Z22" s="29">
        <f t="shared" si="1"/>
        <v>1365.0100000000002</v>
      </c>
      <c r="AA22" s="1">
        <f t="shared" si="2"/>
        <v>2207.4038709677416</v>
      </c>
    </row>
    <row r="23" spans="2:27" x14ac:dyDescent="0.2">
      <c r="F23" s="32"/>
      <c r="G23" s="1" t="s">
        <v>6</v>
      </c>
      <c r="H23" s="2">
        <v>50</v>
      </c>
      <c r="I23" s="2">
        <f>SUMIFS(Table4[Amount],Table4[Category],Table1[[#Headers],[Housing]],Table4[Sub-Category],Table1[[#This Row],[Housing]])+SUMIFS(Table44[Amount],Table44[Category],Table1[[#Headers],[Housing]],Table44[Sub-Category],Table1[[#This Row],[Housing]])</f>
        <v>51.17</v>
      </c>
      <c r="J23" s="3">
        <f>Table1[[#This Row],[Budget]]-Table1[[#This Row],[Actual]]</f>
        <v>-1.1700000000000017</v>
      </c>
      <c r="K23" s="36"/>
      <c r="L23" s="43"/>
      <c r="M23" s="2"/>
      <c r="N23" s="11" t="s">
        <v>53</v>
      </c>
      <c r="O23" s="11" t="s">
        <v>8</v>
      </c>
      <c r="P23" s="11" t="s">
        <v>6</v>
      </c>
      <c r="Q23" s="24">
        <v>41526</v>
      </c>
      <c r="R23" s="12">
        <v>51.17</v>
      </c>
      <c r="S23" s="11" t="s">
        <v>18</v>
      </c>
      <c r="U23" s="43"/>
      <c r="W23" s="30">
        <f t="shared" si="0"/>
        <v>41529</v>
      </c>
      <c r="X23" s="28">
        <f>SUMIFS(Table4420[Amount],Table4420[Date],W23,Table4420[Category],Table136[[#Headers],[Income]])+SUMIFS(Table44[Amount],Table44[Date],W23,Table44[Category],Table136[[#Headers],[Income]])</f>
        <v>0</v>
      </c>
      <c r="Y23" s="28">
        <f>SUMIFS(Table4[Amount],Table4[Date],W23,Table4[Category],"&lt;&gt;"&amp;Table136[[#Headers],[Income]])+SUMIFS(Table44[Amount],Table44[Date],W23,Table44[Category],"&lt;&gt;"&amp;Table136[[#Headers],[Income]])</f>
        <v>0</v>
      </c>
      <c r="Z23" s="28">
        <f t="shared" si="1"/>
        <v>1365.0100000000002</v>
      </c>
      <c r="AA23" s="1">
        <f t="shared" si="2"/>
        <v>2207.4038709677416</v>
      </c>
    </row>
    <row r="24" spans="2:27" x14ac:dyDescent="0.2">
      <c r="F24" s="32"/>
      <c r="G24" s="1" t="s">
        <v>37</v>
      </c>
      <c r="H24" s="2">
        <v>150</v>
      </c>
      <c r="I24" s="2">
        <f>SUMIFS(Table4[Amount],Table4[Category],Table1[[#Headers],[Housing]],Table4[Sub-Category],Table1[[#This Row],[Housing]])+SUMIFS(Table44[Amount],Table44[Category],Table1[[#Headers],[Housing]],Table44[Sub-Category],Table1[[#This Row],[Housing]])</f>
        <v>150</v>
      </c>
      <c r="J24" s="3">
        <f>Table1[[#This Row],[Budget]]-Table1[[#This Row],[Actual]]</f>
        <v>0</v>
      </c>
      <c r="K24" s="36"/>
      <c r="L24" s="43"/>
      <c r="M24" s="2"/>
      <c r="N24" s="11" t="s">
        <v>54</v>
      </c>
      <c r="O24" s="11" t="s">
        <v>8</v>
      </c>
      <c r="P24" s="11" t="s">
        <v>4</v>
      </c>
      <c r="Q24" s="24">
        <v>41531</v>
      </c>
      <c r="R24" s="12">
        <v>126.17</v>
      </c>
      <c r="S24" s="11" t="s">
        <v>18</v>
      </c>
      <c r="U24" s="43"/>
      <c r="W24" s="27">
        <f t="shared" si="0"/>
        <v>41530</v>
      </c>
      <c r="X24" s="29">
        <f>SUMIFS(Table4420[Amount],Table4420[Date],W24,Table4420[Category],Table136[[#Headers],[Income]])+SUMIFS(Table44[Amount],Table44[Date],W24,Table44[Category],Table136[[#Headers],[Income]])</f>
        <v>1100</v>
      </c>
      <c r="Y24" s="29">
        <f>SUMIFS(Table4[Amount],Table4[Date],W24,Table4[Category],"&lt;&gt;"&amp;Table136[[#Headers],[Income]])+SUMIFS(Table44[Amount],Table44[Date],W24,Table44[Category],"&lt;&gt;"&amp;Table136[[#Headers],[Income]])</f>
        <v>0</v>
      </c>
      <c r="Z24" s="29">
        <f t="shared" si="1"/>
        <v>2465.0100000000002</v>
      </c>
      <c r="AA24" s="1">
        <f t="shared" si="2"/>
        <v>2207.4038709677416</v>
      </c>
    </row>
    <row r="25" spans="2:27" x14ac:dyDescent="0.2">
      <c r="F25" s="32"/>
      <c r="G25" s="1" t="s">
        <v>36</v>
      </c>
      <c r="H25" s="2">
        <v>50</v>
      </c>
      <c r="I25" s="2">
        <f>SUMIFS(Table4[Amount],Table4[Category],Table1[[#Headers],[Housing]],Table4[Sub-Category],Table1[[#This Row],[Housing]])+SUMIFS(Table44[Amount],Table44[Category],Table1[[#Headers],[Housing]],Table44[Sub-Category],Table1[[#This Row],[Housing]])</f>
        <v>46.17</v>
      </c>
      <c r="J25" s="3">
        <f>Table1[[#This Row],[Budget]]-Table1[[#This Row],[Actual]]</f>
        <v>3.8299999999999983</v>
      </c>
      <c r="K25" s="32"/>
      <c r="L25" s="42"/>
      <c r="N25" s="11" t="s">
        <v>55</v>
      </c>
      <c r="O25" s="11" t="s">
        <v>8</v>
      </c>
      <c r="P25" s="11" t="s">
        <v>36</v>
      </c>
      <c r="Q25" s="24">
        <v>41534</v>
      </c>
      <c r="R25" s="12">
        <v>46.17</v>
      </c>
      <c r="S25" s="11" t="s">
        <v>17</v>
      </c>
      <c r="U25" s="42"/>
      <c r="W25" s="30">
        <f t="shared" si="0"/>
        <v>41531</v>
      </c>
      <c r="X25" s="28">
        <f>SUMIFS(Table4420[Amount],Table4420[Date],W25,Table4420[Category],Table136[[#Headers],[Income]])+SUMIFS(Table44[Amount],Table44[Date],W25,Table44[Category],Table136[[#Headers],[Income]])</f>
        <v>0</v>
      </c>
      <c r="Y25" s="28">
        <f>SUMIFS(Table4[Amount],Table4[Date],W25,Table4[Category],"&lt;&gt;"&amp;Table136[[#Headers],[Income]])+SUMIFS(Table44[Amount],Table44[Date],W25,Table44[Category],"&lt;&gt;"&amp;Table136[[#Headers],[Income]])</f>
        <v>126.17</v>
      </c>
      <c r="Z25" s="28">
        <f t="shared" si="1"/>
        <v>2338.84</v>
      </c>
      <c r="AA25" s="1">
        <f t="shared" si="2"/>
        <v>2207.4038709677416</v>
      </c>
    </row>
    <row r="26" spans="2:27" x14ac:dyDescent="0.2">
      <c r="F26" s="32"/>
      <c r="G26" s="1" t="s">
        <v>38</v>
      </c>
      <c r="H26" s="2">
        <v>100</v>
      </c>
      <c r="I26" s="2">
        <f>SUMIFS(Table4[Amount],Table4[Category],Table1[[#Headers],[Housing]],Table4[Sub-Category],Table1[[#This Row],[Housing]])+SUMIFS(Table44[Amount],Table44[Category],Table1[[#Headers],[Housing]],Table44[Sub-Category],Table1[[#This Row],[Housing]])</f>
        <v>116.08</v>
      </c>
      <c r="J26" s="3">
        <f>Table1[[#This Row],[Budget]]-Table1[[#This Row],[Actual]]</f>
        <v>-16.079999999999998</v>
      </c>
      <c r="K26" s="32"/>
      <c r="L26" s="42"/>
      <c r="N26" s="11" t="s">
        <v>56</v>
      </c>
      <c r="O26" s="11" t="s">
        <v>12</v>
      </c>
      <c r="P26" s="11" t="s">
        <v>39</v>
      </c>
      <c r="Q26" s="24">
        <v>41535</v>
      </c>
      <c r="R26" s="12">
        <v>115.79</v>
      </c>
      <c r="S26" s="11" t="s">
        <v>17</v>
      </c>
      <c r="U26" s="42"/>
      <c r="W26" s="27">
        <f t="shared" si="0"/>
        <v>41532</v>
      </c>
      <c r="X26" s="29">
        <f>SUMIFS(Table4420[Amount],Table4420[Date],W26,Table4420[Category],Table136[[#Headers],[Income]])+SUMIFS(Table44[Amount],Table44[Date],W26,Table44[Category],Table136[[#Headers],[Income]])</f>
        <v>0</v>
      </c>
      <c r="Y26" s="29">
        <f>SUMIFS(Table4[Amount],Table4[Date],W26,Table4[Category],"&lt;&gt;"&amp;Table136[[#Headers],[Income]])+SUMIFS(Table44[Amount],Table44[Date],W26,Table44[Category],"&lt;&gt;"&amp;Table136[[#Headers],[Income]])</f>
        <v>0</v>
      </c>
      <c r="Z26" s="29">
        <f t="shared" si="1"/>
        <v>2338.84</v>
      </c>
      <c r="AA26" s="1">
        <f t="shared" si="2"/>
        <v>2207.4038709677416</v>
      </c>
    </row>
    <row r="27" spans="2:27" x14ac:dyDescent="0.2">
      <c r="F27" s="32"/>
      <c r="G27" s="1" t="s">
        <v>7</v>
      </c>
      <c r="H27" s="2">
        <v>100</v>
      </c>
      <c r="I27" s="2">
        <f>SUMIFS(Table4[Amount],Table4[Category],Table1[[#Headers],[Housing]],Table4[Sub-Category],Table1[[#This Row],[Housing]])+SUMIFS(Table44[Amount],Table44[Category],Table1[[#Headers],[Housing]],Table44[Sub-Category],Table1[[#This Row],[Housing]])</f>
        <v>110.74000000000001</v>
      </c>
      <c r="J27" s="3">
        <f>Table1[[#This Row],[Budget]]-Table1[[#This Row],[Actual]]</f>
        <v>-10.740000000000009</v>
      </c>
      <c r="K27" s="36"/>
      <c r="L27" s="43"/>
      <c r="M27" s="2"/>
      <c r="N27" s="11" t="s">
        <v>57</v>
      </c>
      <c r="O27" s="11" t="s">
        <v>30</v>
      </c>
      <c r="P27" s="11" t="s">
        <v>62</v>
      </c>
      <c r="Q27" s="24">
        <v>41539</v>
      </c>
      <c r="R27" s="12">
        <v>250</v>
      </c>
      <c r="S27" s="11" t="s">
        <v>19</v>
      </c>
      <c r="U27" s="43"/>
      <c r="W27" s="30">
        <f t="shared" si="0"/>
        <v>41533</v>
      </c>
      <c r="X27" s="28">
        <f>SUMIFS(Table4420[Amount],Table4420[Date],W27,Table4420[Category],Table136[[#Headers],[Income]])+SUMIFS(Table44[Amount],Table44[Date],W27,Table44[Category],Table136[[#Headers],[Income]])</f>
        <v>0</v>
      </c>
      <c r="Y27" s="28">
        <f>SUMIFS(Table4[Amount],Table4[Date],W27,Table4[Category],"&lt;&gt;"&amp;Table136[[#Headers],[Income]])+SUMIFS(Table44[Amount],Table44[Date],W27,Table44[Category],"&lt;&gt;"&amp;Table136[[#Headers],[Income]])</f>
        <v>0</v>
      </c>
      <c r="Z27" s="28">
        <f t="shared" si="1"/>
        <v>2338.84</v>
      </c>
      <c r="AA27" s="1">
        <f t="shared" si="2"/>
        <v>2207.4038709677416</v>
      </c>
    </row>
    <row r="28" spans="2:27" x14ac:dyDescent="0.2">
      <c r="F28" s="32"/>
      <c r="G28" s="11" t="s">
        <v>29</v>
      </c>
      <c r="H28" s="12">
        <v>100</v>
      </c>
      <c r="I28" s="13">
        <f>SUMIFS(Table4[Amount],Table4[Category],Table1[[#Headers],[Housing]],Table4[Sub-Category],Table1[[#This Row],[Housing]])+SUMIFS(Table44[Amount],Table44[Category],Table1[[#Headers],[Housing]],Table44[Sub-Category],Table1[[#This Row],[Housing]])</f>
        <v>35</v>
      </c>
      <c r="J28" s="13">
        <f>Table1[[#This Row],[Budget]]-Table1[[#This Row],[Actual]]</f>
        <v>65</v>
      </c>
      <c r="K28" s="36"/>
      <c r="L28" s="43"/>
      <c r="M28" s="2"/>
      <c r="N28" s="11" t="s">
        <v>58</v>
      </c>
      <c r="O28" s="11" t="s">
        <v>12</v>
      </c>
      <c r="P28" s="11" t="s">
        <v>60</v>
      </c>
      <c r="Q28" s="24">
        <v>41541</v>
      </c>
      <c r="R28" s="12">
        <v>350</v>
      </c>
      <c r="S28" s="11" t="s">
        <v>19</v>
      </c>
      <c r="U28" s="43"/>
      <c r="W28" s="27">
        <f t="shared" si="0"/>
        <v>41534</v>
      </c>
      <c r="X28" s="29">
        <f>SUMIFS(Table4420[Amount],Table4420[Date],W28,Table4420[Category],Table136[[#Headers],[Income]])+SUMIFS(Table44[Amount],Table44[Date],W28,Table44[Category],Table136[[#Headers],[Income]])</f>
        <v>0</v>
      </c>
      <c r="Y28" s="29">
        <f>SUMIFS(Table4[Amount],Table4[Date],W28,Table4[Category],"&lt;&gt;"&amp;Table136[[#Headers],[Income]])+SUMIFS(Table44[Amount],Table44[Date],W28,Table44[Category],"&lt;&gt;"&amp;Table136[[#Headers],[Income]])</f>
        <v>46.17</v>
      </c>
      <c r="Z28" s="29">
        <f t="shared" si="1"/>
        <v>2292.67</v>
      </c>
      <c r="AA28" s="1">
        <f t="shared" si="2"/>
        <v>2207.4038709677416</v>
      </c>
    </row>
    <row r="29" spans="2:27" x14ac:dyDescent="0.2">
      <c r="F29" s="32"/>
      <c r="G29" s="9" t="s">
        <v>20</v>
      </c>
      <c r="H29" s="10">
        <f>SUBTOTAL(109,Table1[Budget])</f>
        <v>1650</v>
      </c>
      <c r="I29" s="10">
        <f>SUBTOTAL(109,Table1[Actual])</f>
        <v>1549.15</v>
      </c>
      <c r="J29" s="10">
        <f>SUBTOTAL(109,Table1[Variance])</f>
        <v>100.85000000000002</v>
      </c>
      <c r="K29" s="32"/>
      <c r="L29" s="42"/>
      <c r="N29" s="11" t="s">
        <v>59</v>
      </c>
      <c r="O29" s="11" t="s">
        <v>8</v>
      </c>
      <c r="P29" s="11" t="s">
        <v>37</v>
      </c>
      <c r="Q29" s="24">
        <v>41541</v>
      </c>
      <c r="R29" s="12">
        <v>150</v>
      </c>
      <c r="S29" s="11" t="s">
        <v>19</v>
      </c>
      <c r="U29" s="42"/>
      <c r="W29" s="30">
        <f t="shared" si="0"/>
        <v>41535</v>
      </c>
      <c r="X29" s="28">
        <f>SUMIFS(Table4420[Amount],Table4420[Date],W29,Table4420[Category],Table136[[#Headers],[Income]])+SUMIFS(Table44[Amount],Table44[Date],W29,Table44[Category],Table136[[#Headers],[Income]])</f>
        <v>0</v>
      </c>
      <c r="Y29" s="28">
        <f>SUMIFS(Table4[Amount],Table4[Date],W29,Table4[Category],"&lt;&gt;"&amp;Table136[[#Headers],[Income]])+SUMIFS(Table44[Amount],Table44[Date],W29,Table44[Category],"&lt;&gt;"&amp;Table136[[#Headers],[Income]])</f>
        <v>115.79</v>
      </c>
      <c r="Z29" s="28">
        <f t="shared" si="1"/>
        <v>2176.88</v>
      </c>
      <c r="AA29" s="1">
        <f t="shared" si="2"/>
        <v>2207.4038709677416</v>
      </c>
    </row>
    <row r="30" spans="2:27" x14ac:dyDescent="0.2">
      <c r="F30" s="32"/>
      <c r="G30" s="26"/>
      <c r="H30" s="23"/>
      <c r="I30" s="23"/>
      <c r="J30" s="23"/>
      <c r="K30" s="32"/>
      <c r="L30" s="42"/>
      <c r="N30" s="11" t="s">
        <v>57</v>
      </c>
      <c r="O30" s="11" t="s">
        <v>30</v>
      </c>
      <c r="P30" s="11" t="s">
        <v>63</v>
      </c>
      <c r="Q30" s="24">
        <v>41542</v>
      </c>
      <c r="R30" s="12">
        <v>25</v>
      </c>
      <c r="S30" s="11" t="s">
        <v>19</v>
      </c>
      <c r="U30" s="42"/>
      <c r="W30" s="27">
        <f t="shared" si="0"/>
        <v>41536</v>
      </c>
      <c r="X30" s="29">
        <f>SUMIFS(Table4420[Amount],Table4420[Date],W30,Table4420[Category],Table136[[#Headers],[Income]])+SUMIFS(Table44[Amount],Table44[Date],W30,Table44[Category],Table136[[#Headers],[Income]])</f>
        <v>0</v>
      </c>
      <c r="Y30" s="29">
        <f>SUMIFS(Table4[Amount],Table4[Date],W30,Table4[Category],"&lt;&gt;"&amp;Table136[[#Headers],[Income]])+SUMIFS(Table44[Amount],Table44[Date],W30,Table44[Category],"&lt;&gt;"&amp;Table136[[#Headers],[Income]])</f>
        <v>0</v>
      </c>
      <c r="Z30" s="29">
        <f t="shared" si="1"/>
        <v>2176.88</v>
      </c>
      <c r="AA30" s="1">
        <f t="shared" si="2"/>
        <v>2207.4038709677416</v>
      </c>
    </row>
    <row r="31" spans="2:27" x14ac:dyDescent="0.2">
      <c r="B31" s="67" t="s">
        <v>81</v>
      </c>
      <c r="C31" s="68"/>
      <c r="D31" s="68"/>
      <c r="E31" s="69"/>
      <c r="F31" s="32"/>
      <c r="G31" s="37" t="str">
        <f>CONCATENATE(Table13[[#Headers],[Transportation]]," - Budget &amp; Tracking")</f>
        <v>Transportation - Budget &amp; Tracking</v>
      </c>
      <c r="H31" s="38"/>
      <c r="I31" s="38"/>
      <c r="J31" s="39"/>
      <c r="K31" s="32"/>
      <c r="L31" s="42"/>
      <c r="N31" s="11" t="s">
        <v>73</v>
      </c>
      <c r="O31" s="11" t="s">
        <v>12</v>
      </c>
      <c r="P31" s="11" t="s">
        <v>61</v>
      </c>
      <c r="Q31" s="24">
        <v>41544</v>
      </c>
      <c r="R31" s="12">
        <v>703</v>
      </c>
      <c r="S31" s="11" t="s">
        <v>19</v>
      </c>
      <c r="U31" s="42"/>
      <c r="W31" s="30">
        <f t="shared" si="0"/>
        <v>41537</v>
      </c>
      <c r="X31" s="28">
        <f>SUMIFS(Table4420[Amount],Table4420[Date],W31,Table4420[Category],Table136[[#Headers],[Income]])+SUMIFS(Table44[Amount],Table44[Date],W31,Table44[Category],Table136[[#Headers],[Income]])</f>
        <v>1500</v>
      </c>
      <c r="Y31" s="28">
        <f>SUMIFS(Table4[Amount],Table4[Date],W31,Table4[Category],"&lt;&gt;"&amp;Table136[[#Headers],[Income]])+SUMIFS(Table44[Amount],Table44[Date],W31,Table44[Category],"&lt;&gt;"&amp;Table136[[#Headers],[Income]])</f>
        <v>0</v>
      </c>
      <c r="Z31" s="28">
        <f t="shared" si="1"/>
        <v>3676.88</v>
      </c>
      <c r="AA31" s="1">
        <f t="shared" si="2"/>
        <v>2207.4038709677416</v>
      </c>
    </row>
    <row r="32" spans="2:27" x14ac:dyDescent="0.2">
      <c r="B32" s="70"/>
      <c r="C32" s="71"/>
      <c r="D32" s="71"/>
      <c r="E32" s="72"/>
      <c r="F32" s="32"/>
      <c r="G32" s="31" t="s">
        <v>12</v>
      </c>
      <c r="H32" s="31" t="s">
        <v>1</v>
      </c>
      <c r="I32" s="31" t="s">
        <v>2</v>
      </c>
      <c r="J32" s="31" t="s">
        <v>14</v>
      </c>
      <c r="K32" s="32"/>
      <c r="L32" s="42"/>
      <c r="N32" s="11"/>
      <c r="O32" s="11"/>
      <c r="P32" s="11"/>
      <c r="Q32" s="24"/>
      <c r="R32" s="12"/>
      <c r="S32" s="11"/>
      <c r="U32" s="42"/>
      <c r="W32" s="27">
        <f t="shared" si="0"/>
        <v>41538</v>
      </c>
      <c r="X32" s="29">
        <f>SUMIFS(Table4420[Amount],Table4420[Date],W32,Table4420[Category],Table136[[#Headers],[Income]])+SUMIFS(Table44[Amount],Table44[Date],W32,Table44[Category],Table136[[#Headers],[Income]])</f>
        <v>0</v>
      </c>
      <c r="Y32" s="29">
        <f>SUMIFS(Table4[Amount],Table4[Date],W32,Table4[Category],"&lt;&gt;"&amp;Table136[[#Headers],[Income]])+SUMIFS(Table44[Amount],Table44[Date],W32,Table44[Category],"&lt;&gt;"&amp;Table136[[#Headers],[Income]])</f>
        <v>0</v>
      </c>
      <c r="Z32" s="29">
        <f t="shared" si="1"/>
        <v>3676.88</v>
      </c>
      <c r="AA32" s="1">
        <f t="shared" si="2"/>
        <v>2207.4038709677416</v>
      </c>
    </row>
    <row r="33" spans="6:27" x14ac:dyDescent="0.2">
      <c r="F33" s="32"/>
      <c r="G33" s="1" t="s">
        <v>60</v>
      </c>
      <c r="H33" s="2">
        <v>250</v>
      </c>
      <c r="I33" s="2">
        <f>SUMIFS(Table4[Amount],Table4[Category],Table13[[#Headers],[Transportation]],Table4[Sub-Category],Table13[[#This Row],[Transportation]])+SUMIFS(Table44[Amount],Table44[Category],Table13[[#Headers],[Transportation]],Table44[Sub-Category],Table13[[#This Row],[Transportation]])</f>
        <v>350</v>
      </c>
      <c r="J33" s="3">
        <f>Table13[[#This Row],[Budget]]-Table13[[#This Row],[Actual]]</f>
        <v>-100</v>
      </c>
      <c r="K33" s="32"/>
      <c r="L33" s="42"/>
      <c r="N33" s="55" t="s">
        <v>44</v>
      </c>
      <c r="O33" s="56"/>
      <c r="P33" s="56"/>
      <c r="Q33" s="56"/>
      <c r="R33" s="56"/>
      <c r="S33" s="57"/>
      <c r="U33" s="42"/>
      <c r="W33" s="30">
        <f t="shared" si="0"/>
        <v>41539</v>
      </c>
      <c r="X33" s="28">
        <f>SUMIFS(Table4420[Amount],Table4420[Date],W33,Table4420[Category],Table136[[#Headers],[Income]])+SUMIFS(Table44[Amount],Table44[Date],W33,Table44[Category],Table136[[#Headers],[Income]])</f>
        <v>0</v>
      </c>
      <c r="Y33" s="28">
        <f>SUMIFS(Table4[Amount],Table4[Date],W33,Table4[Category],"&lt;&gt;"&amp;Table136[[#Headers],[Income]])+SUMIFS(Table44[Amount],Table44[Date],W33,Table44[Category],"&lt;&gt;"&amp;Table136[[#Headers],[Income]])</f>
        <v>250</v>
      </c>
      <c r="Z33" s="28">
        <f t="shared" si="1"/>
        <v>3426.88</v>
      </c>
      <c r="AA33" s="1">
        <f t="shared" si="2"/>
        <v>2207.4038709677416</v>
      </c>
    </row>
    <row r="34" spans="6:27" x14ac:dyDescent="0.2">
      <c r="F34" s="32"/>
      <c r="G34" s="1" t="s">
        <v>61</v>
      </c>
      <c r="H34" s="2">
        <v>300</v>
      </c>
      <c r="I34" s="2">
        <f>SUMIFS(Table4[Amount],Table4[Category],Table13[[#Headers],[Transportation]],Table4[Sub-Category],Table13[[#This Row],[Transportation]])+SUMIFS(Table44[Amount],Table44[Category],Table13[[#Headers],[Transportation]],Table44[Sub-Category],Table13[[#This Row],[Transportation]])</f>
        <v>703</v>
      </c>
      <c r="J34" s="3">
        <f>Table13[[#This Row],[Budget]]-Table13[[#This Row],[Actual]]</f>
        <v>-403</v>
      </c>
      <c r="K34" s="32"/>
      <c r="L34" s="42"/>
      <c r="N34" s="31" t="s">
        <v>9</v>
      </c>
      <c r="O34" s="31" t="s">
        <v>0</v>
      </c>
      <c r="P34" s="31" t="s">
        <v>13</v>
      </c>
      <c r="Q34" s="31" t="s">
        <v>10</v>
      </c>
      <c r="R34" s="31" t="s">
        <v>11</v>
      </c>
      <c r="S34" s="31" t="s">
        <v>16</v>
      </c>
      <c r="U34" s="42"/>
      <c r="W34" s="27">
        <f t="shared" si="0"/>
        <v>41540</v>
      </c>
      <c r="X34" s="29">
        <f>SUMIFS(Table4420[Amount],Table4420[Date],W34,Table4420[Category],Table136[[#Headers],[Income]])+SUMIFS(Table44[Amount],Table44[Date],W34,Table44[Category],Table136[[#Headers],[Income]])</f>
        <v>0</v>
      </c>
      <c r="Y34" s="29">
        <f>SUMIFS(Table4[Amount],Table4[Date],W34,Table4[Category],"&lt;&gt;"&amp;Table136[[#Headers],[Income]])+SUMIFS(Table44[Amount],Table44[Date],W34,Table44[Category],"&lt;&gt;"&amp;Table136[[#Headers],[Income]])</f>
        <v>0</v>
      </c>
      <c r="Z34" s="29">
        <f t="shared" si="1"/>
        <v>3426.88</v>
      </c>
      <c r="AA34" s="1">
        <f t="shared" si="2"/>
        <v>2207.4038709677416</v>
      </c>
    </row>
    <row r="35" spans="6:27" x14ac:dyDescent="0.2">
      <c r="F35" s="32"/>
      <c r="G35" s="11" t="s">
        <v>39</v>
      </c>
      <c r="H35" s="12">
        <v>200</v>
      </c>
      <c r="I35" s="13">
        <f>SUMIFS(Table4[Amount],Table4[Category],Table13[[#Headers],[Transportation]],Table4[Sub-Category],Table13[[#This Row],[Transportation]])+SUMIFS(Table44[Amount],Table44[Category],Table13[[#Headers],[Transportation]],Table44[Sub-Category],Table13[[#This Row],[Transportation]])</f>
        <v>115.79</v>
      </c>
      <c r="J35" s="13">
        <f>Table13[[#This Row],[Budget]]-Table13[[#This Row],[Actual]]</f>
        <v>84.21</v>
      </c>
      <c r="K35" s="32"/>
      <c r="L35" s="42"/>
      <c r="N35" s="1" t="s">
        <v>69</v>
      </c>
      <c r="O35" s="1" t="s">
        <v>25</v>
      </c>
      <c r="P35" s="1" t="s">
        <v>31</v>
      </c>
      <c r="Q35" s="4">
        <v>41523</v>
      </c>
      <c r="R35" s="2">
        <v>21.39</v>
      </c>
      <c r="S35" s="1" t="s">
        <v>18</v>
      </c>
      <c r="U35" s="42"/>
      <c r="W35" s="30">
        <f t="shared" si="0"/>
        <v>41541</v>
      </c>
      <c r="X35" s="28">
        <f>SUMIFS(Table4420[Amount],Table4420[Date],W35,Table4420[Category],Table136[[#Headers],[Income]])+SUMIFS(Table44[Amount],Table44[Date],W35,Table44[Category],Table136[[#Headers],[Income]])</f>
        <v>0</v>
      </c>
      <c r="Y35" s="28">
        <f>SUMIFS(Table4[Amount],Table4[Date],W35,Table4[Category],"&lt;&gt;"&amp;Table136[[#Headers],[Income]])+SUMIFS(Table44[Amount],Table44[Date],W35,Table44[Category],"&lt;&gt;"&amp;Table136[[#Headers],[Income]])</f>
        <v>500</v>
      </c>
      <c r="Z35" s="28">
        <f t="shared" si="1"/>
        <v>2926.88</v>
      </c>
      <c r="AA35" s="1">
        <f t="shared" si="2"/>
        <v>2207.4038709677416</v>
      </c>
    </row>
    <row r="36" spans="6:27" x14ac:dyDescent="0.2">
      <c r="F36" s="32"/>
      <c r="G36" s="11" t="s">
        <v>28</v>
      </c>
      <c r="H36" s="12">
        <v>250</v>
      </c>
      <c r="I36" s="13">
        <f>SUMIFS(Table4[Amount],Table4[Category],Table13[[#Headers],[Transportation]],Table4[Sub-Category],Table13[[#This Row],[Transportation]])+SUMIFS(Table44[Amount],Table44[Category],Table13[[#Headers],[Transportation]],Table44[Sub-Category],Table13[[#This Row],[Transportation]])</f>
        <v>0</v>
      </c>
      <c r="J36" s="13">
        <f>Table13[[#This Row],[Budget]]-Table13[[#This Row],[Actual]]</f>
        <v>250</v>
      </c>
      <c r="K36" s="32"/>
      <c r="L36" s="42"/>
      <c r="N36" s="1" t="s">
        <v>70</v>
      </c>
      <c r="O36" s="1" t="s">
        <v>8</v>
      </c>
      <c r="P36" s="1" t="s">
        <v>7</v>
      </c>
      <c r="Q36" s="4">
        <v>41523</v>
      </c>
      <c r="R36" s="2">
        <v>33.24</v>
      </c>
      <c r="S36" s="1" t="s">
        <v>18</v>
      </c>
      <c r="U36" s="42"/>
      <c r="W36" s="27">
        <f t="shared" si="0"/>
        <v>41542</v>
      </c>
      <c r="X36" s="29">
        <f>SUMIFS(Table4420[Amount],Table4420[Date],W36,Table4420[Category],Table136[[#Headers],[Income]])+SUMIFS(Table44[Amount],Table44[Date],W36,Table44[Category],Table136[[#Headers],[Income]])</f>
        <v>0</v>
      </c>
      <c r="Y36" s="29">
        <f>SUMIFS(Table4[Amount],Table4[Date],W36,Table4[Category],"&lt;&gt;"&amp;Table136[[#Headers],[Income]])+SUMIFS(Table44[Amount],Table44[Date],W36,Table44[Category],"&lt;&gt;"&amp;Table136[[#Headers],[Income]])</f>
        <v>25</v>
      </c>
      <c r="Z36" s="29">
        <f t="shared" si="1"/>
        <v>2901.88</v>
      </c>
      <c r="AA36" s="1">
        <f t="shared" si="2"/>
        <v>2207.4038709677416</v>
      </c>
    </row>
    <row r="37" spans="6:27" x14ac:dyDescent="0.2">
      <c r="F37" s="32"/>
      <c r="G37" s="9" t="s">
        <v>20</v>
      </c>
      <c r="H37" s="10">
        <f>SUBTOTAL(109,Table13[Budget])</f>
        <v>1000</v>
      </c>
      <c r="I37" s="10">
        <f>SUBTOTAL(109,Table13[Actual])</f>
        <v>1168.79</v>
      </c>
      <c r="J37" s="10">
        <f>SUBTOTAL(109,Table13[Variance])</f>
        <v>-168.79000000000002</v>
      </c>
      <c r="K37" s="32"/>
      <c r="L37" s="42"/>
      <c r="N37" s="1" t="s">
        <v>70</v>
      </c>
      <c r="O37" s="1" t="s">
        <v>8</v>
      </c>
      <c r="P37" s="1" t="s">
        <v>7</v>
      </c>
      <c r="Q37" s="4">
        <v>41523</v>
      </c>
      <c r="R37" s="2">
        <v>31.69</v>
      </c>
      <c r="S37" s="1" t="s">
        <v>18</v>
      </c>
      <c r="U37" s="42"/>
      <c r="W37" s="30">
        <f t="shared" si="0"/>
        <v>41543</v>
      </c>
      <c r="X37" s="28">
        <f>SUMIFS(Table4420[Amount],Table4420[Date],W37,Table4420[Category],Table136[[#Headers],[Income]])+SUMIFS(Table44[Amount],Table44[Date],W37,Table44[Category],Table136[[#Headers],[Income]])</f>
        <v>0</v>
      </c>
      <c r="Y37" s="28">
        <f>SUMIFS(Table4[Amount],Table4[Date],W37,Table4[Category],"&lt;&gt;"&amp;Table136[[#Headers],[Income]])+SUMIFS(Table44[Amount],Table44[Date],W37,Table44[Category],"&lt;&gt;"&amp;Table136[[#Headers],[Income]])</f>
        <v>0</v>
      </c>
      <c r="Z37" s="28">
        <f t="shared" si="1"/>
        <v>2901.88</v>
      </c>
      <c r="AA37" s="1">
        <f t="shared" si="2"/>
        <v>2207.4038709677416</v>
      </c>
    </row>
    <row r="38" spans="6:27" x14ac:dyDescent="0.2">
      <c r="F38" s="32"/>
      <c r="G38" s="26"/>
      <c r="H38" s="23"/>
      <c r="I38" s="23"/>
      <c r="J38" s="23"/>
      <c r="K38" s="32"/>
      <c r="L38" s="42"/>
      <c r="N38" s="11" t="s">
        <v>71</v>
      </c>
      <c r="O38" s="11" t="s">
        <v>24</v>
      </c>
      <c r="P38" s="11" t="s">
        <v>26</v>
      </c>
      <c r="Q38" s="24">
        <v>41523</v>
      </c>
      <c r="R38" s="12">
        <v>10.88</v>
      </c>
      <c r="S38" s="11" t="s">
        <v>18</v>
      </c>
      <c r="U38" s="42"/>
      <c r="W38" s="27">
        <f t="shared" si="0"/>
        <v>41544</v>
      </c>
      <c r="X38" s="29">
        <f>SUMIFS(Table4420[Amount],Table4420[Date],W38,Table4420[Category],Table136[[#Headers],[Income]])+SUMIFS(Table44[Amount],Table44[Date],W38,Table44[Category],Table136[[#Headers],[Income]])</f>
        <v>1100</v>
      </c>
      <c r="Y38" s="29">
        <f>SUMIFS(Table4[Amount],Table4[Date],W38,Table4[Category],"&lt;&gt;"&amp;Table136[[#Headers],[Income]])+SUMIFS(Table44[Amount],Table44[Date],W38,Table44[Category],"&lt;&gt;"&amp;Table136[[#Headers],[Income]])</f>
        <v>703</v>
      </c>
      <c r="Z38" s="29">
        <f t="shared" si="1"/>
        <v>3298.88</v>
      </c>
      <c r="AA38" s="1">
        <f t="shared" si="2"/>
        <v>2207.4038709677416</v>
      </c>
    </row>
    <row r="39" spans="6:27" x14ac:dyDescent="0.2">
      <c r="F39" s="32"/>
      <c r="G39" s="37" t="str">
        <f>CONCATENATE(Table13910[[#Headers],[Bills]]," - Budget &amp; Tracking")</f>
        <v>Bills - Budget &amp; Tracking</v>
      </c>
      <c r="H39" s="38"/>
      <c r="I39" s="38"/>
      <c r="J39" s="39"/>
      <c r="K39" s="32"/>
      <c r="L39" s="42"/>
      <c r="N39" s="11" t="s">
        <v>70</v>
      </c>
      <c r="O39" s="11" t="s">
        <v>8</v>
      </c>
      <c r="P39" s="11" t="s">
        <v>7</v>
      </c>
      <c r="Q39" s="24">
        <v>41524</v>
      </c>
      <c r="R39" s="12">
        <v>7.58</v>
      </c>
      <c r="S39" s="11" t="s">
        <v>18</v>
      </c>
      <c r="U39" s="42"/>
      <c r="W39" s="30">
        <f t="shared" si="0"/>
        <v>41545</v>
      </c>
      <c r="X39" s="28">
        <f>SUMIFS(Table4420[Amount],Table4420[Date],W39,Table4420[Category],Table136[[#Headers],[Income]])+SUMIFS(Table44[Amount],Table44[Date],W39,Table44[Category],Table136[[#Headers],[Income]])</f>
        <v>0</v>
      </c>
      <c r="Y39" s="28">
        <f>SUMIFS(Table4[Amount],Table4[Date],W39,Table4[Category],"&lt;&gt;"&amp;Table136[[#Headers],[Income]])+SUMIFS(Table44[Amount],Table44[Date],W39,Table44[Category],"&lt;&gt;"&amp;Table136[[#Headers],[Income]])</f>
        <v>0</v>
      </c>
      <c r="Z39" s="28">
        <f t="shared" si="1"/>
        <v>3298.88</v>
      </c>
      <c r="AA39" s="1">
        <f t="shared" si="2"/>
        <v>2207.4038709677416</v>
      </c>
    </row>
    <row r="40" spans="6:27" x14ac:dyDescent="0.2">
      <c r="F40" s="32"/>
      <c r="G40" s="31" t="s">
        <v>30</v>
      </c>
      <c r="H40" s="31" t="s">
        <v>1</v>
      </c>
      <c r="I40" s="31" t="s">
        <v>2</v>
      </c>
      <c r="J40" s="31" t="s">
        <v>14</v>
      </c>
      <c r="K40" s="32"/>
      <c r="L40" s="42"/>
      <c r="N40" s="11" t="s">
        <v>72</v>
      </c>
      <c r="O40" s="11" t="s">
        <v>8</v>
      </c>
      <c r="P40" s="11" t="s">
        <v>7</v>
      </c>
      <c r="Q40" s="24">
        <v>41526</v>
      </c>
      <c r="R40" s="12">
        <v>38.229999999999997</v>
      </c>
      <c r="S40" s="11" t="s">
        <v>18</v>
      </c>
      <c r="U40" s="42"/>
      <c r="W40" s="27">
        <f t="shared" si="0"/>
        <v>41546</v>
      </c>
      <c r="X40" s="29">
        <f>SUMIFS(Table4420[Amount],Table4420[Date],W40,Table4420[Category],Table136[[#Headers],[Income]])+SUMIFS(Table44[Amount],Table44[Date],W40,Table44[Category],Table136[[#Headers],[Income]])</f>
        <v>0</v>
      </c>
      <c r="Y40" s="29">
        <f>SUMIFS(Table4[Amount],Table4[Date],W40,Table4[Category],"&lt;&gt;"&amp;Table136[[#Headers],[Income]])+SUMIFS(Table44[Amount],Table44[Date],W40,Table44[Category],"&lt;&gt;"&amp;Table136[[#Headers],[Income]])</f>
        <v>0</v>
      </c>
      <c r="Z40" s="29">
        <f t="shared" si="1"/>
        <v>3298.88</v>
      </c>
      <c r="AA40" s="1">
        <f t="shared" si="2"/>
        <v>2207.4038709677416</v>
      </c>
    </row>
    <row r="41" spans="6:27" x14ac:dyDescent="0.2">
      <c r="F41" s="32"/>
      <c r="G41" s="1" t="s">
        <v>62</v>
      </c>
      <c r="H41" s="2">
        <v>50</v>
      </c>
      <c r="I41" s="2">
        <f>SUMIFS(Table4[Amount],Table4[Category],Table13910[[#Headers],[Bills]],Table4[Sub-Category],Table13910[[#This Row],[Bills]])+SUMIFS(Table44[Amount],Table44[Category],Table13910[[#Headers],[Bills]],Table44[Sub-Category],Table13910[[#This Row],[Bills]])</f>
        <v>250</v>
      </c>
      <c r="J41" s="3">
        <f>Table13910[[#This Row],[Budget]]-Table13910[[#This Row],[Actual]]</f>
        <v>-200</v>
      </c>
      <c r="K41" s="32"/>
      <c r="L41" s="42"/>
      <c r="U41" s="42"/>
      <c r="W41" s="30">
        <f t="shared" si="0"/>
        <v>41547</v>
      </c>
      <c r="X41" s="28">
        <f>SUMIFS(Table4420[Amount],Table4420[Date],W41,Table4420[Category],Table136[[#Headers],[Income]])+SUMIFS(Table44[Amount],Table44[Date],W41,Table44[Category],Table136[[#Headers],[Income]])</f>
        <v>0</v>
      </c>
      <c r="Y41" s="28">
        <f>SUMIFS(Table4[Amount],Table4[Date],W41,Table4[Category],"&lt;&gt;"&amp;Table136[[#Headers],[Income]])+SUMIFS(Table44[Amount],Table44[Date],W41,Table44[Category],"&lt;&gt;"&amp;Table136[[#Headers],[Income]])</f>
        <v>0</v>
      </c>
      <c r="Z41" s="28">
        <f t="shared" si="1"/>
        <v>3298.88</v>
      </c>
      <c r="AA41" s="1">
        <f t="shared" si="2"/>
        <v>2207.4038709677416</v>
      </c>
    </row>
    <row r="42" spans="6:27" x14ac:dyDescent="0.2">
      <c r="F42" s="32"/>
      <c r="G42" s="1" t="s">
        <v>63</v>
      </c>
      <c r="H42" s="2">
        <v>250</v>
      </c>
      <c r="I42" s="2">
        <f>SUMIFS(Table4[Amount],Table4[Category],Table13910[[#Headers],[Bills]],Table4[Sub-Category],Table13910[[#This Row],[Bills]])+SUMIFS(Table44[Amount],Table44[Category],Table13910[[#Headers],[Bills]],Table44[Sub-Category],Table13910[[#This Row],[Bills]])</f>
        <v>25</v>
      </c>
      <c r="J42" s="3">
        <f>Table13910[[#This Row],[Budget]]-Table13910[[#This Row],[Actual]]</f>
        <v>225</v>
      </c>
      <c r="K42" s="32"/>
      <c r="L42" s="42"/>
      <c r="U42" s="42"/>
      <c r="W42" s="27">
        <f t="shared" si="0"/>
        <v>41548</v>
      </c>
      <c r="X42" s="29">
        <f>SUMIFS(Table4420[Amount],Table4420[Date],W42,Table4420[Category],Table136[[#Headers],[Income]])+SUMIFS(Table44[Amount],Table44[Date],W42,Table44[Category],Table136[[#Headers],[Income]])</f>
        <v>0</v>
      </c>
      <c r="Y42" s="29">
        <f>SUMIFS(Table4[Amount],Table4[Date],W42,Table4[Category],"&lt;&gt;"&amp;Table136[[#Headers],[Income]])+SUMIFS(Table44[Amount],Table44[Date],W42,Table44[Category],"&lt;&gt;"&amp;Table136[[#Headers],[Income]])</f>
        <v>0</v>
      </c>
      <c r="Z42" s="29">
        <f t="shared" si="1"/>
        <v>3298.88</v>
      </c>
      <c r="AA42" s="1">
        <f t="shared" si="2"/>
        <v>2207.4038709677416</v>
      </c>
    </row>
    <row r="43" spans="6:27" x14ac:dyDescent="0.2">
      <c r="F43" s="32"/>
      <c r="G43" s="11" t="s">
        <v>64</v>
      </c>
      <c r="H43" s="12">
        <v>25</v>
      </c>
      <c r="I43" s="13">
        <f>SUMIFS(Table4[Amount],Table4[Category],Table13910[[#Headers],[Bills]],Table4[Sub-Category],Table13910[[#This Row],[Bills]])+SUMIFS(Table44[Amount],Table44[Category],Table13910[[#Headers],[Bills]],Table44[Sub-Category],Table13910[[#This Row],[Bills]])</f>
        <v>0</v>
      </c>
      <c r="J43" s="13">
        <f>Table13910[[#This Row],[Budget]]-Table13910[[#This Row],[Actual]]</f>
        <v>25</v>
      </c>
      <c r="K43" s="32"/>
      <c r="L43" s="42"/>
      <c r="U43" s="42"/>
      <c r="W43" s="8"/>
    </row>
    <row r="44" spans="6:27" x14ac:dyDescent="0.2">
      <c r="F44" s="32"/>
      <c r="G44" s="11" t="s">
        <v>65</v>
      </c>
      <c r="H44" s="12">
        <v>25</v>
      </c>
      <c r="I44" s="13">
        <f>SUMIFS(Table4[Amount],Table4[Category],Table13910[[#Headers],[Bills]],Table4[Sub-Category],Table13910[[#This Row],[Bills]])+SUMIFS(Table44[Amount],Table44[Category],Table13910[[#Headers],[Bills]],Table44[Sub-Category],Table13910[[#This Row],[Bills]])</f>
        <v>0</v>
      </c>
      <c r="J44" s="13">
        <f>Table13910[[#This Row],[Budget]]-Table13910[[#This Row],[Actual]]</f>
        <v>25</v>
      </c>
      <c r="K44" s="32"/>
      <c r="L44" s="42"/>
      <c r="U44" s="42"/>
      <c r="W44" s="8"/>
    </row>
    <row r="45" spans="6:27" x14ac:dyDescent="0.2">
      <c r="F45" s="32"/>
      <c r="G45" s="11" t="s">
        <v>66</v>
      </c>
      <c r="H45" s="12">
        <v>35</v>
      </c>
      <c r="I45" s="13">
        <f>SUMIFS(Table4[Amount],Table4[Category],Table13910[[#Headers],[Bills]],Table4[Sub-Category],Table13910[[#This Row],[Bills]])+SUMIFS(Table44[Amount],Table44[Category],Table13910[[#Headers],[Bills]],Table44[Sub-Category],Table13910[[#This Row],[Bills]])</f>
        <v>0</v>
      </c>
      <c r="J45" s="13">
        <f>Table13910[[#This Row],[Budget]]-Table13910[[#This Row],[Actual]]</f>
        <v>35</v>
      </c>
      <c r="K45" s="32"/>
      <c r="L45" s="42"/>
      <c r="U45" s="42"/>
    </row>
    <row r="46" spans="6:27" x14ac:dyDescent="0.2">
      <c r="F46" s="32"/>
      <c r="G46" s="9" t="s">
        <v>20</v>
      </c>
      <c r="H46" s="10">
        <f>SUBTOTAL(109,Table13910[Budget])</f>
        <v>385</v>
      </c>
      <c r="I46" s="10">
        <f>SUBTOTAL(109,Table13910[Actual])</f>
        <v>275</v>
      </c>
      <c r="J46" s="10">
        <f>SUBTOTAL(109,Table13910[Variance])</f>
        <v>110</v>
      </c>
      <c r="K46" s="32"/>
      <c r="L46" s="42"/>
      <c r="U46" s="42"/>
    </row>
    <row r="47" spans="6:27" x14ac:dyDescent="0.2">
      <c r="F47" s="32"/>
      <c r="G47" s="20"/>
      <c r="H47" s="21"/>
      <c r="I47" s="21"/>
      <c r="J47" s="22"/>
      <c r="K47" s="32"/>
      <c r="L47" s="42"/>
      <c r="U47" s="42"/>
    </row>
    <row r="48" spans="6:27" x14ac:dyDescent="0.2">
      <c r="F48" s="32"/>
      <c r="G48" s="37" t="str">
        <f>CONCATENATE(Table137[[#Headers],[Living]]," - Budget &amp; Tracking")</f>
        <v>Living - Budget &amp; Tracking</v>
      </c>
      <c r="H48" s="38"/>
      <c r="I48" s="38"/>
      <c r="J48" s="39"/>
      <c r="K48" s="32"/>
      <c r="L48" s="42"/>
      <c r="U48" s="42"/>
    </row>
    <row r="49" spans="6:21" x14ac:dyDescent="0.2">
      <c r="F49" s="32"/>
      <c r="G49" s="31" t="s">
        <v>25</v>
      </c>
      <c r="H49" s="31" t="s">
        <v>1</v>
      </c>
      <c r="I49" s="31" t="s">
        <v>2</v>
      </c>
      <c r="J49" s="31" t="s">
        <v>14</v>
      </c>
      <c r="K49" s="32"/>
      <c r="L49" s="42"/>
      <c r="U49" s="42"/>
    </row>
    <row r="50" spans="6:21" x14ac:dyDescent="0.2">
      <c r="F50" s="32"/>
      <c r="G50" s="1" t="s">
        <v>31</v>
      </c>
      <c r="H50" s="2">
        <v>400</v>
      </c>
      <c r="I50" s="2">
        <f>SUMIFS(Table4[Amount],Table4[Category],Table137[[#Headers],[Living]],Table4[Sub-Category],Table137[[#This Row],[Living]])+SUMIFS(Table44[Amount],Table44[Category],Table137[[#Headers],[Living]],Table44[Sub-Category],Table137[[#This Row],[Living]])</f>
        <v>21.39</v>
      </c>
      <c r="J50" s="3">
        <f>Table137[[#This Row],[Budget]]-Table137[[#This Row],[Actual]]</f>
        <v>378.61</v>
      </c>
      <c r="K50" s="32"/>
      <c r="L50" s="42"/>
      <c r="U50" s="42"/>
    </row>
    <row r="51" spans="6:21" x14ac:dyDescent="0.2">
      <c r="F51" s="32"/>
      <c r="G51" s="1" t="s">
        <v>67</v>
      </c>
      <c r="H51" s="2">
        <v>150</v>
      </c>
      <c r="I51" s="2">
        <f>SUMIFS(Table4[Amount],Table4[Category],Table137[[#Headers],[Living]],Table4[Sub-Category],Table137[[#This Row],[Living]])+SUMIFS(Table44[Amount],Table44[Category],Table137[[#Headers],[Living]],Table44[Sub-Category],Table137[[#This Row],[Living]])</f>
        <v>0</v>
      </c>
      <c r="J51" s="3">
        <f>Table137[[#This Row],[Budget]]-Table137[[#This Row],[Actual]]</f>
        <v>150</v>
      </c>
      <c r="K51" s="32"/>
      <c r="L51" s="42"/>
      <c r="U51" s="42"/>
    </row>
    <row r="52" spans="6:21" x14ac:dyDescent="0.2">
      <c r="F52" s="32"/>
      <c r="G52" s="11" t="s">
        <v>68</v>
      </c>
      <c r="H52" s="12">
        <v>150</v>
      </c>
      <c r="I52" s="13">
        <f>SUMIFS(Table4[Amount],Table4[Category],Table137[[#Headers],[Living]],Table4[Sub-Category],Table137[[#This Row],[Living]])+SUMIFS(Table44[Amount],Table44[Category],Table137[[#Headers],[Living]],Table44[Sub-Category],Table137[[#This Row],[Living]])</f>
        <v>0</v>
      </c>
      <c r="J52" s="13">
        <f>Table137[[#This Row],[Budget]]-Table137[[#This Row],[Actual]]</f>
        <v>150</v>
      </c>
      <c r="K52" s="32"/>
      <c r="L52" s="42"/>
      <c r="U52" s="42"/>
    </row>
    <row r="53" spans="6:21" x14ac:dyDescent="0.2">
      <c r="F53" s="32"/>
      <c r="G53" s="11" t="s">
        <v>29</v>
      </c>
      <c r="H53" s="12">
        <v>100</v>
      </c>
      <c r="I53" s="13">
        <f>SUMIFS(Table4[Amount],Table4[Category],Table137[[#Headers],[Living]],Table4[Sub-Category],Table137[[#This Row],[Living]])+SUMIFS(Table44[Amount],Table44[Category],Table137[[#Headers],[Living]],Table44[Sub-Category],Table137[[#This Row],[Living]])</f>
        <v>0</v>
      </c>
      <c r="J53" s="13">
        <f>Table137[[#This Row],[Budget]]-Table137[[#This Row],[Actual]]</f>
        <v>100</v>
      </c>
      <c r="K53" s="32"/>
      <c r="L53" s="42"/>
      <c r="U53" s="42"/>
    </row>
    <row r="54" spans="6:21" x14ac:dyDescent="0.2">
      <c r="F54" s="32"/>
      <c r="G54" s="9" t="s">
        <v>20</v>
      </c>
      <c r="H54" s="10">
        <f>SUBTOTAL(109,Table137[Budget])</f>
        <v>800</v>
      </c>
      <c r="I54" s="10">
        <f>SUBTOTAL(109,Table137[Actual])</f>
        <v>21.39</v>
      </c>
      <c r="J54" s="10">
        <f>SUBTOTAL(109,Table137[Variance])</f>
        <v>778.61</v>
      </c>
      <c r="K54" s="32"/>
      <c r="L54" s="42"/>
      <c r="U54" s="42"/>
    </row>
    <row r="55" spans="6:21" x14ac:dyDescent="0.2">
      <c r="F55" s="32"/>
      <c r="G55" s="20"/>
      <c r="H55" s="21"/>
      <c r="I55" s="21"/>
      <c r="J55" s="22"/>
      <c r="K55" s="32"/>
      <c r="L55" s="42"/>
      <c r="U55" s="42"/>
    </row>
    <row r="56" spans="6:21" x14ac:dyDescent="0.2">
      <c r="F56" s="32"/>
      <c r="G56" s="37" t="str">
        <f>CONCATENATE(Table138[[#Headers],[Entertainment]]," - Budget &amp; Tracking")</f>
        <v>Entertainment - Budget &amp; Tracking</v>
      </c>
      <c r="H56" s="38"/>
      <c r="I56" s="38"/>
      <c r="J56" s="39"/>
      <c r="K56" s="32"/>
      <c r="L56" s="42"/>
      <c r="U56" s="42"/>
    </row>
    <row r="57" spans="6:21" x14ac:dyDescent="0.2">
      <c r="F57" s="32"/>
      <c r="G57" s="31" t="s">
        <v>24</v>
      </c>
      <c r="H57" s="31" t="s">
        <v>1</v>
      </c>
      <c r="I57" s="31" t="s">
        <v>2</v>
      </c>
      <c r="J57" s="31" t="s">
        <v>14</v>
      </c>
      <c r="K57" s="32"/>
      <c r="L57" s="42"/>
      <c r="U57" s="42"/>
    </row>
    <row r="58" spans="6:21" x14ac:dyDescent="0.2">
      <c r="F58" s="32"/>
      <c r="G58" s="1" t="s">
        <v>26</v>
      </c>
      <c r="H58" s="2">
        <v>200</v>
      </c>
      <c r="I58" s="2">
        <f>SUMIFS(Table4[Amount],Table4[Category],Table138[[#Headers],[Entertainment]],Table4[Sub-Category],Table138[[#This Row],[Entertainment]])+SUMIFS(Table44[Amount],Table44[Category],Table138[[#Headers],[Entertainment]],Table44[Sub-Category],Table138[[#This Row],[Entertainment]])</f>
        <v>10.88</v>
      </c>
      <c r="J58" s="3">
        <f>Table138[[#This Row],[Budget]]-Table138[[#This Row],[Actual]]</f>
        <v>189.12</v>
      </c>
      <c r="K58" s="32"/>
      <c r="L58" s="42"/>
      <c r="U58" s="42"/>
    </row>
    <row r="59" spans="6:21" x14ac:dyDescent="0.2">
      <c r="F59" s="33"/>
      <c r="G59" s="1" t="s">
        <v>29</v>
      </c>
      <c r="H59" s="2">
        <v>100</v>
      </c>
      <c r="I59" s="2">
        <f>SUMIFS(Table4[Amount],Table4[Category],Table138[[#Headers],[Entertainment]],Table4[Sub-Category],Table138[[#This Row],[Entertainment]])+SUMIFS(Table44[Amount],Table44[Category],Table138[[#Headers],[Entertainment]],Table44[Sub-Category],Table138[[#This Row],[Entertainment]])</f>
        <v>0</v>
      </c>
      <c r="J59" s="3">
        <f>Table138[[#This Row],[Budget]]-Table138[[#This Row],[Actual]]</f>
        <v>100</v>
      </c>
      <c r="K59" s="33"/>
      <c r="L59" s="42"/>
      <c r="U59" s="42"/>
    </row>
    <row r="60" spans="6:21" x14ac:dyDescent="0.2">
      <c r="G60" s="9" t="s">
        <v>20</v>
      </c>
      <c r="H60" s="10">
        <f>SUBTOTAL(109,Table138[Budget])</f>
        <v>300</v>
      </c>
      <c r="I60" s="10">
        <f>SUBTOTAL(109,Table138[Actual])</f>
        <v>10.88</v>
      </c>
      <c r="J60" s="10">
        <f>SUBTOTAL(109,Table138[Variance])</f>
        <v>289.12</v>
      </c>
      <c r="L60" s="42"/>
      <c r="U60" s="42"/>
    </row>
    <row r="61" spans="6:21" x14ac:dyDescent="0.2">
      <c r="G61" s="26"/>
      <c r="H61" s="23"/>
      <c r="I61" s="23"/>
      <c r="J61" s="23"/>
      <c r="L61" s="42"/>
      <c r="U61" s="42"/>
    </row>
    <row r="62" spans="6:21" x14ac:dyDescent="0.2">
      <c r="G62" s="37" t="str">
        <f>CONCATENATE(Table139[[#Headers],[Misc.]]," - Budget &amp; Tracking")</f>
        <v>Misc. - Budget &amp; Tracking</v>
      </c>
      <c r="H62" s="38"/>
      <c r="I62" s="38"/>
      <c r="J62" s="39"/>
      <c r="L62" s="42"/>
      <c r="U62" s="42"/>
    </row>
    <row r="63" spans="6:21" x14ac:dyDescent="0.2">
      <c r="G63" s="31" t="s">
        <v>27</v>
      </c>
      <c r="H63" s="31" t="s">
        <v>1</v>
      </c>
      <c r="I63" s="31" t="s">
        <v>2</v>
      </c>
      <c r="J63" s="31" t="s">
        <v>14</v>
      </c>
      <c r="L63" s="42"/>
      <c r="U63" s="42"/>
    </row>
    <row r="64" spans="6:21" x14ac:dyDescent="0.2">
      <c r="G64" s="11" t="s">
        <v>41</v>
      </c>
      <c r="H64" s="12">
        <v>50</v>
      </c>
      <c r="I64" s="13">
        <f>SUMIFS(Table4[Amount],Table4[Category],Table139[[#Headers],[Misc.]],Table4[Sub-Category],Table139[[#This Row],[Misc.]])+SUMIFS(Table44[Amount],Table44[Category],Table139[[#Headers],[Misc.]],Table44[Sub-Category],Table139[[#This Row],[Misc.]])</f>
        <v>0</v>
      </c>
      <c r="J64" s="13">
        <f>Table139[[#This Row],[Budget]]-Table139[[#This Row],[Actual]]</f>
        <v>50</v>
      </c>
      <c r="L64" s="42"/>
      <c r="U64" s="42"/>
    </row>
    <row r="65" spans="7:21" x14ac:dyDescent="0.2">
      <c r="G65" s="11" t="s">
        <v>29</v>
      </c>
      <c r="H65" s="12">
        <v>100</v>
      </c>
      <c r="I65" s="13">
        <f>SUMIFS(Table4[Amount],Table4[Category],Table139[[#Headers],[Misc.]],Table4[Sub-Category],Table139[[#This Row],[Misc.]])+SUMIFS(Table44[Amount],Table44[Category],Table139[[#Headers],[Misc.]],Table44[Sub-Category],Table139[[#This Row],[Misc.]])</f>
        <v>0</v>
      </c>
      <c r="J65" s="13">
        <f>Table139[[#This Row],[Budget]]-Table139[[#This Row],[Actual]]</f>
        <v>100</v>
      </c>
      <c r="L65" s="42"/>
      <c r="U65" s="42"/>
    </row>
    <row r="66" spans="7:21" x14ac:dyDescent="0.2">
      <c r="G66" s="9" t="s">
        <v>20</v>
      </c>
      <c r="H66" s="10">
        <f>SUBTOTAL(109,Table139[Budget])</f>
        <v>150</v>
      </c>
      <c r="I66" s="10">
        <f>SUBTOTAL(109,Table139[Actual])</f>
        <v>0</v>
      </c>
      <c r="J66" s="10">
        <f>SUBTOTAL(109,Table139[Variance])</f>
        <v>150</v>
      </c>
      <c r="L66" s="42"/>
      <c r="U66" s="42"/>
    </row>
    <row r="67" spans="7:21" x14ac:dyDescent="0.2">
      <c r="G67" s="26"/>
      <c r="H67" s="23"/>
      <c r="I67" s="23"/>
      <c r="J67" s="23"/>
    </row>
  </sheetData>
  <mergeCells count="11">
    <mergeCell ref="G1:J1"/>
    <mergeCell ref="G10:J10"/>
    <mergeCell ref="N10:S10"/>
    <mergeCell ref="N17:S17"/>
    <mergeCell ref="N33:S33"/>
    <mergeCell ref="B31:E32"/>
    <mergeCell ref="W10:Z10"/>
    <mergeCell ref="B3:E3"/>
    <mergeCell ref="C4:E4"/>
    <mergeCell ref="C5:E5"/>
    <mergeCell ref="B6:E6"/>
  </mergeCells>
  <conditionalFormatting sqref="J33:J36">
    <cfRule type="iconSet" priority="70">
      <iconSet iconSet="3Symbols">
        <cfvo type="percent" val="0"/>
        <cfvo type="num" val="0"/>
        <cfvo type="num" val="10"/>
      </iconSet>
    </cfRule>
  </conditionalFormatting>
  <conditionalFormatting sqref="J50:J53">
    <cfRule type="iconSet" priority="65">
      <iconSet iconSet="3Symbols">
        <cfvo type="percent" val="0"/>
        <cfvo type="num" val="0"/>
        <cfvo type="num" val="10"/>
      </iconSet>
    </cfRule>
  </conditionalFormatting>
  <conditionalFormatting sqref="J58:J59">
    <cfRule type="iconSet" priority="63">
      <iconSet iconSet="3Symbols">
        <cfvo type="percent" val="0"/>
        <cfvo type="num" val="0"/>
        <cfvo type="num" val="10"/>
      </iconSet>
    </cfRule>
  </conditionalFormatting>
  <conditionalFormatting sqref="J41:J45">
    <cfRule type="iconSet" priority="59">
      <iconSet iconSet="3Symbols">
        <cfvo type="percent" val="0"/>
        <cfvo type="num" val="0"/>
        <cfvo type="num" val="10"/>
      </iconSet>
    </cfRule>
  </conditionalFormatting>
  <conditionalFormatting sqref="H6:I6">
    <cfRule type="iconSet" priority="53">
      <iconSet iconSet="3Symbols">
        <cfvo type="percent" val="0"/>
        <cfvo type="num" val="0" gte="0"/>
        <cfvo type="num" val="10"/>
      </iconSet>
    </cfRule>
  </conditionalFormatting>
  <conditionalFormatting sqref="J3:J6">
    <cfRule type="iconSet" priority="52">
      <iconSet iconSet="3Arrows">
        <cfvo type="percent" val="0"/>
        <cfvo type="num" val="-50"/>
        <cfvo type="num" val="0" gte="0"/>
      </iconSet>
    </cfRule>
  </conditionalFormatting>
  <conditionalFormatting sqref="J20:J28">
    <cfRule type="iconSet" priority="74">
      <iconSet iconSet="3Symbols">
        <cfvo type="percent" val="0"/>
        <cfvo type="num" val="0"/>
        <cfvo type="num" val="10"/>
      </iconSet>
    </cfRule>
  </conditionalFormatting>
  <conditionalFormatting sqref="W12">
    <cfRule type="cellIs" dxfId="191" priority="51" operator="equal">
      <formula>TODAY()</formula>
    </cfRule>
  </conditionalFormatting>
  <conditionalFormatting sqref="X12 X20:Y42">
    <cfRule type="expression" dxfId="190" priority="42">
      <formula>IF($W12=TODAY(),TRUE)</formula>
    </cfRule>
  </conditionalFormatting>
  <conditionalFormatting sqref="Y12">
    <cfRule type="expression" dxfId="189" priority="32">
      <formula>IF($W12=TODAY(),TRUE)</formula>
    </cfRule>
  </conditionalFormatting>
  <conditionalFormatting sqref="Z12 Z20:Z42">
    <cfRule type="expression" dxfId="188" priority="28">
      <formula>IF($W12=TODAY(),TRUE)</formula>
    </cfRule>
  </conditionalFormatting>
  <conditionalFormatting sqref="W13:W15">
    <cfRule type="cellIs" dxfId="187" priority="12" operator="equal">
      <formula>TODAY()</formula>
    </cfRule>
  </conditionalFormatting>
  <conditionalFormatting sqref="X13:X15">
    <cfRule type="expression" dxfId="186" priority="11">
      <formula>IF($W13=TODAY(),TRUE)</formula>
    </cfRule>
  </conditionalFormatting>
  <conditionalFormatting sqref="Y13:Y15">
    <cfRule type="expression" dxfId="185" priority="10">
      <formula>IF($W13=TODAY(),TRUE)</formula>
    </cfRule>
  </conditionalFormatting>
  <conditionalFormatting sqref="Z13:Z15">
    <cfRule type="expression" dxfId="184" priority="9">
      <formula>IF($W13=TODAY(),TRUE)</formula>
    </cfRule>
  </conditionalFormatting>
  <conditionalFormatting sqref="W16 W20 W24 W28 W32 W36 W40">
    <cfRule type="cellIs" dxfId="183" priority="8" operator="equal">
      <formula>TODAY()</formula>
    </cfRule>
  </conditionalFormatting>
  <conditionalFormatting sqref="X16">
    <cfRule type="expression" dxfId="182" priority="7">
      <formula>IF($W16=TODAY(),TRUE)</formula>
    </cfRule>
  </conditionalFormatting>
  <conditionalFormatting sqref="Y16">
    <cfRule type="expression" dxfId="181" priority="6">
      <formula>IF($W16=TODAY(),TRUE)</formula>
    </cfRule>
  </conditionalFormatting>
  <conditionalFormatting sqref="Z16">
    <cfRule type="expression" dxfId="180" priority="5">
      <formula>IF($W16=TODAY(),TRUE)</formula>
    </cfRule>
  </conditionalFormatting>
  <conditionalFormatting sqref="W17:W19 W21:W23 W25:W27 W29:W31 W33:W35 W37:W39 W41:W42">
    <cfRule type="cellIs" dxfId="179" priority="4" operator="equal">
      <formula>TODAY()</formula>
    </cfRule>
  </conditionalFormatting>
  <conditionalFormatting sqref="X17:X19">
    <cfRule type="expression" dxfId="178" priority="3">
      <formula>IF($W17=TODAY(),TRUE)</formula>
    </cfRule>
  </conditionalFormatting>
  <conditionalFormatting sqref="Y17:Y19">
    <cfRule type="expression" dxfId="177" priority="2">
      <formula>IF($W17=TODAY(),TRUE)</formula>
    </cfRule>
  </conditionalFormatting>
  <conditionalFormatting sqref="Z17:Z19">
    <cfRule type="expression" dxfId="176" priority="1">
      <formula>IF($W17=TODAY(),TRUE)</formula>
    </cfRule>
  </conditionalFormatting>
  <conditionalFormatting sqref="J60:J61">
    <cfRule type="iconSet" priority="76">
      <iconSet iconSet="3Symbols">
        <cfvo type="percent" val="0"/>
        <cfvo type="num" val="0" gte="0"/>
        <cfvo type="num" val="10"/>
      </iconSet>
    </cfRule>
  </conditionalFormatting>
  <conditionalFormatting sqref="J54:J55">
    <cfRule type="iconSet" priority="77">
      <iconSet iconSet="3Symbols">
        <cfvo type="percent" val="0"/>
        <cfvo type="num" val="0" gte="0"/>
        <cfvo type="num" val="10" gte="0"/>
      </iconSet>
    </cfRule>
  </conditionalFormatting>
  <conditionalFormatting sqref="J46:J47">
    <cfRule type="iconSet" priority="78">
      <iconSet iconSet="3Symbols">
        <cfvo type="percent" val="0"/>
        <cfvo type="num" val="0" gte="0"/>
        <cfvo type="num" val="10"/>
      </iconSet>
    </cfRule>
  </conditionalFormatting>
  <conditionalFormatting sqref="J37:J38">
    <cfRule type="iconSet" priority="79">
      <iconSet iconSet="3Symbols">
        <cfvo type="percent" val="0"/>
        <cfvo type="num" val="0" gte="0"/>
        <cfvo type="num" val="10"/>
      </iconSet>
    </cfRule>
  </conditionalFormatting>
  <conditionalFormatting sqref="J29:J30">
    <cfRule type="iconSet" priority="80">
      <iconSet iconSet="3Symbols">
        <cfvo type="percent" val="0"/>
        <cfvo type="num" val="0" gte="0"/>
        <cfvo type="num" val="10"/>
      </iconSet>
    </cfRule>
  </conditionalFormatting>
  <conditionalFormatting sqref="J64:J65">
    <cfRule type="iconSet" priority="83">
      <iconSet iconSet="3Symbols">
        <cfvo type="percent" val="0"/>
        <cfvo type="num" val="0"/>
        <cfvo type="num" val="10"/>
      </iconSet>
    </cfRule>
  </conditionalFormatting>
  <conditionalFormatting sqref="J66:J67">
    <cfRule type="iconSet" priority="84">
      <iconSet iconSet="3Symbols">
        <cfvo type="percent" val="0"/>
        <cfvo type="num" val="0" gte="0"/>
        <cfvo type="num" val="10"/>
      </iconSet>
    </cfRule>
  </conditionalFormatting>
  <dataValidations count="3">
    <dataValidation type="list" allowBlank="1" showInputMessage="1" showErrorMessage="1" sqref="P35:P40 P12:P16 P19:P32">
      <formula1>INDIRECT(O12)</formula1>
    </dataValidation>
    <dataValidation type="list" allowBlank="1" showInputMessage="1" showErrorMessage="1" sqref="O35:O40 O12:O16 O19:O32">
      <formula1>$V$2:$V$8</formula1>
    </dataValidation>
    <dataValidation type="list" allowBlank="1" showInputMessage="1" showErrorMessage="1" sqref="S35:S40 S12:S16 S19:S32">
      <formula1>$Y$2:$Y$4</formula1>
    </dataValidation>
  </dataValidations>
  <hyperlinks>
    <hyperlink ref="C5" r:id="rId1"/>
    <hyperlink ref="C4" r:id="rId2" display="Creating a Check Register in Excel"/>
    <hyperlink ref="C4:E4" r:id="rId3" display="Monthly Personal Budget Tracking"/>
  </hyperlinks>
  <printOptions horizontalCentered="1"/>
  <pageMargins left="0.2" right="0.2" top="0.25" bottom="0.25" header="0.3" footer="0.3"/>
  <pageSetup scale="76" orientation="landscape" r:id="rId4"/>
  <drawing r:id="rId5"/>
  <legacyDrawing r:id="rId6"/>
  <tableParts count="10">
    <tablePart r:id="rId7"/>
    <tablePart r:id="rId8"/>
    <tablePart r:id="rId9"/>
    <tablePart r:id="rId10"/>
    <tablePart r:id="rId11"/>
    <tablePart r:id="rId12"/>
    <tablePart r:id="rId13"/>
    <tablePart r:id="rId14"/>
    <tablePart r:id="rId15"/>
    <tablePart r:id="rId16"/>
  </tableParts>
  <extLst>
    <ext xmlns:x14="http://schemas.microsoft.com/office/spreadsheetml/2009/9/main" uri="{78C0D931-6437-407d-A8EE-F0AAD7539E65}">
      <x14:conditionalFormattings>
        <x14:conditionalFormatting xmlns:xm="http://schemas.microsoft.com/office/excel/2006/main">
          <x14:cfRule type="iconSet" priority="69" id="{9EA4519D-F140-4B53-875C-E7C97AF75CC8}">
            <x14:iconSet iconSet="3Symbols" custom="1">
              <x14:cfvo type="percent">
                <xm:f>0</xm:f>
              </x14:cfvo>
              <x14:cfvo type="num">
                <xm:f>0</xm:f>
              </x14:cfvo>
              <x14:cfvo type="num">
                <xm:f>10</xm:f>
              </x14:cfvo>
              <x14:cfIcon iconSet="3Symbols" iconId="0"/>
              <x14:cfIcon iconSet="3Symbols" iconId="1"/>
              <x14:cfIcon iconSet="3Symbols" iconId="2"/>
            </x14:iconSet>
          </x14:cfRule>
          <xm:sqref>J12:J15</xm:sqref>
        </x14:conditionalFormatting>
        <x14:conditionalFormatting xmlns:xm="http://schemas.microsoft.com/office/excel/2006/main">
          <x14:cfRule type="iconSet" priority="81" id="{AEEA8C54-35B8-42B0-9BD5-F7C9862F6FC0}">
            <x14:iconSet iconSet="3Symbols" custom="1">
              <x14:cfvo type="percent">
                <xm:f>0</xm:f>
              </x14:cfvo>
              <x14:cfvo type="num" gte="0">
                <xm:f>0</xm:f>
              </x14:cfvo>
              <x14:cfvo type="num">
                <xm:f>10</xm:f>
              </x14:cfvo>
              <x14:cfIcon iconSet="3Symbols" iconId="0"/>
              <x14:cfIcon iconSet="3Symbols" iconId="1"/>
              <x14:cfIcon iconSet="3Symbols" iconId="2"/>
            </x14:iconSet>
          </x14:cfRule>
          <xm:sqref>J16:J17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8"/>
  <sheetViews>
    <sheetView showGridLines="0" zoomScaleNormal="100" workbookViewId="0">
      <selection activeCell="W47" sqref="W47"/>
    </sheetView>
  </sheetViews>
  <sheetFormatPr defaultColWidth="0" defaultRowHeight="12" x14ac:dyDescent="0.2"/>
  <cols>
    <col min="1" max="2" width="0.7109375" style="1" customWidth="1"/>
    <col min="3" max="3" width="15" style="1" bestFit="1" customWidth="1"/>
    <col min="4" max="6" width="12.85546875" style="1" customWidth="1"/>
    <col min="7" max="7" width="0.85546875" style="1" customWidth="1"/>
    <col min="8" max="8" width="0.28515625" style="1" customWidth="1"/>
    <col min="9" max="9" width="0.85546875" style="1" customWidth="1"/>
    <col min="10" max="10" width="24.42578125" style="1" bestFit="1" customWidth="1"/>
    <col min="11" max="11" width="12.140625" style="1" bestFit="1" customWidth="1"/>
    <col min="12" max="12" width="14.140625" style="1" bestFit="1" customWidth="1"/>
    <col min="13" max="13" width="8.5703125" style="1" bestFit="1" customWidth="1"/>
    <col min="14" max="14" width="9.7109375" style="1" bestFit="1" customWidth="1"/>
    <col min="15" max="15" width="8.28515625" style="1" bestFit="1" customWidth="1"/>
    <col min="16" max="16" width="0.85546875" style="1" customWidth="1"/>
    <col min="17" max="17" width="0.28515625" style="1" customWidth="1"/>
    <col min="18" max="18" width="0.85546875" style="1" customWidth="1"/>
    <col min="19" max="19" width="10.28515625" style="1" bestFit="1" customWidth="1"/>
    <col min="20" max="22" width="9.5703125" style="1" customWidth="1"/>
    <col min="23" max="23" width="0.7109375" style="1" customWidth="1"/>
    <col min="24" max="24" width="0.7109375" style="1" hidden="1" customWidth="1"/>
    <col min="25" max="25" width="12.140625" style="1" hidden="1" customWidth="1"/>
    <col min="26" max="27" width="4" style="1" hidden="1" customWidth="1"/>
    <col min="28" max="16384" width="9.140625" style="1" hidden="1"/>
  </cols>
  <sheetData>
    <row r="1" spans="2:23" ht="26.25" x14ac:dyDescent="0.4">
      <c r="C1" s="61">
        <f>DATE(YEAR(Mo.1!G1),MONTH(Mo.1!G1)+1,DAY(Mo.1!G1))</f>
        <v>41548</v>
      </c>
      <c r="D1" s="61"/>
      <c r="E1" s="61"/>
      <c r="F1" s="61"/>
      <c r="R1" s="45" t="s">
        <v>0</v>
      </c>
      <c r="S1" s="45" t="s">
        <v>1</v>
      </c>
      <c r="T1" s="45" t="s">
        <v>2</v>
      </c>
      <c r="U1" s="45" t="s">
        <v>16</v>
      </c>
      <c r="V1" s="45" t="s">
        <v>45</v>
      </c>
    </row>
    <row r="2" spans="2:23" x14ac:dyDescent="0.2">
      <c r="D2" s="18" t="s">
        <v>1</v>
      </c>
      <c r="E2" s="19" t="s">
        <v>2</v>
      </c>
      <c r="F2" s="19" t="s">
        <v>14</v>
      </c>
      <c r="R2" s="45" t="str">
        <f>Table13614[[#Headers],[Income]]</f>
        <v>Income</v>
      </c>
      <c r="S2" s="45">
        <f>SUM(Table13614[Budget])</f>
        <v>0</v>
      </c>
      <c r="T2" s="45">
        <f>SUM(Table13614[Actual])</f>
        <v>0</v>
      </c>
      <c r="U2" s="45" t="s">
        <v>19</v>
      </c>
      <c r="V2" s="45">
        <f>AVERAGE(V12:V42)</f>
        <v>3298.880000000001</v>
      </c>
    </row>
    <row r="3" spans="2:23" x14ac:dyDescent="0.2">
      <c r="C3" s="17" t="s">
        <v>35</v>
      </c>
      <c r="D3" s="5">
        <f>Mo.1!H6</f>
        <v>1971.7399999999998</v>
      </c>
      <c r="E3" s="14">
        <f>Mo.1!I6</f>
        <v>3298.88</v>
      </c>
      <c r="F3" s="14">
        <f>E3-D3</f>
        <v>1327.1400000000003</v>
      </c>
      <c r="R3" s="45" t="str">
        <f>Table111[[#Headers],[Housing]]</f>
        <v>Housing</v>
      </c>
      <c r="S3" s="45">
        <f>SUM(Table111[Budget])</f>
        <v>0</v>
      </c>
      <c r="T3" s="45">
        <f>SUM(Table111[Actual])</f>
        <v>0</v>
      </c>
      <c r="U3" s="45" t="s">
        <v>17</v>
      </c>
      <c r="V3" s="45"/>
    </row>
    <row r="4" spans="2:23" x14ac:dyDescent="0.2">
      <c r="C4" s="17" t="s">
        <v>32</v>
      </c>
      <c r="D4" s="5">
        <f>Table13614[[#Totals],[Budget]]</f>
        <v>0</v>
      </c>
      <c r="E4" s="5">
        <f>Table13614[[#Totals],[Actual]]</f>
        <v>0</v>
      </c>
      <c r="F4" s="5">
        <f>E4-D4</f>
        <v>0</v>
      </c>
      <c r="R4" s="45" t="str">
        <f>Table1312[[#Headers],[Transportation]]</f>
        <v>Transportation</v>
      </c>
      <c r="S4" s="45">
        <f>SUM(Table1312[Budget])</f>
        <v>0</v>
      </c>
      <c r="T4" s="45">
        <f>SUM(Table1312[Actual])</f>
        <v>0</v>
      </c>
      <c r="U4" s="45" t="s">
        <v>18</v>
      </c>
      <c r="V4" s="45"/>
    </row>
    <row r="5" spans="2:23" x14ac:dyDescent="0.2">
      <c r="C5" s="17" t="s">
        <v>33</v>
      </c>
      <c r="D5" s="5">
        <f>Table111[[#Totals],[Budget]]+Table1312[[#Totals],[Budget]]+Table1391018[[#Totals],[Budget]]+Table13715[[#Totals],[Budget]]+Table13816[[#Totals],[Budget]]+Table13917[[#Totals],[Budget]]</f>
        <v>0</v>
      </c>
      <c r="E5" s="5">
        <f>Table111[[#Totals],[Actual]]+Table1312[[#Totals],[Actual]]+Table1391018[[#Totals],[Actual]]+Table13715[[#Totals],[Actual]]+Table13816[[#Totals],[Actual]]+Table13917[[#Totals],[Actual]]</f>
        <v>0</v>
      </c>
      <c r="F5" s="5">
        <f>E5-D5</f>
        <v>0</v>
      </c>
      <c r="R5" s="45" t="str">
        <f>Table1391018[[#Headers],[Bills]]</f>
        <v>Bills</v>
      </c>
      <c r="S5" s="45">
        <f>SUM(Table1391018[Budget])</f>
        <v>0</v>
      </c>
      <c r="T5" s="45">
        <f>SUM(Table1391018[Actual])</f>
        <v>0</v>
      </c>
      <c r="U5" s="45"/>
      <c r="V5" s="45"/>
    </row>
    <row r="6" spans="2:23" x14ac:dyDescent="0.2">
      <c r="C6" s="15" t="s">
        <v>34</v>
      </c>
      <c r="D6" s="16">
        <f>D3+D4-D5</f>
        <v>1971.7399999999998</v>
      </c>
      <c r="E6" s="16">
        <f>E3+E4-E5</f>
        <v>3298.88</v>
      </c>
      <c r="F6" s="16">
        <f>F3+F4-F5</f>
        <v>1327.1400000000003</v>
      </c>
      <c r="R6" s="45" t="str">
        <f>Table13715[[#Headers],[Living]]</f>
        <v>Living</v>
      </c>
      <c r="S6" s="45">
        <f>SUM(Table13715[Budget])</f>
        <v>0</v>
      </c>
      <c r="T6" s="45">
        <f>SUM(Table13715[Actual])</f>
        <v>0</v>
      </c>
      <c r="U6" s="45"/>
      <c r="V6" s="45"/>
    </row>
    <row r="7" spans="2:23" ht="3.75" customHeight="1" x14ac:dyDescent="0.2">
      <c r="D7" s="2"/>
      <c r="R7" s="45" t="str">
        <f>Table13816[[#Headers],[Entertainment]]</f>
        <v>Entertainment</v>
      </c>
      <c r="S7" s="45">
        <f>SUM(Table13816[Budget])</f>
        <v>0</v>
      </c>
      <c r="T7" s="45">
        <f>SUM(Table13816[Actual])</f>
        <v>0</v>
      </c>
      <c r="U7" s="45"/>
      <c r="V7" s="45"/>
    </row>
    <row r="8" spans="2:23" ht="1.5" customHeight="1" x14ac:dyDescent="0.2">
      <c r="C8" s="42"/>
      <c r="D8" s="43"/>
      <c r="E8" s="42"/>
      <c r="F8" s="42"/>
      <c r="G8" s="42"/>
      <c r="H8" s="42"/>
      <c r="I8" s="42"/>
      <c r="J8" s="42"/>
      <c r="K8" s="42"/>
      <c r="L8" s="42"/>
      <c r="M8" s="42"/>
      <c r="N8" s="42"/>
      <c r="O8" s="42"/>
      <c r="P8" s="42"/>
      <c r="Q8" s="42"/>
      <c r="R8" s="44" t="str">
        <f>Table13917[[#Headers],[Misc.]]</f>
        <v>Misc.</v>
      </c>
      <c r="S8" s="44">
        <f>SUM(Table13917[Budget])</f>
        <v>0</v>
      </c>
      <c r="T8" s="44">
        <f>SUM(Table13917[Actual])</f>
        <v>0</v>
      </c>
      <c r="U8" s="44"/>
      <c r="V8" s="44"/>
    </row>
    <row r="9" spans="2:23" ht="3.75" customHeight="1" x14ac:dyDescent="0.2">
      <c r="D9" s="2"/>
      <c r="H9" s="42"/>
      <c r="Q9" s="42"/>
    </row>
    <row r="10" spans="2:23" s="25" customFormat="1" x14ac:dyDescent="0.2">
      <c r="B10" s="35"/>
      <c r="C10" s="37" t="str">
        <f>CONCATENATE(Table13614[[#Headers],[Income]]," - Budget &amp; Tracking")</f>
        <v>Income - Budget &amp; Tracking</v>
      </c>
      <c r="D10" s="38"/>
      <c r="E10" s="38"/>
      <c r="F10" s="39"/>
      <c r="G10" s="35"/>
      <c r="H10" s="41"/>
      <c r="J10" s="37" t="s">
        <v>42</v>
      </c>
      <c r="K10" s="38"/>
      <c r="L10" s="38"/>
      <c r="M10" s="38"/>
      <c r="N10" s="38"/>
      <c r="O10" s="39"/>
      <c r="Q10" s="41"/>
      <c r="S10" s="37" t="s">
        <v>40</v>
      </c>
      <c r="T10" s="38"/>
      <c r="U10" s="38"/>
      <c r="V10" s="39"/>
    </row>
    <row r="11" spans="2:23" ht="12.75" thickBot="1" x14ac:dyDescent="0.25">
      <c r="B11" s="32"/>
      <c r="C11" s="31" t="s">
        <v>15</v>
      </c>
      <c r="D11" s="31" t="s">
        <v>1</v>
      </c>
      <c r="E11" s="31" t="s">
        <v>2</v>
      </c>
      <c r="F11" s="31" t="s">
        <v>14</v>
      </c>
      <c r="G11" s="32"/>
      <c r="H11" s="42"/>
      <c r="J11" s="31" t="s">
        <v>9</v>
      </c>
      <c r="K11" s="31" t="s">
        <v>0</v>
      </c>
      <c r="L11" s="31" t="s">
        <v>13</v>
      </c>
      <c r="M11" s="31" t="s">
        <v>10</v>
      </c>
      <c r="N11" s="31" t="s">
        <v>11</v>
      </c>
      <c r="O11" s="31" t="s">
        <v>16</v>
      </c>
      <c r="Q11" s="42"/>
      <c r="S11" s="40" t="s">
        <v>10</v>
      </c>
      <c r="T11" s="40" t="s">
        <v>22</v>
      </c>
      <c r="U11" s="40" t="s">
        <v>21</v>
      </c>
      <c r="V11" s="40" t="s">
        <v>23</v>
      </c>
    </row>
    <row r="12" spans="2:23" x14ac:dyDescent="0.2">
      <c r="B12" s="32"/>
      <c r="D12" s="2"/>
      <c r="E12" s="2">
        <f>SUMIFS(Table442021[Amount],Table442021[Category],Table13614[[#Headers],[Income]],Table442021[Sub-Category],Table13614[[#This Row],[Income]])+SUMIFS(Table4419[Amount],Table4419[Category],Table13614[[#Headers],[Income]],Table4419[Sub-Category],Table13614[[#This Row],[Income]])</f>
        <v>0</v>
      </c>
      <c r="F12" s="3">
        <f>Table13614[[#This Row],[Actual]]-Table13614[[#This Row],[Budget]]</f>
        <v>0</v>
      </c>
      <c r="G12" s="32"/>
      <c r="H12" s="42"/>
      <c r="M12" s="4"/>
      <c r="N12" s="2"/>
      <c r="Q12" s="42"/>
      <c r="S12" s="27">
        <f>C1</f>
        <v>41548</v>
      </c>
      <c r="T12" s="29">
        <f>SUMIFS(Table442021[Amount],Table442021[Date],S12,Table442021[Category],Table13614[[#Headers],[Income]])+SUMIFS(Table4419[Amount],Table4419[Date],S12,Table4419[Category],Table13614[[#Headers],[Income]])</f>
        <v>0</v>
      </c>
      <c r="U12" s="29">
        <f>SUMIFS(Table413[Amount],Table413[Date],S12,Table413[Category],"&lt;&gt;"&amp;Table13614[[#Headers],[Income]])+SUMIFS(Table4419[Amount],Table4419[Date],S12,Table4419[Category],"&lt;&gt;"&amp;Table13614[[#Headers],[Income]])</f>
        <v>0</v>
      </c>
      <c r="V12" s="29">
        <f>E3+T12-U12</f>
        <v>3298.88</v>
      </c>
      <c r="W12" s="1">
        <f>V2</f>
        <v>3298.880000000001</v>
      </c>
    </row>
    <row r="13" spans="2:23" x14ac:dyDescent="0.2">
      <c r="B13" s="32"/>
      <c r="D13" s="2"/>
      <c r="E13" s="2">
        <f>SUMIFS(Table442021[Amount],Table442021[Category],Table13614[[#Headers],[Income]],Table442021[Sub-Category],Table13614[[#This Row],[Income]])+SUMIFS(Table4419[Amount],Table4419[Category],Table13614[[#Headers],[Income]],Table4419[Sub-Category],Table13614[[#This Row],[Income]])</f>
        <v>0</v>
      </c>
      <c r="F13" s="3">
        <f>Table13614[[#This Row],[Actual]]-Table13614[[#This Row],[Budget]]</f>
        <v>0</v>
      </c>
      <c r="G13" s="32"/>
      <c r="H13" s="42"/>
      <c r="M13" s="4"/>
      <c r="N13" s="2"/>
      <c r="Q13" s="42"/>
      <c r="S13" s="30">
        <f t="shared" ref="S13:S42" si="0">S12+1</f>
        <v>41549</v>
      </c>
      <c r="T13" s="28">
        <f>SUMIFS(Table442021[Amount],Table442021[Date],S13,Table442021[Category],Table13614[[#Headers],[Income]])+SUMIFS(Table4419[Amount],Table4419[Date],S13,Table4419[Category],Table13614[[#Headers],[Income]])</f>
        <v>0</v>
      </c>
      <c r="U13" s="28">
        <f>SUMIFS(Table413[Amount],Table413[Date],S13,Table413[Category],"&lt;&gt;"&amp;Table13614[[#Headers],[Income]])+SUMIFS(Table4419[Amount],Table4419[Date],S13,Table4419[Category],"&lt;&gt;"&amp;Table13614[[#Headers],[Income]])</f>
        <v>0</v>
      </c>
      <c r="V13" s="28">
        <f>V12+T13-U13</f>
        <v>3298.88</v>
      </c>
      <c r="W13" s="1">
        <f>W12</f>
        <v>3298.880000000001</v>
      </c>
    </row>
    <row r="14" spans="2:23" x14ac:dyDescent="0.2">
      <c r="B14" s="32"/>
      <c r="D14" s="12"/>
      <c r="E14" s="12">
        <f>SUMIFS(Table442021[Amount],Table442021[Category],Table13614[[#Headers],[Income]],Table442021[Sub-Category],Table13614[[#This Row],[Income]])+SUMIFS(Table4419[Amount],Table4419[Category],Table13614[[#Headers],[Income]],Table4419[Sub-Category],Table13614[[#This Row],[Income]])</f>
        <v>0</v>
      </c>
      <c r="F14" s="2">
        <f>Table13614[[#This Row],[Actual]]-Table13614[[#This Row],[Budget]]</f>
        <v>0</v>
      </c>
      <c r="G14" s="32"/>
      <c r="H14" s="42"/>
      <c r="M14" s="4"/>
      <c r="N14" s="2"/>
      <c r="Q14" s="42"/>
      <c r="S14" s="27">
        <f t="shared" si="0"/>
        <v>41550</v>
      </c>
      <c r="T14" s="29">
        <f>SUMIFS(Table442021[Amount],Table442021[Date],S14,Table442021[Category],Table13614[[#Headers],[Income]])+SUMIFS(Table4419[Amount],Table4419[Date],S14,Table4419[Category],Table13614[[#Headers],[Income]])</f>
        <v>0</v>
      </c>
      <c r="U14" s="29">
        <f>SUMIFS(Table413[Amount],Table413[Date],S14,Table413[Category],"&lt;&gt;"&amp;Table13614[[#Headers],[Income]])+SUMIFS(Table4419[Amount],Table4419[Date],S14,Table4419[Category],"&lt;&gt;"&amp;Table13614[[#Headers],[Income]])</f>
        <v>0</v>
      </c>
      <c r="V14" s="29">
        <f t="shared" ref="V14:V42" si="1">V13+T14-U14</f>
        <v>3298.88</v>
      </c>
      <c r="W14" s="1">
        <f t="shared" ref="W14:W42" si="2">W13</f>
        <v>3298.880000000001</v>
      </c>
    </row>
    <row r="15" spans="2:23" x14ac:dyDescent="0.2">
      <c r="B15" s="32"/>
      <c r="D15" s="2"/>
      <c r="E15" s="3">
        <f>SUMIFS(Table442021[Amount],Table442021[Category],Table13614[[#Headers],[Income]],Table442021[Sub-Category],Table13614[[#This Row],[Income]])+SUMIFS(Table4419[Amount],Table4419[Category],Table13614[[#Headers],[Income]],Table4419[Sub-Category],Table13614[[#This Row],[Income]])</f>
        <v>0</v>
      </c>
      <c r="F15" s="3">
        <f>Table13614[[#This Row],[Actual]]-Table13614[[#This Row],[Budget]]</f>
        <v>0</v>
      </c>
      <c r="G15" s="32"/>
      <c r="H15" s="42"/>
      <c r="J15" s="11"/>
      <c r="K15" s="11"/>
      <c r="L15" s="11"/>
      <c r="M15" s="24"/>
      <c r="N15" s="12"/>
      <c r="O15" s="11"/>
      <c r="Q15" s="42"/>
      <c r="S15" s="30">
        <f t="shared" si="0"/>
        <v>41551</v>
      </c>
      <c r="T15" s="28">
        <f>SUMIFS(Table442021[Amount],Table442021[Date],S15,Table442021[Category],Table13614[[#Headers],[Income]])+SUMIFS(Table4419[Amount],Table4419[Date],S15,Table4419[Category],Table13614[[#Headers],[Income]])</f>
        <v>0</v>
      </c>
      <c r="U15" s="28">
        <f>SUMIFS(Table413[Amount],Table413[Date],S15,Table413[Category],"&lt;&gt;"&amp;Table13614[[#Headers],[Income]])+SUMIFS(Table4419[Amount],Table4419[Date],S15,Table4419[Category],"&lt;&gt;"&amp;Table13614[[#Headers],[Income]])</f>
        <v>0</v>
      </c>
      <c r="V15" s="28">
        <f t="shared" si="1"/>
        <v>3298.88</v>
      </c>
      <c r="W15" s="1">
        <f t="shared" si="2"/>
        <v>3298.880000000001</v>
      </c>
    </row>
    <row r="16" spans="2:23" x14ac:dyDescent="0.2">
      <c r="B16" s="32"/>
      <c r="C16" s="6" t="s">
        <v>20</v>
      </c>
      <c r="D16" s="7">
        <f>SUBTOTAL(109,Table13614[Budget])</f>
        <v>0</v>
      </c>
      <c r="E16" s="7">
        <f>SUBTOTAL(109,Table13614[Actual])</f>
        <v>0</v>
      </c>
      <c r="F16" s="7">
        <f>SUBTOTAL(109,Table13614[Variance])</f>
        <v>0</v>
      </c>
      <c r="G16" s="36"/>
      <c r="H16" s="43"/>
      <c r="I16" s="2"/>
      <c r="M16" s="4"/>
      <c r="N16" s="2"/>
      <c r="Q16" s="43"/>
      <c r="S16" s="27">
        <f t="shared" si="0"/>
        <v>41552</v>
      </c>
      <c r="T16" s="29">
        <f>SUMIFS(Table442021[Amount],Table442021[Date],S16,Table442021[Category],Table13614[[#Headers],[Income]])+SUMIFS(Table4419[Amount],Table4419[Date],S16,Table4419[Category],Table13614[[#Headers],[Income]])</f>
        <v>0</v>
      </c>
      <c r="U16" s="29">
        <f>SUMIFS(Table413[Amount],Table413[Date],S16,Table413[Category],"&lt;&gt;"&amp;Table13614[[#Headers],[Income]])+SUMIFS(Table4419[Amount],Table4419[Date],S16,Table4419[Category],"&lt;&gt;"&amp;Table13614[[#Headers],[Income]])</f>
        <v>0</v>
      </c>
      <c r="V16" s="29">
        <f t="shared" si="1"/>
        <v>3298.88</v>
      </c>
      <c r="W16" s="1">
        <f t="shared" si="2"/>
        <v>3298.880000000001</v>
      </c>
    </row>
    <row r="17" spans="2:23" x14ac:dyDescent="0.2">
      <c r="B17" s="32"/>
      <c r="C17" s="20"/>
      <c r="D17" s="21"/>
      <c r="E17" s="21"/>
      <c r="F17" s="21"/>
      <c r="G17" s="36"/>
      <c r="H17" s="43"/>
      <c r="I17" s="2"/>
      <c r="J17" s="37" t="s">
        <v>43</v>
      </c>
      <c r="K17" s="38"/>
      <c r="L17" s="38"/>
      <c r="M17" s="38"/>
      <c r="N17" s="38"/>
      <c r="O17" s="39"/>
      <c r="Q17" s="43"/>
      <c r="S17" s="30">
        <f t="shared" si="0"/>
        <v>41553</v>
      </c>
      <c r="T17" s="28">
        <f>SUMIFS(Table442021[Amount],Table442021[Date],S17,Table442021[Category],Table13614[[#Headers],[Income]])+SUMIFS(Table4419[Amount],Table4419[Date],S17,Table4419[Category],Table13614[[#Headers],[Income]])</f>
        <v>0</v>
      </c>
      <c r="U17" s="28">
        <f>SUMIFS(Table413[Amount],Table413[Date],S17,Table413[Category],"&lt;&gt;"&amp;Table13614[[#Headers],[Income]])+SUMIFS(Table4419[Amount],Table4419[Date],S17,Table4419[Category],"&lt;&gt;"&amp;Table13614[[#Headers],[Income]])</f>
        <v>0</v>
      </c>
      <c r="V17" s="28">
        <f t="shared" si="1"/>
        <v>3298.88</v>
      </c>
      <c r="W17" s="1">
        <f t="shared" si="2"/>
        <v>3298.880000000001</v>
      </c>
    </row>
    <row r="18" spans="2:23" x14ac:dyDescent="0.2">
      <c r="B18" s="32"/>
      <c r="C18" s="37" t="str">
        <f>CONCATENATE(Table111[[#Headers],[Housing]]," - Budget &amp; Tracking")</f>
        <v>Housing - Budget &amp; Tracking</v>
      </c>
      <c r="D18" s="38"/>
      <c r="E18" s="38"/>
      <c r="F18" s="39"/>
      <c r="G18" s="36"/>
      <c r="H18" s="43"/>
      <c r="I18" s="2"/>
      <c r="J18" s="31" t="s">
        <v>9</v>
      </c>
      <c r="K18" s="31" t="s">
        <v>0</v>
      </c>
      <c r="L18" s="31" t="s">
        <v>13</v>
      </c>
      <c r="M18" s="31" t="s">
        <v>10</v>
      </c>
      <c r="N18" s="31" t="s">
        <v>11</v>
      </c>
      <c r="O18" s="31" t="s">
        <v>16</v>
      </c>
      <c r="Q18" s="43"/>
      <c r="S18" s="27">
        <f t="shared" si="0"/>
        <v>41554</v>
      </c>
      <c r="T18" s="29">
        <f>SUMIFS(Table442021[Amount],Table442021[Date],S18,Table442021[Category],Table13614[[#Headers],[Income]])+SUMIFS(Table4419[Amount],Table4419[Date],S18,Table4419[Category],Table13614[[#Headers],[Income]])</f>
        <v>0</v>
      </c>
      <c r="U18" s="29">
        <f>SUMIFS(Table413[Amount],Table413[Date],S18,Table413[Category],"&lt;&gt;"&amp;Table13614[[#Headers],[Income]])+SUMIFS(Table4419[Amount],Table4419[Date],S18,Table4419[Category],"&lt;&gt;"&amp;Table13614[[#Headers],[Income]])</f>
        <v>0</v>
      </c>
      <c r="V18" s="29">
        <f t="shared" si="1"/>
        <v>3298.88</v>
      </c>
      <c r="W18" s="1">
        <f t="shared" si="2"/>
        <v>3298.880000000001</v>
      </c>
    </row>
    <row r="19" spans="2:23" x14ac:dyDescent="0.2">
      <c r="B19" s="32"/>
      <c r="C19" s="31" t="s">
        <v>8</v>
      </c>
      <c r="D19" s="31" t="s">
        <v>1</v>
      </c>
      <c r="E19" s="31" t="s">
        <v>2</v>
      </c>
      <c r="F19" s="31" t="s">
        <v>14</v>
      </c>
      <c r="G19" s="36"/>
      <c r="H19" s="43"/>
      <c r="I19" s="2"/>
      <c r="M19" s="4"/>
      <c r="N19" s="2"/>
      <c r="Q19" s="43"/>
      <c r="S19" s="30">
        <f t="shared" si="0"/>
        <v>41555</v>
      </c>
      <c r="T19" s="28">
        <f>SUMIFS(Table442021[Amount],Table442021[Date],S19,Table442021[Category],Table13614[[#Headers],[Income]])+SUMIFS(Table4419[Amount],Table4419[Date],S19,Table4419[Category],Table13614[[#Headers],[Income]])</f>
        <v>0</v>
      </c>
      <c r="U19" s="28">
        <f>SUMIFS(Table413[Amount],Table413[Date],S19,Table413[Category],"&lt;&gt;"&amp;Table13614[[#Headers],[Income]])+SUMIFS(Table4419[Amount],Table4419[Date],S19,Table4419[Category],"&lt;&gt;"&amp;Table13614[[#Headers],[Income]])</f>
        <v>0</v>
      </c>
      <c r="V19" s="28">
        <f t="shared" si="1"/>
        <v>3298.88</v>
      </c>
      <c r="W19" s="1">
        <f t="shared" si="2"/>
        <v>3298.880000000001</v>
      </c>
    </row>
    <row r="20" spans="2:23" x14ac:dyDescent="0.2">
      <c r="B20" s="32"/>
      <c r="D20" s="2"/>
      <c r="E20" s="2">
        <f>SUMIFS(Table413[Amount],Table413[Category],Table111[[#Headers],[Housing]],Table413[Sub-Category],Table111[[#This Row],[Housing]])+SUMIFS(Table4419[Amount],Table4419[Category],Table111[[#Headers],[Housing]],Table4419[Sub-Category],Table111[[#This Row],[Housing]])</f>
        <v>0</v>
      </c>
      <c r="F20" s="3">
        <f>Table111[[#This Row],[Budget]]-Table111[[#This Row],[Actual]]</f>
        <v>0</v>
      </c>
      <c r="G20" s="36"/>
      <c r="H20" s="43"/>
      <c r="I20" s="2"/>
      <c r="J20" s="11"/>
      <c r="K20" s="11"/>
      <c r="L20" s="11"/>
      <c r="M20" s="24"/>
      <c r="N20" s="12"/>
      <c r="O20" s="11"/>
      <c r="Q20" s="43"/>
      <c r="S20" s="27">
        <f t="shared" si="0"/>
        <v>41556</v>
      </c>
      <c r="T20" s="29">
        <f>SUMIFS(Table442021[Amount],Table442021[Date],S20,Table442021[Category],Table13614[[#Headers],[Income]])+SUMIFS(Table4419[Amount],Table4419[Date],S20,Table4419[Category],Table13614[[#Headers],[Income]])</f>
        <v>0</v>
      </c>
      <c r="U20" s="29">
        <f>SUMIFS(Table413[Amount],Table413[Date],S20,Table413[Category],"&lt;&gt;"&amp;Table13614[[#Headers],[Income]])+SUMIFS(Table4419[Amount],Table4419[Date],S20,Table4419[Category],"&lt;&gt;"&amp;Table13614[[#Headers],[Income]])</f>
        <v>0</v>
      </c>
      <c r="V20" s="29">
        <f t="shared" si="1"/>
        <v>3298.88</v>
      </c>
      <c r="W20" s="1">
        <f t="shared" si="2"/>
        <v>3298.880000000001</v>
      </c>
    </row>
    <row r="21" spans="2:23" x14ac:dyDescent="0.2">
      <c r="B21" s="32"/>
      <c r="D21" s="2"/>
      <c r="E21" s="2">
        <f>SUMIFS(Table413[Amount],Table413[Category],Table111[[#Headers],[Housing]],Table413[Sub-Category],Table111[[#This Row],[Housing]])+SUMIFS(Table4419[Amount],Table4419[Category],Table111[[#Headers],[Housing]],Table4419[Sub-Category],Table111[[#This Row],[Housing]])</f>
        <v>0</v>
      </c>
      <c r="F21" s="3">
        <f>Table111[[#This Row],[Budget]]-Table111[[#This Row],[Actual]]</f>
        <v>0</v>
      </c>
      <c r="G21" s="36"/>
      <c r="H21" s="43"/>
      <c r="I21" s="2"/>
      <c r="J21" s="11"/>
      <c r="K21" s="11"/>
      <c r="L21" s="11"/>
      <c r="M21" s="24"/>
      <c r="N21" s="12"/>
      <c r="O21" s="11"/>
      <c r="Q21" s="43"/>
      <c r="S21" s="30">
        <f t="shared" si="0"/>
        <v>41557</v>
      </c>
      <c r="T21" s="28">
        <f>SUMIFS(Table442021[Amount],Table442021[Date],S21,Table442021[Category],Table13614[[#Headers],[Income]])+SUMIFS(Table4419[Amount],Table4419[Date],S21,Table4419[Category],Table13614[[#Headers],[Income]])</f>
        <v>0</v>
      </c>
      <c r="U21" s="28">
        <f>SUMIFS(Table413[Amount],Table413[Date],S21,Table413[Category],"&lt;&gt;"&amp;Table13614[[#Headers],[Income]])+SUMIFS(Table4419[Amount],Table4419[Date],S21,Table4419[Category],"&lt;&gt;"&amp;Table13614[[#Headers],[Income]])</f>
        <v>0</v>
      </c>
      <c r="V21" s="28">
        <f t="shared" si="1"/>
        <v>3298.88</v>
      </c>
      <c r="W21" s="1">
        <f t="shared" si="2"/>
        <v>3298.880000000001</v>
      </c>
    </row>
    <row r="22" spans="2:23" x14ac:dyDescent="0.2">
      <c r="B22" s="32"/>
      <c r="D22" s="2"/>
      <c r="E22" s="2">
        <f>SUMIFS(Table413[Amount],Table413[Category],Table111[[#Headers],[Housing]],Table413[Sub-Category],Table111[[#This Row],[Housing]])+SUMIFS(Table4419[Amount],Table4419[Category],Table111[[#Headers],[Housing]],Table4419[Sub-Category],Table111[[#This Row],[Housing]])</f>
        <v>0</v>
      </c>
      <c r="F22" s="3">
        <f>Table111[[#This Row],[Budget]]-Table111[[#This Row],[Actual]]</f>
        <v>0</v>
      </c>
      <c r="G22" s="36"/>
      <c r="H22" s="43"/>
      <c r="I22" s="2"/>
      <c r="J22" s="11"/>
      <c r="K22" s="11"/>
      <c r="L22" s="11"/>
      <c r="M22" s="24"/>
      <c r="N22" s="12"/>
      <c r="O22" s="11"/>
      <c r="Q22" s="43"/>
      <c r="S22" s="27">
        <f t="shared" si="0"/>
        <v>41558</v>
      </c>
      <c r="T22" s="29">
        <f>SUMIFS(Table442021[Amount],Table442021[Date],S22,Table442021[Category],Table13614[[#Headers],[Income]])+SUMIFS(Table4419[Amount],Table4419[Date],S22,Table4419[Category],Table13614[[#Headers],[Income]])</f>
        <v>0</v>
      </c>
      <c r="U22" s="29">
        <f>SUMIFS(Table413[Amount],Table413[Date],S22,Table413[Category],"&lt;&gt;"&amp;Table13614[[#Headers],[Income]])+SUMIFS(Table4419[Amount],Table4419[Date],S22,Table4419[Category],"&lt;&gt;"&amp;Table13614[[#Headers],[Income]])</f>
        <v>0</v>
      </c>
      <c r="V22" s="29">
        <f t="shared" si="1"/>
        <v>3298.88</v>
      </c>
      <c r="W22" s="1">
        <f t="shared" si="2"/>
        <v>3298.880000000001</v>
      </c>
    </row>
    <row r="23" spans="2:23" x14ac:dyDescent="0.2">
      <c r="B23" s="32"/>
      <c r="D23" s="2"/>
      <c r="E23" s="2">
        <f>SUMIFS(Table413[Amount],Table413[Category],Table111[[#Headers],[Housing]],Table413[Sub-Category],Table111[[#This Row],[Housing]])+SUMIFS(Table4419[Amount],Table4419[Category],Table111[[#Headers],[Housing]],Table4419[Sub-Category],Table111[[#This Row],[Housing]])</f>
        <v>0</v>
      </c>
      <c r="F23" s="3">
        <f>Table111[[#This Row],[Budget]]-Table111[[#This Row],[Actual]]</f>
        <v>0</v>
      </c>
      <c r="G23" s="36"/>
      <c r="H23" s="43"/>
      <c r="I23" s="2"/>
      <c r="J23" s="11"/>
      <c r="K23" s="11"/>
      <c r="L23" s="11"/>
      <c r="M23" s="24"/>
      <c r="N23" s="12"/>
      <c r="O23" s="11"/>
      <c r="Q23" s="43"/>
      <c r="S23" s="30">
        <f t="shared" si="0"/>
        <v>41559</v>
      </c>
      <c r="T23" s="28">
        <f>SUMIFS(Table442021[Amount],Table442021[Date],S23,Table442021[Category],Table13614[[#Headers],[Income]])+SUMIFS(Table4419[Amount],Table4419[Date],S23,Table4419[Category],Table13614[[#Headers],[Income]])</f>
        <v>0</v>
      </c>
      <c r="U23" s="28">
        <f>SUMIFS(Table413[Amount],Table413[Date],S23,Table413[Category],"&lt;&gt;"&amp;Table13614[[#Headers],[Income]])+SUMIFS(Table4419[Amount],Table4419[Date],S23,Table4419[Category],"&lt;&gt;"&amp;Table13614[[#Headers],[Income]])</f>
        <v>0</v>
      </c>
      <c r="V23" s="28">
        <f t="shared" si="1"/>
        <v>3298.88</v>
      </c>
      <c r="W23" s="1">
        <f t="shared" si="2"/>
        <v>3298.880000000001</v>
      </c>
    </row>
    <row r="24" spans="2:23" x14ac:dyDescent="0.2">
      <c r="B24" s="32"/>
      <c r="D24" s="2"/>
      <c r="E24" s="2">
        <f>SUMIFS(Table413[Amount],Table413[Category],Table111[[#Headers],[Housing]],Table413[Sub-Category],Table111[[#This Row],[Housing]])+SUMIFS(Table4419[Amount],Table4419[Category],Table111[[#Headers],[Housing]],Table4419[Sub-Category],Table111[[#This Row],[Housing]])</f>
        <v>0</v>
      </c>
      <c r="F24" s="3">
        <f>Table111[[#This Row],[Budget]]-Table111[[#This Row],[Actual]]</f>
        <v>0</v>
      </c>
      <c r="G24" s="36"/>
      <c r="H24" s="43"/>
      <c r="I24" s="2"/>
      <c r="J24" s="11"/>
      <c r="K24" s="11"/>
      <c r="L24" s="11"/>
      <c r="M24" s="24"/>
      <c r="N24" s="12"/>
      <c r="O24" s="11"/>
      <c r="Q24" s="43"/>
      <c r="S24" s="27">
        <f t="shared" si="0"/>
        <v>41560</v>
      </c>
      <c r="T24" s="29">
        <f>SUMIFS(Table442021[Amount],Table442021[Date],S24,Table442021[Category],Table13614[[#Headers],[Income]])+SUMIFS(Table4419[Amount],Table4419[Date],S24,Table4419[Category],Table13614[[#Headers],[Income]])</f>
        <v>0</v>
      </c>
      <c r="U24" s="29">
        <f>SUMIFS(Table413[Amount],Table413[Date],S24,Table413[Category],"&lt;&gt;"&amp;Table13614[[#Headers],[Income]])+SUMIFS(Table4419[Amount],Table4419[Date],S24,Table4419[Category],"&lt;&gt;"&amp;Table13614[[#Headers],[Income]])</f>
        <v>0</v>
      </c>
      <c r="V24" s="29">
        <f t="shared" si="1"/>
        <v>3298.88</v>
      </c>
      <c r="W24" s="1">
        <f t="shared" si="2"/>
        <v>3298.880000000001</v>
      </c>
    </row>
    <row r="25" spans="2:23" x14ac:dyDescent="0.2">
      <c r="B25" s="32"/>
      <c r="D25" s="2"/>
      <c r="E25" s="2">
        <f>SUMIFS(Table413[Amount],Table413[Category],Table111[[#Headers],[Housing]],Table413[Sub-Category],Table111[[#This Row],[Housing]])+SUMIFS(Table4419[Amount],Table4419[Category],Table111[[#Headers],[Housing]],Table4419[Sub-Category],Table111[[#This Row],[Housing]])</f>
        <v>0</v>
      </c>
      <c r="F25" s="3">
        <f>Table111[[#This Row],[Budget]]-Table111[[#This Row],[Actual]]</f>
        <v>0</v>
      </c>
      <c r="G25" s="32"/>
      <c r="H25" s="42"/>
      <c r="J25" s="11"/>
      <c r="K25" s="11"/>
      <c r="L25" s="11"/>
      <c r="M25" s="24"/>
      <c r="N25" s="12"/>
      <c r="O25" s="11"/>
      <c r="Q25" s="42"/>
      <c r="S25" s="30">
        <f t="shared" si="0"/>
        <v>41561</v>
      </c>
      <c r="T25" s="28">
        <f>SUMIFS(Table442021[Amount],Table442021[Date],S25,Table442021[Category],Table13614[[#Headers],[Income]])+SUMIFS(Table4419[Amount],Table4419[Date],S25,Table4419[Category],Table13614[[#Headers],[Income]])</f>
        <v>0</v>
      </c>
      <c r="U25" s="28">
        <f>SUMIFS(Table413[Amount],Table413[Date],S25,Table413[Category],"&lt;&gt;"&amp;Table13614[[#Headers],[Income]])+SUMIFS(Table4419[Amount],Table4419[Date],S25,Table4419[Category],"&lt;&gt;"&amp;Table13614[[#Headers],[Income]])</f>
        <v>0</v>
      </c>
      <c r="V25" s="28">
        <f t="shared" si="1"/>
        <v>3298.88</v>
      </c>
      <c r="W25" s="1">
        <f t="shared" si="2"/>
        <v>3298.880000000001</v>
      </c>
    </row>
    <row r="26" spans="2:23" x14ac:dyDescent="0.2">
      <c r="B26" s="32"/>
      <c r="D26" s="2"/>
      <c r="E26" s="2">
        <f>SUMIFS(Table413[Amount],Table413[Category],Table111[[#Headers],[Housing]],Table413[Sub-Category],Table111[[#This Row],[Housing]])+SUMIFS(Table4419[Amount],Table4419[Category],Table111[[#Headers],[Housing]],Table4419[Sub-Category],Table111[[#This Row],[Housing]])</f>
        <v>0</v>
      </c>
      <c r="F26" s="3">
        <f>Table111[[#This Row],[Budget]]-Table111[[#This Row],[Actual]]</f>
        <v>0</v>
      </c>
      <c r="G26" s="32"/>
      <c r="H26" s="42"/>
      <c r="J26" s="11"/>
      <c r="K26" s="11"/>
      <c r="L26" s="11"/>
      <c r="M26" s="24"/>
      <c r="N26" s="12"/>
      <c r="O26" s="11"/>
      <c r="Q26" s="42"/>
      <c r="S26" s="27">
        <f t="shared" si="0"/>
        <v>41562</v>
      </c>
      <c r="T26" s="29">
        <f>SUMIFS(Table442021[Amount],Table442021[Date],S26,Table442021[Category],Table13614[[#Headers],[Income]])+SUMIFS(Table4419[Amount],Table4419[Date],S26,Table4419[Category],Table13614[[#Headers],[Income]])</f>
        <v>0</v>
      </c>
      <c r="U26" s="29">
        <f>SUMIFS(Table413[Amount],Table413[Date],S26,Table413[Category],"&lt;&gt;"&amp;Table13614[[#Headers],[Income]])+SUMIFS(Table4419[Amount],Table4419[Date],S26,Table4419[Category],"&lt;&gt;"&amp;Table13614[[#Headers],[Income]])</f>
        <v>0</v>
      </c>
      <c r="V26" s="29">
        <f t="shared" si="1"/>
        <v>3298.88</v>
      </c>
      <c r="W26" s="1">
        <f t="shared" si="2"/>
        <v>3298.880000000001</v>
      </c>
    </row>
    <row r="27" spans="2:23" x14ac:dyDescent="0.2">
      <c r="B27" s="32"/>
      <c r="D27" s="2"/>
      <c r="E27" s="2">
        <f>SUMIFS(Table413[Amount],Table413[Category],Table111[[#Headers],[Housing]],Table413[Sub-Category],Table111[[#This Row],[Housing]])+SUMIFS(Table4419[Amount],Table4419[Category],Table111[[#Headers],[Housing]],Table4419[Sub-Category],Table111[[#This Row],[Housing]])</f>
        <v>0</v>
      </c>
      <c r="F27" s="3">
        <f>Table111[[#This Row],[Budget]]-Table111[[#This Row],[Actual]]</f>
        <v>0</v>
      </c>
      <c r="G27" s="36"/>
      <c r="H27" s="43"/>
      <c r="I27" s="2"/>
      <c r="J27" s="11"/>
      <c r="K27" s="11"/>
      <c r="L27" s="11"/>
      <c r="M27" s="24"/>
      <c r="N27" s="12"/>
      <c r="O27" s="11"/>
      <c r="Q27" s="43"/>
      <c r="S27" s="30">
        <f t="shared" si="0"/>
        <v>41563</v>
      </c>
      <c r="T27" s="28">
        <f>SUMIFS(Table442021[Amount],Table442021[Date],S27,Table442021[Category],Table13614[[#Headers],[Income]])+SUMIFS(Table4419[Amount],Table4419[Date],S27,Table4419[Category],Table13614[[#Headers],[Income]])</f>
        <v>0</v>
      </c>
      <c r="U27" s="28">
        <f>SUMIFS(Table413[Amount],Table413[Date],S27,Table413[Category],"&lt;&gt;"&amp;Table13614[[#Headers],[Income]])+SUMIFS(Table4419[Amount],Table4419[Date],S27,Table4419[Category],"&lt;&gt;"&amp;Table13614[[#Headers],[Income]])</f>
        <v>0</v>
      </c>
      <c r="V27" s="28">
        <f t="shared" si="1"/>
        <v>3298.88</v>
      </c>
      <c r="W27" s="1">
        <f t="shared" si="2"/>
        <v>3298.880000000001</v>
      </c>
    </row>
    <row r="28" spans="2:23" x14ac:dyDescent="0.2">
      <c r="B28" s="32"/>
      <c r="C28" s="11"/>
      <c r="D28" s="12"/>
      <c r="E28" s="13">
        <f>SUMIFS(Table413[Amount],Table413[Category],Table111[[#Headers],[Housing]],Table413[Sub-Category],Table111[[#This Row],[Housing]])+SUMIFS(Table4419[Amount],Table4419[Category],Table111[[#Headers],[Housing]],Table4419[Sub-Category],Table111[[#This Row],[Housing]])</f>
        <v>0</v>
      </c>
      <c r="F28" s="13">
        <f>Table111[[#This Row],[Budget]]-Table111[[#This Row],[Actual]]</f>
        <v>0</v>
      </c>
      <c r="G28" s="36"/>
      <c r="H28" s="43"/>
      <c r="I28" s="2"/>
      <c r="J28" s="11"/>
      <c r="K28" s="11"/>
      <c r="L28" s="11"/>
      <c r="M28" s="24"/>
      <c r="N28" s="12"/>
      <c r="O28" s="11"/>
      <c r="Q28" s="43"/>
      <c r="S28" s="27">
        <f t="shared" si="0"/>
        <v>41564</v>
      </c>
      <c r="T28" s="29">
        <f>SUMIFS(Table442021[Amount],Table442021[Date],S28,Table442021[Category],Table13614[[#Headers],[Income]])+SUMIFS(Table4419[Amount],Table4419[Date],S28,Table4419[Category],Table13614[[#Headers],[Income]])</f>
        <v>0</v>
      </c>
      <c r="U28" s="29">
        <f>SUMIFS(Table413[Amount],Table413[Date],S28,Table413[Category],"&lt;&gt;"&amp;Table13614[[#Headers],[Income]])+SUMIFS(Table4419[Amount],Table4419[Date],S28,Table4419[Category],"&lt;&gt;"&amp;Table13614[[#Headers],[Income]])</f>
        <v>0</v>
      </c>
      <c r="V28" s="29">
        <f t="shared" si="1"/>
        <v>3298.88</v>
      </c>
      <c r="W28" s="1">
        <f t="shared" si="2"/>
        <v>3298.880000000001</v>
      </c>
    </row>
    <row r="29" spans="2:23" x14ac:dyDescent="0.2">
      <c r="B29" s="32"/>
      <c r="C29" s="9" t="s">
        <v>20</v>
      </c>
      <c r="D29" s="10">
        <f>SUBTOTAL(109,Table111[Budget])</f>
        <v>0</v>
      </c>
      <c r="E29" s="10">
        <f>SUBTOTAL(109,Table111[Actual])</f>
        <v>0</v>
      </c>
      <c r="F29" s="10">
        <f>SUBTOTAL(109,Table111[Variance])</f>
        <v>0</v>
      </c>
      <c r="G29" s="32"/>
      <c r="H29" s="42"/>
      <c r="J29" s="11"/>
      <c r="K29" s="11"/>
      <c r="L29" s="11"/>
      <c r="M29" s="24"/>
      <c r="N29" s="12"/>
      <c r="O29" s="11"/>
      <c r="Q29" s="42"/>
      <c r="S29" s="30">
        <f t="shared" si="0"/>
        <v>41565</v>
      </c>
      <c r="T29" s="28">
        <f>SUMIFS(Table442021[Amount],Table442021[Date],S29,Table442021[Category],Table13614[[#Headers],[Income]])+SUMIFS(Table4419[Amount],Table4419[Date],S29,Table4419[Category],Table13614[[#Headers],[Income]])</f>
        <v>0</v>
      </c>
      <c r="U29" s="28">
        <f>SUMIFS(Table413[Amount],Table413[Date],S29,Table413[Category],"&lt;&gt;"&amp;Table13614[[#Headers],[Income]])+SUMIFS(Table4419[Amount],Table4419[Date],S29,Table4419[Category],"&lt;&gt;"&amp;Table13614[[#Headers],[Income]])</f>
        <v>0</v>
      </c>
      <c r="V29" s="28">
        <f t="shared" si="1"/>
        <v>3298.88</v>
      </c>
      <c r="W29" s="1">
        <f t="shared" si="2"/>
        <v>3298.880000000001</v>
      </c>
    </row>
    <row r="30" spans="2:23" x14ac:dyDescent="0.2">
      <c r="B30" s="32"/>
      <c r="C30" s="26"/>
      <c r="D30" s="23"/>
      <c r="E30" s="23"/>
      <c r="F30" s="23"/>
      <c r="G30" s="32"/>
      <c r="H30" s="42"/>
      <c r="J30" s="11"/>
      <c r="K30" s="11"/>
      <c r="L30" s="11"/>
      <c r="M30" s="24"/>
      <c r="N30" s="12"/>
      <c r="O30" s="11"/>
      <c r="Q30" s="42"/>
      <c r="S30" s="27">
        <f t="shared" si="0"/>
        <v>41566</v>
      </c>
      <c r="T30" s="29">
        <f>SUMIFS(Table442021[Amount],Table442021[Date],S30,Table442021[Category],Table13614[[#Headers],[Income]])+SUMIFS(Table4419[Amount],Table4419[Date],S30,Table4419[Category],Table13614[[#Headers],[Income]])</f>
        <v>0</v>
      </c>
      <c r="U30" s="29">
        <f>SUMIFS(Table413[Amount],Table413[Date],S30,Table413[Category],"&lt;&gt;"&amp;Table13614[[#Headers],[Income]])+SUMIFS(Table4419[Amount],Table4419[Date],S30,Table4419[Category],"&lt;&gt;"&amp;Table13614[[#Headers],[Income]])</f>
        <v>0</v>
      </c>
      <c r="V30" s="29">
        <f t="shared" si="1"/>
        <v>3298.88</v>
      </c>
      <c r="W30" s="1">
        <f t="shared" si="2"/>
        <v>3298.880000000001</v>
      </c>
    </row>
    <row r="31" spans="2:23" x14ac:dyDescent="0.2">
      <c r="B31" s="32"/>
      <c r="C31" s="37" t="str">
        <f>CONCATENATE(Table1312[[#Headers],[Transportation]]," - Budget &amp; Tracking")</f>
        <v>Transportation - Budget &amp; Tracking</v>
      </c>
      <c r="D31" s="38"/>
      <c r="E31" s="38"/>
      <c r="F31" s="39"/>
      <c r="G31" s="32"/>
      <c r="H31" s="42"/>
      <c r="J31" s="11"/>
      <c r="K31" s="11"/>
      <c r="L31" s="11"/>
      <c r="M31" s="24"/>
      <c r="N31" s="12"/>
      <c r="O31" s="11"/>
      <c r="Q31" s="42"/>
      <c r="S31" s="30">
        <f t="shared" si="0"/>
        <v>41567</v>
      </c>
      <c r="T31" s="28">
        <f>SUMIFS(Table442021[Amount],Table442021[Date],S31,Table442021[Category],Table13614[[#Headers],[Income]])+SUMIFS(Table4419[Amount],Table4419[Date],S31,Table4419[Category],Table13614[[#Headers],[Income]])</f>
        <v>0</v>
      </c>
      <c r="U31" s="28">
        <f>SUMIFS(Table413[Amount],Table413[Date],S31,Table413[Category],"&lt;&gt;"&amp;Table13614[[#Headers],[Income]])+SUMIFS(Table4419[Amount],Table4419[Date],S31,Table4419[Category],"&lt;&gt;"&amp;Table13614[[#Headers],[Income]])</f>
        <v>0</v>
      </c>
      <c r="V31" s="28">
        <f t="shared" si="1"/>
        <v>3298.88</v>
      </c>
      <c r="W31" s="1">
        <f t="shared" si="2"/>
        <v>3298.880000000001</v>
      </c>
    </row>
    <row r="32" spans="2:23" x14ac:dyDescent="0.2">
      <c r="B32" s="32"/>
      <c r="C32" s="31" t="s">
        <v>12</v>
      </c>
      <c r="D32" s="31" t="s">
        <v>1</v>
      </c>
      <c r="E32" s="31" t="s">
        <v>2</v>
      </c>
      <c r="F32" s="31" t="s">
        <v>14</v>
      </c>
      <c r="G32" s="32"/>
      <c r="H32" s="42"/>
      <c r="J32" s="11"/>
      <c r="K32" s="11"/>
      <c r="L32" s="11"/>
      <c r="M32" s="24"/>
      <c r="N32" s="12"/>
      <c r="O32" s="11"/>
      <c r="Q32" s="42"/>
      <c r="S32" s="27">
        <f t="shared" si="0"/>
        <v>41568</v>
      </c>
      <c r="T32" s="29">
        <f>SUMIFS(Table442021[Amount],Table442021[Date],S32,Table442021[Category],Table13614[[#Headers],[Income]])+SUMIFS(Table4419[Amount],Table4419[Date],S32,Table4419[Category],Table13614[[#Headers],[Income]])</f>
        <v>0</v>
      </c>
      <c r="U32" s="29">
        <f>SUMIFS(Table413[Amount],Table413[Date],S32,Table413[Category],"&lt;&gt;"&amp;Table13614[[#Headers],[Income]])+SUMIFS(Table4419[Amount],Table4419[Date],S32,Table4419[Category],"&lt;&gt;"&amp;Table13614[[#Headers],[Income]])</f>
        <v>0</v>
      </c>
      <c r="V32" s="29">
        <f t="shared" si="1"/>
        <v>3298.88</v>
      </c>
      <c r="W32" s="1">
        <f t="shared" si="2"/>
        <v>3298.880000000001</v>
      </c>
    </row>
    <row r="33" spans="2:23" x14ac:dyDescent="0.2">
      <c r="B33" s="32"/>
      <c r="D33" s="2"/>
      <c r="E33" s="2">
        <f>SUMIFS(Table413[Amount],Table413[Category],Table1312[[#Headers],[Transportation]],Table413[Sub-Category],Table1312[[#This Row],[Transportation]])+SUMIFS(Table4419[Amount],Table4419[Category],Table1312[[#Headers],[Transportation]],Table4419[Sub-Category],Table1312[[#This Row],[Transportation]])</f>
        <v>0</v>
      </c>
      <c r="F33" s="3">
        <f>Table1312[[#This Row],[Budget]]-Table1312[[#This Row],[Actual]]</f>
        <v>0</v>
      </c>
      <c r="G33" s="32"/>
      <c r="H33" s="42"/>
      <c r="J33" s="37" t="s">
        <v>44</v>
      </c>
      <c r="K33" s="38"/>
      <c r="L33" s="38"/>
      <c r="M33" s="38"/>
      <c r="N33" s="38"/>
      <c r="O33" s="39"/>
      <c r="Q33" s="42"/>
      <c r="S33" s="30">
        <f t="shared" si="0"/>
        <v>41569</v>
      </c>
      <c r="T33" s="28">
        <f>SUMIFS(Table442021[Amount],Table442021[Date],S33,Table442021[Category],Table13614[[#Headers],[Income]])+SUMIFS(Table4419[Amount],Table4419[Date],S33,Table4419[Category],Table13614[[#Headers],[Income]])</f>
        <v>0</v>
      </c>
      <c r="U33" s="28">
        <f>SUMIFS(Table413[Amount],Table413[Date],S33,Table413[Category],"&lt;&gt;"&amp;Table13614[[#Headers],[Income]])+SUMIFS(Table4419[Amount],Table4419[Date],S33,Table4419[Category],"&lt;&gt;"&amp;Table13614[[#Headers],[Income]])</f>
        <v>0</v>
      </c>
      <c r="V33" s="28">
        <f t="shared" si="1"/>
        <v>3298.88</v>
      </c>
      <c r="W33" s="1">
        <f t="shared" si="2"/>
        <v>3298.880000000001</v>
      </c>
    </row>
    <row r="34" spans="2:23" x14ac:dyDescent="0.2">
      <c r="B34" s="32"/>
      <c r="D34" s="2"/>
      <c r="E34" s="2">
        <f>SUMIFS(Table413[Amount],Table413[Category],Table1312[[#Headers],[Transportation]],Table413[Sub-Category],Table1312[[#This Row],[Transportation]])+SUMIFS(Table4419[Amount],Table4419[Category],Table1312[[#Headers],[Transportation]],Table4419[Sub-Category],Table1312[[#This Row],[Transportation]])</f>
        <v>0</v>
      </c>
      <c r="F34" s="3">
        <f>Table1312[[#This Row],[Budget]]-Table1312[[#This Row],[Actual]]</f>
        <v>0</v>
      </c>
      <c r="G34" s="32"/>
      <c r="H34" s="42"/>
      <c r="J34" s="31" t="s">
        <v>9</v>
      </c>
      <c r="K34" s="31" t="s">
        <v>0</v>
      </c>
      <c r="L34" s="31" t="s">
        <v>13</v>
      </c>
      <c r="M34" s="31" t="s">
        <v>10</v>
      </c>
      <c r="N34" s="31" t="s">
        <v>11</v>
      </c>
      <c r="O34" s="31" t="s">
        <v>16</v>
      </c>
      <c r="Q34" s="42"/>
      <c r="S34" s="27">
        <f t="shared" si="0"/>
        <v>41570</v>
      </c>
      <c r="T34" s="29">
        <f>SUMIFS(Table442021[Amount],Table442021[Date],S34,Table442021[Category],Table13614[[#Headers],[Income]])+SUMIFS(Table4419[Amount],Table4419[Date],S34,Table4419[Category],Table13614[[#Headers],[Income]])</f>
        <v>0</v>
      </c>
      <c r="U34" s="29">
        <f>SUMIFS(Table413[Amount],Table413[Date],S34,Table413[Category],"&lt;&gt;"&amp;Table13614[[#Headers],[Income]])+SUMIFS(Table4419[Amount],Table4419[Date],S34,Table4419[Category],"&lt;&gt;"&amp;Table13614[[#Headers],[Income]])</f>
        <v>0</v>
      </c>
      <c r="V34" s="29">
        <f t="shared" si="1"/>
        <v>3298.88</v>
      </c>
      <c r="W34" s="1">
        <f t="shared" si="2"/>
        <v>3298.880000000001</v>
      </c>
    </row>
    <row r="35" spans="2:23" x14ac:dyDescent="0.2">
      <c r="B35" s="32"/>
      <c r="C35" s="11"/>
      <c r="D35" s="12"/>
      <c r="E35" s="13">
        <f>SUMIFS(Table413[Amount],Table413[Category],Table1312[[#Headers],[Transportation]],Table413[Sub-Category],Table1312[[#This Row],[Transportation]])+SUMIFS(Table4419[Amount],Table4419[Category],Table1312[[#Headers],[Transportation]],Table4419[Sub-Category],Table1312[[#This Row],[Transportation]])</f>
        <v>0</v>
      </c>
      <c r="F35" s="13">
        <f>Table1312[[#This Row],[Budget]]-Table1312[[#This Row],[Actual]]</f>
        <v>0</v>
      </c>
      <c r="G35" s="32"/>
      <c r="H35" s="42"/>
      <c r="M35" s="4"/>
      <c r="N35" s="2"/>
      <c r="Q35" s="42"/>
      <c r="S35" s="30">
        <f t="shared" si="0"/>
        <v>41571</v>
      </c>
      <c r="T35" s="28">
        <f>SUMIFS(Table442021[Amount],Table442021[Date],S35,Table442021[Category],Table13614[[#Headers],[Income]])+SUMIFS(Table4419[Amount],Table4419[Date],S35,Table4419[Category],Table13614[[#Headers],[Income]])</f>
        <v>0</v>
      </c>
      <c r="U35" s="28">
        <f>SUMIFS(Table413[Amount],Table413[Date],S35,Table413[Category],"&lt;&gt;"&amp;Table13614[[#Headers],[Income]])+SUMIFS(Table4419[Amount],Table4419[Date],S35,Table4419[Category],"&lt;&gt;"&amp;Table13614[[#Headers],[Income]])</f>
        <v>0</v>
      </c>
      <c r="V35" s="28">
        <f t="shared" si="1"/>
        <v>3298.88</v>
      </c>
      <c r="W35" s="1">
        <f t="shared" si="2"/>
        <v>3298.880000000001</v>
      </c>
    </row>
    <row r="36" spans="2:23" x14ac:dyDescent="0.2">
      <c r="B36" s="32"/>
      <c r="C36" s="11"/>
      <c r="D36" s="12"/>
      <c r="E36" s="13">
        <f>SUMIFS(Table413[Amount],Table413[Category],Table1312[[#Headers],[Transportation]],Table413[Sub-Category],Table1312[[#This Row],[Transportation]])+SUMIFS(Table4419[Amount],Table4419[Category],Table1312[[#Headers],[Transportation]],Table4419[Sub-Category],Table1312[[#This Row],[Transportation]])</f>
        <v>0</v>
      </c>
      <c r="F36" s="13">
        <f>Table1312[[#This Row],[Budget]]-Table1312[[#This Row],[Actual]]</f>
        <v>0</v>
      </c>
      <c r="G36" s="32"/>
      <c r="H36" s="42"/>
      <c r="M36" s="4"/>
      <c r="N36" s="2"/>
      <c r="Q36" s="42"/>
      <c r="S36" s="27">
        <f t="shared" si="0"/>
        <v>41572</v>
      </c>
      <c r="T36" s="29">
        <f>SUMIFS(Table442021[Amount],Table442021[Date],S36,Table442021[Category],Table13614[[#Headers],[Income]])+SUMIFS(Table4419[Amount],Table4419[Date],S36,Table4419[Category],Table13614[[#Headers],[Income]])</f>
        <v>0</v>
      </c>
      <c r="U36" s="29">
        <f>SUMIFS(Table413[Amount],Table413[Date],S36,Table413[Category],"&lt;&gt;"&amp;Table13614[[#Headers],[Income]])+SUMIFS(Table4419[Amount],Table4419[Date],S36,Table4419[Category],"&lt;&gt;"&amp;Table13614[[#Headers],[Income]])</f>
        <v>0</v>
      </c>
      <c r="V36" s="29">
        <f t="shared" si="1"/>
        <v>3298.88</v>
      </c>
      <c r="W36" s="1">
        <f t="shared" si="2"/>
        <v>3298.880000000001</v>
      </c>
    </row>
    <row r="37" spans="2:23" x14ac:dyDescent="0.2">
      <c r="B37" s="32"/>
      <c r="C37" s="9" t="s">
        <v>20</v>
      </c>
      <c r="D37" s="10">
        <f>SUBTOTAL(109,Table1312[Budget])</f>
        <v>0</v>
      </c>
      <c r="E37" s="10">
        <f>SUBTOTAL(109,Table1312[Actual])</f>
        <v>0</v>
      </c>
      <c r="F37" s="10">
        <f>SUBTOTAL(109,Table1312[Variance])</f>
        <v>0</v>
      </c>
      <c r="G37" s="32"/>
      <c r="H37" s="42"/>
      <c r="M37" s="4"/>
      <c r="N37" s="2"/>
      <c r="Q37" s="42"/>
      <c r="S37" s="30">
        <f t="shared" si="0"/>
        <v>41573</v>
      </c>
      <c r="T37" s="28">
        <f>SUMIFS(Table442021[Amount],Table442021[Date],S37,Table442021[Category],Table13614[[#Headers],[Income]])+SUMIFS(Table4419[Amount],Table4419[Date],S37,Table4419[Category],Table13614[[#Headers],[Income]])</f>
        <v>0</v>
      </c>
      <c r="U37" s="28">
        <f>SUMIFS(Table413[Amount],Table413[Date],S37,Table413[Category],"&lt;&gt;"&amp;Table13614[[#Headers],[Income]])+SUMIFS(Table4419[Amount],Table4419[Date],S37,Table4419[Category],"&lt;&gt;"&amp;Table13614[[#Headers],[Income]])</f>
        <v>0</v>
      </c>
      <c r="V37" s="28">
        <f t="shared" si="1"/>
        <v>3298.88</v>
      </c>
      <c r="W37" s="1">
        <f t="shared" si="2"/>
        <v>3298.880000000001</v>
      </c>
    </row>
    <row r="38" spans="2:23" x14ac:dyDescent="0.2">
      <c r="B38" s="32"/>
      <c r="C38" s="26"/>
      <c r="D38" s="23"/>
      <c r="E38" s="23"/>
      <c r="F38" s="23"/>
      <c r="G38" s="32"/>
      <c r="H38" s="42"/>
      <c r="J38" s="11"/>
      <c r="K38" s="11"/>
      <c r="L38" s="11"/>
      <c r="M38" s="24"/>
      <c r="N38" s="12"/>
      <c r="O38" s="11"/>
      <c r="Q38" s="42"/>
      <c r="S38" s="27">
        <f t="shared" si="0"/>
        <v>41574</v>
      </c>
      <c r="T38" s="29">
        <f>SUMIFS(Table442021[Amount],Table442021[Date],S38,Table442021[Category],Table13614[[#Headers],[Income]])+SUMIFS(Table4419[Amount],Table4419[Date],S38,Table4419[Category],Table13614[[#Headers],[Income]])</f>
        <v>0</v>
      </c>
      <c r="U38" s="29">
        <f>SUMIFS(Table413[Amount],Table413[Date],S38,Table413[Category],"&lt;&gt;"&amp;Table13614[[#Headers],[Income]])+SUMIFS(Table4419[Amount],Table4419[Date],S38,Table4419[Category],"&lt;&gt;"&amp;Table13614[[#Headers],[Income]])</f>
        <v>0</v>
      </c>
      <c r="V38" s="29">
        <f t="shared" si="1"/>
        <v>3298.88</v>
      </c>
      <c r="W38" s="1">
        <f t="shared" si="2"/>
        <v>3298.880000000001</v>
      </c>
    </row>
    <row r="39" spans="2:23" x14ac:dyDescent="0.2">
      <c r="B39" s="32"/>
      <c r="C39" s="37" t="str">
        <f>CONCATENATE(Table1391018[[#Headers],[Bills]]," - Budget &amp; Tracking")</f>
        <v>Bills - Budget &amp; Tracking</v>
      </c>
      <c r="D39" s="38"/>
      <c r="E39" s="38"/>
      <c r="F39" s="39"/>
      <c r="G39" s="32"/>
      <c r="H39" s="42"/>
      <c r="J39" s="11"/>
      <c r="K39" s="11"/>
      <c r="L39" s="11"/>
      <c r="M39" s="24"/>
      <c r="N39" s="12"/>
      <c r="O39" s="11"/>
      <c r="Q39" s="42"/>
      <c r="S39" s="30">
        <f t="shared" si="0"/>
        <v>41575</v>
      </c>
      <c r="T39" s="28">
        <f>SUMIFS(Table442021[Amount],Table442021[Date],S39,Table442021[Category],Table13614[[#Headers],[Income]])+SUMIFS(Table4419[Amount],Table4419[Date],S39,Table4419[Category],Table13614[[#Headers],[Income]])</f>
        <v>0</v>
      </c>
      <c r="U39" s="28">
        <f>SUMIFS(Table413[Amount],Table413[Date],S39,Table413[Category],"&lt;&gt;"&amp;Table13614[[#Headers],[Income]])+SUMIFS(Table4419[Amount],Table4419[Date],S39,Table4419[Category],"&lt;&gt;"&amp;Table13614[[#Headers],[Income]])</f>
        <v>0</v>
      </c>
      <c r="V39" s="28">
        <f t="shared" si="1"/>
        <v>3298.88</v>
      </c>
      <c r="W39" s="1">
        <f t="shared" si="2"/>
        <v>3298.880000000001</v>
      </c>
    </row>
    <row r="40" spans="2:23" x14ac:dyDescent="0.2">
      <c r="B40" s="32"/>
      <c r="C40" s="31" t="s">
        <v>30</v>
      </c>
      <c r="D40" s="31" t="s">
        <v>1</v>
      </c>
      <c r="E40" s="31" t="s">
        <v>2</v>
      </c>
      <c r="F40" s="31" t="s">
        <v>14</v>
      </c>
      <c r="G40" s="32"/>
      <c r="H40" s="42"/>
      <c r="J40" s="11"/>
      <c r="K40" s="11"/>
      <c r="L40" s="11"/>
      <c r="M40" s="24"/>
      <c r="N40" s="12"/>
      <c r="O40" s="11"/>
      <c r="Q40" s="42"/>
      <c r="S40" s="27">
        <f t="shared" si="0"/>
        <v>41576</v>
      </c>
      <c r="T40" s="29">
        <f>SUMIFS(Table442021[Amount],Table442021[Date],S40,Table442021[Category],Table13614[[#Headers],[Income]])+SUMIFS(Table4419[Amount],Table4419[Date],S40,Table4419[Category],Table13614[[#Headers],[Income]])</f>
        <v>0</v>
      </c>
      <c r="U40" s="29">
        <f>SUMIFS(Table413[Amount],Table413[Date],S40,Table413[Category],"&lt;&gt;"&amp;Table13614[[#Headers],[Income]])+SUMIFS(Table4419[Amount],Table4419[Date],S40,Table4419[Category],"&lt;&gt;"&amp;Table13614[[#Headers],[Income]])</f>
        <v>0</v>
      </c>
      <c r="V40" s="29">
        <f t="shared" si="1"/>
        <v>3298.88</v>
      </c>
      <c r="W40" s="1">
        <f t="shared" si="2"/>
        <v>3298.880000000001</v>
      </c>
    </row>
    <row r="41" spans="2:23" x14ac:dyDescent="0.2">
      <c r="B41" s="32"/>
      <c r="D41" s="2"/>
      <c r="E41" s="2">
        <f>SUMIFS(Table413[Amount],Table413[Category],Table1391018[[#Headers],[Bills]],Table413[Sub-Category],Table1391018[[#This Row],[Bills]])+SUMIFS(Table4419[Amount],Table4419[Category],Table1391018[[#Headers],[Bills]],Table4419[Sub-Category],Table1391018[[#This Row],[Bills]])</f>
        <v>0</v>
      </c>
      <c r="F41" s="3">
        <f>Table1391018[[#This Row],[Budget]]-Table1391018[[#This Row],[Actual]]</f>
        <v>0</v>
      </c>
      <c r="G41" s="32"/>
      <c r="H41" s="42"/>
      <c r="Q41" s="42"/>
      <c r="S41" s="30">
        <f t="shared" si="0"/>
        <v>41577</v>
      </c>
      <c r="T41" s="28">
        <f>SUMIFS(Table442021[Amount],Table442021[Date],S41,Table442021[Category],Table13614[[#Headers],[Income]])+SUMIFS(Table4419[Amount],Table4419[Date],S41,Table4419[Category],Table13614[[#Headers],[Income]])</f>
        <v>0</v>
      </c>
      <c r="U41" s="28">
        <f>SUMIFS(Table413[Amount],Table413[Date],S41,Table413[Category],"&lt;&gt;"&amp;Table13614[[#Headers],[Income]])+SUMIFS(Table4419[Amount],Table4419[Date],S41,Table4419[Category],"&lt;&gt;"&amp;Table13614[[#Headers],[Income]])</f>
        <v>0</v>
      </c>
      <c r="V41" s="28">
        <f t="shared" si="1"/>
        <v>3298.88</v>
      </c>
      <c r="W41" s="1">
        <f t="shared" si="2"/>
        <v>3298.880000000001</v>
      </c>
    </row>
    <row r="42" spans="2:23" x14ac:dyDescent="0.2">
      <c r="B42" s="32"/>
      <c r="D42" s="2"/>
      <c r="E42" s="2">
        <f>SUMIFS(Table413[Amount],Table413[Category],Table1391018[[#Headers],[Bills]],Table413[Sub-Category],Table1391018[[#This Row],[Bills]])+SUMIFS(Table4419[Amount],Table4419[Category],Table1391018[[#Headers],[Bills]],Table4419[Sub-Category],Table1391018[[#This Row],[Bills]])</f>
        <v>0</v>
      </c>
      <c r="F42" s="3">
        <f>Table1391018[[#This Row],[Budget]]-Table1391018[[#This Row],[Actual]]</f>
        <v>0</v>
      </c>
      <c r="G42" s="32"/>
      <c r="H42" s="42"/>
      <c r="Q42" s="42"/>
      <c r="S42" s="27">
        <f t="shared" si="0"/>
        <v>41578</v>
      </c>
      <c r="T42" s="29">
        <f>SUMIFS(Table442021[Amount],Table442021[Date],S42,Table442021[Category],Table13614[[#Headers],[Income]])+SUMIFS(Table4419[Amount],Table4419[Date],S42,Table4419[Category],Table13614[[#Headers],[Income]])</f>
        <v>0</v>
      </c>
      <c r="U42" s="29">
        <f>SUMIFS(Table413[Amount],Table413[Date],S42,Table413[Category],"&lt;&gt;"&amp;Table13614[[#Headers],[Income]])+SUMIFS(Table4419[Amount],Table4419[Date],S42,Table4419[Category],"&lt;&gt;"&amp;Table13614[[#Headers],[Income]])</f>
        <v>0</v>
      </c>
      <c r="V42" s="29">
        <f t="shared" si="1"/>
        <v>3298.88</v>
      </c>
      <c r="W42" s="1">
        <f t="shared" si="2"/>
        <v>3298.880000000001</v>
      </c>
    </row>
    <row r="43" spans="2:23" x14ac:dyDescent="0.2">
      <c r="B43" s="32"/>
      <c r="C43" s="11"/>
      <c r="D43" s="12"/>
      <c r="E43" s="13">
        <f>SUMIFS(Table413[Amount],Table413[Category],Table1391018[[#Headers],[Bills]],Table413[Sub-Category],Table1391018[[#This Row],[Bills]])+SUMIFS(Table4419[Amount],Table4419[Category],Table1391018[[#Headers],[Bills]],Table4419[Sub-Category],Table1391018[[#This Row],[Bills]])</f>
        <v>0</v>
      </c>
      <c r="F43" s="13">
        <f>Table1391018[[#This Row],[Budget]]-Table1391018[[#This Row],[Actual]]</f>
        <v>0</v>
      </c>
      <c r="G43" s="32"/>
      <c r="H43" s="42"/>
      <c r="Q43" s="42"/>
      <c r="S43" s="8"/>
    </row>
    <row r="44" spans="2:23" x14ac:dyDescent="0.2">
      <c r="B44" s="32"/>
      <c r="C44" s="11"/>
      <c r="D44" s="12"/>
      <c r="E44" s="13">
        <f>SUMIFS(Table413[Amount],Table413[Category],Table1391018[[#Headers],[Bills]],Table413[Sub-Category],Table1391018[[#This Row],[Bills]])+SUMIFS(Table4419[Amount],Table4419[Category],Table1391018[[#Headers],[Bills]],Table4419[Sub-Category],Table1391018[[#This Row],[Bills]])</f>
        <v>0</v>
      </c>
      <c r="F44" s="13">
        <f>Table1391018[[#This Row],[Budget]]-Table1391018[[#This Row],[Actual]]</f>
        <v>0</v>
      </c>
      <c r="G44" s="32"/>
      <c r="H44" s="42"/>
      <c r="Q44" s="42"/>
      <c r="S44" s="8"/>
    </row>
    <row r="45" spans="2:23" x14ac:dyDescent="0.2">
      <c r="B45" s="32"/>
      <c r="C45" s="11"/>
      <c r="D45" s="12"/>
      <c r="E45" s="13">
        <f>SUMIFS(Table413[Amount],Table413[Category],Table1391018[[#Headers],[Bills]],Table413[Sub-Category],Table1391018[[#This Row],[Bills]])+SUMIFS(Table4419[Amount],Table4419[Category],Table1391018[[#Headers],[Bills]],Table4419[Sub-Category],Table1391018[[#This Row],[Bills]])</f>
        <v>0</v>
      </c>
      <c r="F45" s="13">
        <f>Table1391018[[#This Row],[Budget]]-Table1391018[[#This Row],[Actual]]</f>
        <v>0</v>
      </c>
      <c r="G45" s="32"/>
      <c r="H45" s="42"/>
      <c r="Q45" s="42"/>
    </row>
    <row r="46" spans="2:23" x14ac:dyDescent="0.2">
      <c r="B46" s="32"/>
      <c r="C46" s="9" t="s">
        <v>20</v>
      </c>
      <c r="D46" s="10">
        <f>SUBTOTAL(109,Table1391018[Budget])</f>
        <v>0</v>
      </c>
      <c r="E46" s="10">
        <f>SUBTOTAL(109,Table1391018[Actual])</f>
        <v>0</v>
      </c>
      <c r="F46" s="10">
        <f>SUBTOTAL(109,Table1391018[Variance])</f>
        <v>0</v>
      </c>
      <c r="G46" s="32"/>
      <c r="H46" s="42"/>
      <c r="Q46" s="42"/>
    </row>
    <row r="47" spans="2:23" x14ac:dyDescent="0.2">
      <c r="B47" s="32"/>
      <c r="C47" s="20"/>
      <c r="D47" s="21"/>
      <c r="E47" s="21"/>
      <c r="F47" s="22"/>
      <c r="G47" s="32"/>
      <c r="H47" s="42"/>
      <c r="Q47" s="42"/>
    </row>
    <row r="48" spans="2:23" x14ac:dyDescent="0.2">
      <c r="B48" s="32"/>
      <c r="C48" s="37" t="str">
        <f>CONCATENATE(Table13715[[#Headers],[Living]]," - Budget &amp; Tracking")</f>
        <v>Living - Budget &amp; Tracking</v>
      </c>
      <c r="D48" s="38"/>
      <c r="E48" s="38"/>
      <c r="F48" s="39"/>
      <c r="G48" s="32"/>
      <c r="H48" s="42"/>
      <c r="Q48" s="42"/>
    </row>
    <row r="49" spans="2:17" x14ac:dyDescent="0.2">
      <c r="B49" s="32"/>
      <c r="C49" s="31" t="s">
        <v>25</v>
      </c>
      <c r="D49" s="31" t="s">
        <v>1</v>
      </c>
      <c r="E49" s="31" t="s">
        <v>2</v>
      </c>
      <c r="F49" s="31" t="s">
        <v>14</v>
      </c>
      <c r="G49" s="32"/>
      <c r="H49" s="42"/>
      <c r="Q49" s="42"/>
    </row>
    <row r="50" spans="2:17" x14ac:dyDescent="0.2">
      <c r="B50" s="32"/>
      <c r="D50" s="2"/>
      <c r="E50" s="2">
        <f>SUMIFS(Table413[Amount],Table413[Category],Table13715[[#Headers],[Living]],Table413[Sub-Category],Table13715[[#This Row],[Living]])+SUMIFS(Table4419[Amount],Table4419[Category],Table13715[[#Headers],[Living]],Table4419[Sub-Category],Table13715[[#This Row],[Living]])</f>
        <v>0</v>
      </c>
      <c r="F50" s="3">
        <f>Table13715[[#This Row],[Budget]]-Table13715[[#This Row],[Actual]]</f>
        <v>0</v>
      </c>
      <c r="G50" s="32"/>
      <c r="H50" s="42"/>
      <c r="Q50" s="42"/>
    </row>
    <row r="51" spans="2:17" x14ac:dyDescent="0.2">
      <c r="B51" s="32"/>
      <c r="D51" s="2"/>
      <c r="E51" s="2">
        <f>SUMIFS(Table413[Amount],Table413[Category],Table13715[[#Headers],[Living]],Table413[Sub-Category],Table13715[[#This Row],[Living]])+SUMIFS(Table4419[Amount],Table4419[Category],Table13715[[#Headers],[Living]],Table4419[Sub-Category],Table13715[[#This Row],[Living]])</f>
        <v>0</v>
      </c>
      <c r="F51" s="3">
        <f>Table13715[[#This Row],[Budget]]-Table13715[[#This Row],[Actual]]</f>
        <v>0</v>
      </c>
      <c r="G51" s="32"/>
      <c r="H51" s="42"/>
      <c r="Q51" s="42"/>
    </row>
    <row r="52" spans="2:17" x14ac:dyDescent="0.2">
      <c r="B52" s="32"/>
      <c r="C52" s="11"/>
      <c r="D52" s="12"/>
      <c r="E52" s="13">
        <f>SUMIFS(Table413[Amount],Table413[Category],Table13715[[#Headers],[Living]],Table413[Sub-Category],Table13715[[#This Row],[Living]])+SUMIFS(Table4419[Amount],Table4419[Category],Table13715[[#Headers],[Living]],Table4419[Sub-Category],Table13715[[#This Row],[Living]])</f>
        <v>0</v>
      </c>
      <c r="F52" s="13">
        <f>Table13715[[#This Row],[Budget]]-Table13715[[#This Row],[Actual]]</f>
        <v>0</v>
      </c>
      <c r="G52" s="32"/>
      <c r="H52" s="42"/>
      <c r="Q52" s="42"/>
    </row>
    <row r="53" spans="2:17" x14ac:dyDescent="0.2">
      <c r="B53" s="32"/>
      <c r="C53" s="11"/>
      <c r="D53" s="12"/>
      <c r="E53" s="13">
        <f>SUMIFS(Table413[Amount],Table413[Category],Table13715[[#Headers],[Living]],Table413[Sub-Category],Table13715[[#This Row],[Living]])+SUMIFS(Table4419[Amount],Table4419[Category],Table13715[[#Headers],[Living]],Table4419[Sub-Category],Table13715[[#This Row],[Living]])</f>
        <v>0</v>
      </c>
      <c r="F53" s="13">
        <f>Table13715[[#This Row],[Budget]]-Table13715[[#This Row],[Actual]]</f>
        <v>0</v>
      </c>
      <c r="G53" s="32"/>
      <c r="H53" s="42"/>
      <c r="Q53" s="42"/>
    </row>
    <row r="54" spans="2:17" x14ac:dyDescent="0.2">
      <c r="B54" s="32"/>
      <c r="C54" s="9" t="s">
        <v>20</v>
      </c>
      <c r="D54" s="10">
        <f>SUBTOTAL(109,Table13715[Budget])</f>
        <v>0</v>
      </c>
      <c r="E54" s="10">
        <f>SUBTOTAL(109,Table13715[Actual])</f>
        <v>0</v>
      </c>
      <c r="F54" s="10">
        <f>SUBTOTAL(109,Table13715[Variance])</f>
        <v>0</v>
      </c>
      <c r="G54" s="32"/>
      <c r="H54" s="42"/>
      <c r="Q54" s="42"/>
    </row>
    <row r="55" spans="2:17" x14ac:dyDescent="0.2">
      <c r="B55" s="32"/>
      <c r="C55" s="20"/>
      <c r="D55" s="21"/>
      <c r="E55" s="21"/>
      <c r="F55" s="22"/>
      <c r="G55" s="32"/>
      <c r="H55" s="42"/>
      <c r="Q55" s="42"/>
    </row>
    <row r="56" spans="2:17" x14ac:dyDescent="0.2">
      <c r="B56" s="32"/>
      <c r="C56" s="37" t="str">
        <f>CONCATENATE(Table13816[[#Headers],[Entertainment]]," - Budget &amp; Tracking")</f>
        <v>Entertainment - Budget &amp; Tracking</v>
      </c>
      <c r="D56" s="38"/>
      <c r="E56" s="38"/>
      <c r="F56" s="39"/>
      <c r="G56" s="32"/>
      <c r="H56" s="42"/>
      <c r="Q56" s="42"/>
    </row>
    <row r="57" spans="2:17" x14ac:dyDescent="0.2">
      <c r="B57" s="32"/>
      <c r="C57" s="31" t="s">
        <v>24</v>
      </c>
      <c r="D57" s="31" t="s">
        <v>1</v>
      </c>
      <c r="E57" s="31" t="s">
        <v>2</v>
      </c>
      <c r="F57" s="31" t="s">
        <v>14</v>
      </c>
      <c r="G57" s="32"/>
      <c r="H57" s="42"/>
      <c r="Q57" s="42"/>
    </row>
    <row r="58" spans="2:17" x14ac:dyDescent="0.2">
      <c r="B58" s="32"/>
      <c r="D58" s="2"/>
      <c r="E58" s="2">
        <f>SUMIFS(Table413[Amount],Table413[Category],Table13816[[#Headers],[Entertainment]],Table413[Sub-Category],Table13816[[#This Row],[Entertainment]])+SUMIFS(Table4419[Amount],Table4419[Category],Table13816[[#Headers],[Entertainment]],Table4419[Sub-Category],Table13816[[#This Row],[Entertainment]])</f>
        <v>0</v>
      </c>
      <c r="F58" s="3">
        <f>Table13816[[#This Row],[Budget]]-Table13816[[#This Row],[Actual]]</f>
        <v>0</v>
      </c>
      <c r="G58" s="32"/>
      <c r="H58" s="42"/>
      <c r="Q58" s="42"/>
    </row>
    <row r="59" spans="2:17" x14ac:dyDescent="0.2">
      <c r="B59" s="33"/>
      <c r="D59" s="2"/>
      <c r="E59" s="2">
        <f>SUMIFS(Table413[Amount],Table413[Category],Table13816[[#Headers],[Entertainment]],Table413[Sub-Category],Table13816[[#This Row],[Entertainment]])+SUMIFS(Table4419[Amount],Table4419[Category],Table13816[[#Headers],[Entertainment]],Table4419[Sub-Category],Table13816[[#This Row],[Entertainment]])</f>
        <v>0</v>
      </c>
      <c r="F59" s="3">
        <f>Table13816[[#This Row],[Budget]]-Table13816[[#This Row],[Actual]]</f>
        <v>0</v>
      </c>
      <c r="G59" s="33"/>
      <c r="H59" s="42"/>
      <c r="Q59" s="42"/>
    </row>
    <row r="60" spans="2:17" x14ac:dyDescent="0.2">
      <c r="C60" s="9" t="s">
        <v>20</v>
      </c>
      <c r="D60" s="10">
        <f>SUBTOTAL(109,Table13816[Budget])</f>
        <v>0</v>
      </c>
      <c r="E60" s="10">
        <f>SUBTOTAL(109,Table13816[Actual])</f>
        <v>0</v>
      </c>
      <c r="F60" s="10">
        <f>SUBTOTAL(109,Table13816[Variance])</f>
        <v>0</v>
      </c>
      <c r="H60" s="42"/>
      <c r="Q60" s="42"/>
    </row>
    <row r="61" spans="2:17" x14ac:dyDescent="0.2">
      <c r="C61" s="26"/>
      <c r="D61" s="23"/>
      <c r="E61" s="23"/>
      <c r="F61" s="23"/>
      <c r="H61" s="42"/>
      <c r="Q61" s="42"/>
    </row>
    <row r="62" spans="2:17" x14ac:dyDescent="0.2">
      <c r="C62" s="37" t="str">
        <f>CONCATENATE(Table13917[[#Headers],[Misc.]]," - Budget &amp; Tracking")</f>
        <v>Misc. - Budget &amp; Tracking</v>
      </c>
      <c r="D62" s="38"/>
      <c r="E62" s="38"/>
      <c r="F62" s="39"/>
      <c r="H62" s="42"/>
      <c r="Q62" s="42"/>
    </row>
    <row r="63" spans="2:17" x14ac:dyDescent="0.2">
      <c r="C63" s="31" t="s">
        <v>27</v>
      </c>
      <c r="D63" s="31" t="s">
        <v>1</v>
      </c>
      <c r="E63" s="31" t="s">
        <v>2</v>
      </c>
      <c r="F63" s="31" t="s">
        <v>14</v>
      </c>
      <c r="H63" s="42"/>
      <c r="Q63" s="42"/>
    </row>
    <row r="64" spans="2:17" x14ac:dyDescent="0.2">
      <c r="C64" s="11"/>
      <c r="D64" s="12"/>
      <c r="E64" s="13">
        <f>SUMIFS(Table413[Amount],Table413[Category],Table13917[[#Headers],[Misc.]],Table413[Sub-Category],Table13917[[#This Row],[Misc.]])+SUMIFS(Table4419[Amount],Table4419[Category],Table13917[[#Headers],[Misc.]],Table4419[Sub-Category],Table13917[[#This Row],[Misc.]])</f>
        <v>0</v>
      </c>
      <c r="F64" s="13">
        <f>Table13917[[#This Row],[Budget]]-Table13917[[#This Row],[Actual]]</f>
        <v>0</v>
      </c>
      <c r="H64" s="42"/>
      <c r="Q64" s="42"/>
    </row>
    <row r="65" spans="3:17" x14ac:dyDescent="0.2">
      <c r="C65" s="11"/>
      <c r="D65" s="12"/>
      <c r="E65" s="13">
        <f>SUMIFS(Table413[Amount],Table413[Category],Table13917[[#Headers],[Misc.]],Table413[Sub-Category],Table13917[[#This Row],[Misc.]])+SUMIFS(Table4419[Amount],Table4419[Category],Table13917[[#Headers],[Misc.]],Table4419[Sub-Category],Table13917[[#This Row],[Misc.]])</f>
        <v>0</v>
      </c>
      <c r="F65" s="13">
        <f>Table13917[[#This Row],[Budget]]-Table13917[[#This Row],[Actual]]</f>
        <v>0</v>
      </c>
      <c r="H65" s="42"/>
      <c r="Q65" s="42"/>
    </row>
    <row r="66" spans="3:17" x14ac:dyDescent="0.2">
      <c r="C66" s="9" t="s">
        <v>20</v>
      </c>
      <c r="D66" s="10">
        <f>SUBTOTAL(109,Table13917[Budget])</f>
        <v>0</v>
      </c>
      <c r="E66" s="10">
        <f>SUBTOTAL(109,Table13917[Actual])</f>
        <v>0</v>
      </c>
      <c r="F66" s="10">
        <f>SUBTOTAL(109,Table13917[Variance])</f>
        <v>0</v>
      </c>
      <c r="H66" s="42"/>
      <c r="Q66" s="42"/>
    </row>
    <row r="67" spans="3:17" x14ac:dyDescent="0.2">
      <c r="C67" s="26"/>
      <c r="D67" s="23"/>
      <c r="E67" s="23"/>
      <c r="F67" s="23"/>
    </row>
    <row r="68" spans="3:17" x14ac:dyDescent="0.2">
      <c r="C68" s="33"/>
      <c r="D68" s="34"/>
      <c r="E68" s="34"/>
      <c r="F68" s="34"/>
    </row>
  </sheetData>
  <mergeCells count="1">
    <mergeCell ref="C1:F1"/>
  </mergeCells>
  <conditionalFormatting sqref="F33:F36">
    <cfRule type="iconSet" priority="23">
      <iconSet iconSet="3Symbols">
        <cfvo type="percent" val="0"/>
        <cfvo type="num" val="0"/>
        <cfvo type="num" val="10"/>
      </iconSet>
    </cfRule>
  </conditionalFormatting>
  <conditionalFormatting sqref="F50:F53">
    <cfRule type="iconSet" priority="21">
      <iconSet iconSet="3Symbols">
        <cfvo type="percent" val="0"/>
        <cfvo type="num" val="0"/>
        <cfvo type="num" val="10"/>
      </iconSet>
    </cfRule>
  </conditionalFormatting>
  <conditionalFormatting sqref="F58:F59">
    <cfRule type="iconSet" priority="20">
      <iconSet iconSet="3Symbols">
        <cfvo type="percent" val="0"/>
        <cfvo type="num" val="0"/>
        <cfvo type="num" val="10"/>
      </iconSet>
    </cfRule>
  </conditionalFormatting>
  <conditionalFormatting sqref="F41:F45">
    <cfRule type="iconSet" priority="19">
      <iconSet iconSet="3Symbols">
        <cfvo type="percent" val="0"/>
        <cfvo type="num" val="0"/>
        <cfvo type="num" val="10"/>
      </iconSet>
    </cfRule>
  </conditionalFormatting>
  <conditionalFormatting sqref="D6:E6">
    <cfRule type="iconSet" priority="18">
      <iconSet iconSet="3Symbols">
        <cfvo type="percent" val="0"/>
        <cfvo type="num" val="0" gte="0"/>
        <cfvo type="num" val="10"/>
      </iconSet>
    </cfRule>
  </conditionalFormatting>
  <conditionalFormatting sqref="F3:F6">
    <cfRule type="iconSet" priority="17">
      <iconSet iconSet="3Arrows">
        <cfvo type="percent" val="0"/>
        <cfvo type="num" val="-50"/>
        <cfvo type="num" val="0" gte="0"/>
      </iconSet>
    </cfRule>
  </conditionalFormatting>
  <conditionalFormatting sqref="F20:F28">
    <cfRule type="iconSet" priority="24">
      <iconSet iconSet="3Symbols">
        <cfvo type="percent" val="0"/>
        <cfvo type="num" val="0"/>
        <cfvo type="num" val="10"/>
      </iconSet>
    </cfRule>
  </conditionalFormatting>
  <conditionalFormatting sqref="S12">
    <cfRule type="cellIs" dxfId="175" priority="16" operator="equal">
      <formula>TODAY()</formula>
    </cfRule>
  </conditionalFormatting>
  <conditionalFormatting sqref="T12 T20:U42">
    <cfRule type="expression" dxfId="174" priority="15">
      <formula>IF($S12=TODAY(),TRUE)</formula>
    </cfRule>
  </conditionalFormatting>
  <conditionalFormatting sqref="U12">
    <cfRule type="expression" dxfId="173" priority="14">
      <formula>IF($S12=TODAY(),TRUE)</formula>
    </cfRule>
  </conditionalFormatting>
  <conditionalFormatting sqref="V12 V20:V42">
    <cfRule type="expression" dxfId="172" priority="13">
      <formula>IF($S12=TODAY(),TRUE)</formula>
    </cfRule>
  </conditionalFormatting>
  <conditionalFormatting sqref="S13:S15">
    <cfRule type="cellIs" dxfId="171" priority="12" operator="equal">
      <formula>TODAY()</formula>
    </cfRule>
  </conditionalFormatting>
  <conditionalFormatting sqref="T13:T15">
    <cfRule type="expression" dxfId="170" priority="11">
      <formula>IF($S13=TODAY(),TRUE)</formula>
    </cfRule>
  </conditionalFormatting>
  <conditionalFormatting sqref="U13:U15">
    <cfRule type="expression" dxfId="169" priority="10">
      <formula>IF($S13=TODAY(),TRUE)</formula>
    </cfRule>
  </conditionalFormatting>
  <conditionalFormatting sqref="V13:V15">
    <cfRule type="expression" dxfId="168" priority="9">
      <formula>IF($S13=TODAY(),TRUE)</formula>
    </cfRule>
  </conditionalFormatting>
  <conditionalFormatting sqref="S16 S20 S24 S28 S32 S36 S40">
    <cfRule type="cellIs" dxfId="167" priority="8" operator="equal">
      <formula>TODAY()</formula>
    </cfRule>
  </conditionalFormatting>
  <conditionalFormatting sqref="T16">
    <cfRule type="expression" dxfId="166" priority="7">
      <formula>IF($S16=TODAY(),TRUE)</formula>
    </cfRule>
  </conditionalFormatting>
  <conditionalFormatting sqref="U16">
    <cfRule type="expression" dxfId="165" priority="6">
      <formula>IF($S16=TODAY(),TRUE)</formula>
    </cfRule>
  </conditionalFormatting>
  <conditionalFormatting sqref="V16">
    <cfRule type="expression" dxfId="164" priority="5">
      <formula>IF($S16=TODAY(),TRUE)</formula>
    </cfRule>
  </conditionalFormatting>
  <conditionalFormatting sqref="S17:S19 S21:S23 S25:S27 S29:S31 S33:S35 S37:S39 S41:S42">
    <cfRule type="cellIs" dxfId="163" priority="4" operator="equal">
      <formula>TODAY()</formula>
    </cfRule>
  </conditionalFormatting>
  <conditionalFormatting sqref="T17:T19">
    <cfRule type="expression" dxfId="162" priority="3">
      <formula>IF($S17=TODAY(),TRUE)</formula>
    </cfRule>
  </conditionalFormatting>
  <conditionalFormatting sqref="U17:U19">
    <cfRule type="expression" dxfId="161" priority="2">
      <formula>IF($S17=TODAY(),TRUE)</formula>
    </cfRule>
  </conditionalFormatting>
  <conditionalFormatting sqref="V17:V19">
    <cfRule type="expression" dxfId="160" priority="1">
      <formula>IF($S17=TODAY(),TRUE)</formula>
    </cfRule>
  </conditionalFormatting>
  <conditionalFormatting sqref="F66:F68">
    <cfRule type="iconSet" priority="25">
      <iconSet iconSet="3Symbols">
        <cfvo type="percent" val="0"/>
        <cfvo type="num" val="0" gte="0"/>
        <cfvo type="num" val="10"/>
      </iconSet>
    </cfRule>
  </conditionalFormatting>
  <conditionalFormatting sqref="F60:F61">
    <cfRule type="iconSet" priority="26">
      <iconSet iconSet="3Symbols">
        <cfvo type="percent" val="0"/>
        <cfvo type="num" val="0" gte="0"/>
        <cfvo type="num" val="10"/>
      </iconSet>
    </cfRule>
  </conditionalFormatting>
  <conditionalFormatting sqref="F54:F55">
    <cfRule type="iconSet" priority="27">
      <iconSet iconSet="3Symbols">
        <cfvo type="percent" val="0"/>
        <cfvo type="num" val="0" gte="0"/>
        <cfvo type="num" val="10" gte="0"/>
      </iconSet>
    </cfRule>
  </conditionalFormatting>
  <conditionalFormatting sqref="F46:F47">
    <cfRule type="iconSet" priority="28">
      <iconSet iconSet="3Symbols">
        <cfvo type="percent" val="0"/>
        <cfvo type="num" val="0" gte="0"/>
        <cfvo type="num" val="10"/>
      </iconSet>
    </cfRule>
  </conditionalFormatting>
  <conditionalFormatting sqref="F37:F38">
    <cfRule type="iconSet" priority="29">
      <iconSet iconSet="3Symbols">
        <cfvo type="percent" val="0"/>
        <cfvo type="num" val="0" gte="0"/>
        <cfvo type="num" val="10"/>
      </iconSet>
    </cfRule>
  </conditionalFormatting>
  <conditionalFormatting sqref="F29:F30">
    <cfRule type="iconSet" priority="30">
      <iconSet iconSet="3Symbols">
        <cfvo type="percent" val="0"/>
        <cfvo type="num" val="0" gte="0"/>
        <cfvo type="num" val="10"/>
      </iconSet>
    </cfRule>
  </conditionalFormatting>
  <conditionalFormatting sqref="F64:F65">
    <cfRule type="iconSet" priority="32">
      <iconSet iconSet="3Symbols">
        <cfvo type="percent" val="0"/>
        <cfvo type="num" val="0"/>
        <cfvo type="num" val="10"/>
      </iconSet>
    </cfRule>
  </conditionalFormatting>
  <dataValidations count="3">
    <dataValidation type="list" allowBlank="1" showInputMessage="1" showErrorMessage="1" sqref="O35:O40 O19:O32 O12:O16">
      <formula1>$U$2:$U$4</formula1>
    </dataValidation>
    <dataValidation type="list" allowBlank="1" showInputMessage="1" showErrorMessage="1" sqref="K35:K40 K19:K32 K12:K16">
      <formula1>$R$2:$R$8</formula1>
    </dataValidation>
    <dataValidation type="list" allowBlank="1" showInputMessage="1" showErrorMessage="1" sqref="L35:L40 L12:L16 L19:L32">
      <formula1>INDIRECT(K12)</formula1>
    </dataValidation>
  </dataValidations>
  <printOptions horizontalCentered="1"/>
  <pageMargins left="0.2" right="0.2" top="0.25" bottom="0.25" header="0.3" footer="0.3"/>
  <pageSetup scale="76" orientation="landscape" r:id="rId1"/>
  <drawing r:id="rId2"/>
  <tableParts count="10">
    <tablePart r:id="rId3"/>
    <tablePart r:id="rId4"/>
    <tablePart r:id="rId5"/>
    <tablePart r:id="rId6"/>
    <tablePart r:id="rId7"/>
    <tablePart r:id="rId8"/>
    <tablePart r:id="rId9"/>
    <tablePart r:id="rId10"/>
    <tablePart r:id="rId11"/>
    <tablePart r:id="rId12"/>
  </tableParts>
  <extLst>
    <ext xmlns:x14="http://schemas.microsoft.com/office/spreadsheetml/2009/9/main" uri="{78C0D931-6437-407d-A8EE-F0AAD7539E65}">
      <x14:conditionalFormattings>
        <x14:conditionalFormatting xmlns:xm="http://schemas.microsoft.com/office/excel/2006/main">
          <x14:cfRule type="iconSet" priority="22" id="{3209C90F-C027-42C4-94FB-B109354FC87C}">
            <x14:iconSet iconSet="3Symbols" custom="1">
              <x14:cfvo type="percent">
                <xm:f>0</xm:f>
              </x14:cfvo>
              <x14:cfvo type="num">
                <xm:f>0</xm:f>
              </x14:cfvo>
              <x14:cfvo type="num">
                <xm:f>10</xm:f>
              </x14:cfvo>
              <x14:cfIcon iconSet="3Symbols" iconId="0"/>
              <x14:cfIcon iconSet="3Symbols" iconId="1"/>
              <x14:cfIcon iconSet="3Symbols" iconId="2"/>
            </x14:iconSet>
          </x14:cfRule>
          <xm:sqref>F12:F15</xm:sqref>
        </x14:conditionalFormatting>
        <x14:conditionalFormatting xmlns:xm="http://schemas.microsoft.com/office/excel/2006/main">
          <x14:cfRule type="iconSet" priority="31" id="{5980C809-EDD6-44A8-A2CD-66600CE5CE35}">
            <x14:iconSet iconSet="3Symbols" custom="1">
              <x14:cfvo type="percent">
                <xm:f>0</xm:f>
              </x14:cfvo>
              <x14:cfvo type="num" gte="0">
                <xm:f>0</xm:f>
              </x14:cfvo>
              <x14:cfvo type="num">
                <xm:f>10</xm:f>
              </x14:cfvo>
              <x14:cfIcon iconSet="3Symbols" iconId="0"/>
              <x14:cfIcon iconSet="3Symbols" iconId="1"/>
              <x14:cfIcon iconSet="3Symbols" iconId="2"/>
            </x14:iconSet>
          </x14:cfRule>
          <xm:sqref>F16:F17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8"/>
  <sheetViews>
    <sheetView showGridLines="0" zoomScaleNormal="100" workbookViewId="0">
      <selection activeCell="C1" sqref="C1:F1"/>
    </sheetView>
  </sheetViews>
  <sheetFormatPr defaultColWidth="0" defaultRowHeight="12" x14ac:dyDescent="0.2"/>
  <cols>
    <col min="1" max="2" width="0.7109375" style="1" customWidth="1"/>
    <col min="3" max="3" width="15" style="1" bestFit="1" customWidth="1"/>
    <col min="4" max="6" width="12.85546875" style="1" customWidth="1"/>
    <col min="7" max="7" width="0.85546875" style="1" customWidth="1"/>
    <col min="8" max="8" width="0.28515625" style="1" customWidth="1"/>
    <col min="9" max="9" width="0.85546875" style="1" customWidth="1"/>
    <col min="10" max="10" width="24.42578125" style="1" bestFit="1" customWidth="1"/>
    <col min="11" max="11" width="12.140625" style="1" bestFit="1" customWidth="1"/>
    <col min="12" max="12" width="14.140625" style="1" bestFit="1" customWidth="1"/>
    <col min="13" max="13" width="8.5703125" style="1" bestFit="1" customWidth="1"/>
    <col min="14" max="14" width="9.7109375" style="1" bestFit="1" customWidth="1"/>
    <col min="15" max="15" width="8.28515625" style="1" bestFit="1" customWidth="1"/>
    <col min="16" max="16" width="0.85546875" style="1" customWidth="1"/>
    <col min="17" max="17" width="0.28515625" style="1" customWidth="1"/>
    <col min="18" max="18" width="0.85546875" style="1" customWidth="1"/>
    <col min="19" max="19" width="10.28515625" style="1" bestFit="1" customWidth="1"/>
    <col min="20" max="22" width="9.5703125" style="1" customWidth="1"/>
    <col min="23" max="23" width="0.7109375" style="1" customWidth="1"/>
    <col min="24" max="24" width="0.7109375" style="1" hidden="1" customWidth="1"/>
    <col min="25" max="25" width="12.140625" style="1" hidden="1" customWidth="1"/>
    <col min="26" max="27" width="4" style="1" hidden="1" customWidth="1"/>
    <col min="28" max="16384" width="9.140625" style="1" hidden="1"/>
  </cols>
  <sheetData>
    <row r="1" spans="2:23" ht="26.25" x14ac:dyDescent="0.4">
      <c r="C1" s="61">
        <f>DATE(YEAR(Mo.2!C1),MONTH(Mo.2!C1)+1,DAY(Mo.2!C1))</f>
        <v>41579</v>
      </c>
      <c r="D1" s="61"/>
      <c r="E1" s="61"/>
      <c r="F1" s="61"/>
      <c r="R1" s="45" t="s">
        <v>0</v>
      </c>
      <c r="S1" s="45" t="s">
        <v>1</v>
      </c>
      <c r="T1" s="45" t="s">
        <v>2</v>
      </c>
      <c r="U1" s="45" t="s">
        <v>16</v>
      </c>
      <c r="V1" s="45" t="s">
        <v>45</v>
      </c>
    </row>
    <row r="2" spans="2:23" x14ac:dyDescent="0.2">
      <c r="D2" s="18" t="s">
        <v>1</v>
      </c>
      <c r="E2" s="19" t="s">
        <v>2</v>
      </c>
      <c r="F2" s="19" t="s">
        <v>14</v>
      </c>
      <c r="R2" s="45" t="str">
        <f>Table13635[[#Headers],[Income]]</f>
        <v>Income</v>
      </c>
      <c r="S2" s="45">
        <f>SUM(Table13635[Budget])</f>
        <v>0</v>
      </c>
      <c r="T2" s="45">
        <f>SUM(Table13635[Actual])</f>
        <v>0</v>
      </c>
      <c r="U2" s="45" t="s">
        <v>19</v>
      </c>
      <c r="V2" s="45">
        <f>AVERAGE(V12:V42)</f>
        <v>3298.880000000001</v>
      </c>
    </row>
    <row r="3" spans="2:23" x14ac:dyDescent="0.2">
      <c r="C3" s="17" t="s">
        <v>35</v>
      </c>
      <c r="D3" s="5">
        <f>Mo.2!D6</f>
        <v>1971.7399999999998</v>
      </c>
      <c r="E3" s="14">
        <f>Mo.2!E6</f>
        <v>3298.88</v>
      </c>
      <c r="F3" s="14">
        <f>E3-D3</f>
        <v>1327.1400000000003</v>
      </c>
      <c r="R3" s="45" t="str">
        <f>Table132[[#Headers],[Housing]]</f>
        <v>Housing</v>
      </c>
      <c r="S3" s="45">
        <f>SUM(Table132[Budget])</f>
        <v>0</v>
      </c>
      <c r="T3" s="45">
        <f>SUM(Table132[Actual])</f>
        <v>0</v>
      </c>
      <c r="U3" s="45" t="s">
        <v>17</v>
      </c>
      <c r="V3" s="45"/>
    </row>
    <row r="4" spans="2:23" x14ac:dyDescent="0.2">
      <c r="C4" s="17" t="s">
        <v>32</v>
      </c>
      <c r="D4" s="5">
        <f>Table13635[[#Totals],[Budget]]</f>
        <v>0</v>
      </c>
      <c r="E4" s="5">
        <f>Table13635[[#Totals],[Actual]]</f>
        <v>0</v>
      </c>
      <c r="F4" s="5">
        <f>E4-D4</f>
        <v>0</v>
      </c>
      <c r="R4" s="45" t="str">
        <f>Table1333[[#Headers],[Transportation]]</f>
        <v>Transportation</v>
      </c>
      <c r="S4" s="45">
        <f>SUM(Table1333[Budget])</f>
        <v>0</v>
      </c>
      <c r="T4" s="45">
        <f>SUM(Table1333[Actual])</f>
        <v>0</v>
      </c>
      <c r="U4" s="45" t="s">
        <v>18</v>
      </c>
      <c r="V4" s="45"/>
    </row>
    <row r="5" spans="2:23" x14ac:dyDescent="0.2">
      <c r="C5" s="17" t="s">
        <v>33</v>
      </c>
      <c r="D5" s="5">
        <f>Table132[[#Totals],[Budget]]+Table1333[[#Totals],[Budget]]+Table1391039[[#Totals],[Budget]]+Table13736[[#Totals],[Budget]]+Table13837[[#Totals],[Budget]]+Table13938[[#Totals],[Budget]]</f>
        <v>0</v>
      </c>
      <c r="E5" s="5">
        <f>Table132[[#Totals],[Actual]]+Table1333[[#Totals],[Actual]]+Table1391039[[#Totals],[Actual]]+Table13736[[#Totals],[Actual]]+Table13837[[#Totals],[Actual]]+Table13938[[#Totals],[Actual]]</f>
        <v>0</v>
      </c>
      <c r="F5" s="5">
        <f>E5-D5</f>
        <v>0</v>
      </c>
      <c r="R5" s="45" t="str">
        <f>Table1391039[[#Headers],[Bills]]</f>
        <v>Bills</v>
      </c>
      <c r="S5" s="45">
        <f>SUM(Table1391039[Budget])</f>
        <v>0</v>
      </c>
      <c r="T5" s="45">
        <f>SUM(Table1391039[Actual])</f>
        <v>0</v>
      </c>
      <c r="U5" s="45"/>
      <c r="V5" s="45"/>
    </row>
    <row r="6" spans="2:23" x14ac:dyDescent="0.2">
      <c r="C6" s="15" t="s">
        <v>34</v>
      </c>
      <c r="D6" s="16">
        <f>D3+D4-D5</f>
        <v>1971.7399999999998</v>
      </c>
      <c r="E6" s="16">
        <f>E3+E4-E5</f>
        <v>3298.88</v>
      </c>
      <c r="F6" s="16">
        <f>F3+F4-F5</f>
        <v>1327.1400000000003</v>
      </c>
      <c r="R6" s="45" t="str">
        <f>Table13736[[#Headers],[Living]]</f>
        <v>Living</v>
      </c>
      <c r="S6" s="45">
        <f>SUM(Table13736[Budget])</f>
        <v>0</v>
      </c>
      <c r="T6" s="45">
        <f>SUM(Table13736[Actual])</f>
        <v>0</v>
      </c>
      <c r="U6" s="45"/>
      <c r="V6" s="45"/>
    </row>
    <row r="7" spans="2:23" ht="3.75" customHeight="1" x14ac:dyDescent="0.2">
      <c r="D7" s="2"/>
      <c r="R7" s="45" t="str">
        <f>Table13837[[#Headers],[Entertainment]]</f>
        <v>Entertainment</v>
      </c>
      <c r="S7" s="45">
        <f>SUM(Table13837[Budget])</f>
        <v>0</v>
      </c>
      <c r="T7" s="45">
        <f>SUM(Table13837[Actual])</f>
        <v>0</v>
      </c>
      <c r="U7" s="45"/>
      <c r="V7" s="45"/>
    </row>
    <row r="8" spans="2:23" ht="1.5" customHeight="1" x14ac:dyDescent="0.2">
      <c r="C8" s="42"/>
      <c r="D8" s="43"/>
      <c r="E8" s="42"/>
      <c r="F8" s="42"/>
      <c r="G8" s="42"/>
      <c r="H8" s="42"/>
      <c r="I8" s="42"/>
      <c r="J8" s="42"/>
      <c r="K8" s="42"/>
      <c r="L8" s="42"/>
      <c r="M8" s="42"/>
      <c r="N8" s="42"/>
      <c r="O8" s="42"/>
      <c r="P8" s="42"/>
      <c r="Q8" s="42"/>
      <c r="R8" s="44" t="str">
        <f>Table13938[[#Headers],[Misc.]]</f>
        <v>Misc.</v>
      </c>
      <c r="S8" s="44">
        <f>SUM(Table13938[Budget])</f>
        <v>0</v>
      </c>
      <c r="T8" s="44">
        <f>SUM(Table13938[Actual])</f>
        <v>0</v>
      </c>
      <c r="U8" s="44"/>
      <c r="V8" s="44"/>
    </row>
    <row r="9" spans="2:23" ht="3.75" customHeight="1" x14ac:dyDescent="0.2">
      <c r="D9" s="2"/>
      <c r="H9" s="42"/>
      <c r="Q9" s="42"/>
    </row>
    <row r="10" spans="2:23" s="25" customFormat="1" x14ac:dyDescent="0.2">
      <c r="B10" s="35"/>
      <c r="C10" s="37" t="str">
        <f>CONCATENATE(Table13635[[#Headers],[Income]]," - Budget &amp; Tracking")</f>
        <v>Income - Budget &amp; Tracking</v>
      </c>
      <c r="D10" s="38"/>
      <c r="E10" s="38"/>
      <c r="F10" s="39"/>
      <c r="G10" s="35"/>
      <c r="H10" s="41"/>
      <c r="J10" s="37" t="s">
        <v>42</v>
      </c>
      <c r="K10" s="38"/>
      <c r="L10" s="38"/>
      <c r="M10" s="38"/>
      <c r="N10" s="38"/>
      <c r="O10" s="39"/>
      <c r="Q10" s="41"/>
      <c r="S10" s="37" t="s">
        <v>40</v>
      </c>
      <c r="T10" s="38"/>
      <c r="U10" s="38"/>
      <c r="V10" s="39"/>
    </row>
    <row r="11" spans="2:23" ht="12.75" thickBot="1" x14ac:dyDescent="0.25">
      <c r="B11" s="32"/>
      <c r="C11" s="31" t="s">
        <v>15</v>
      </c>
      <c r="D11" s="31" t="s">
        <v>1</v>
      </c>
      <c r="E11" s="31" t="s">
        <v>2</v>
      </c>
      <c r="F11" s="31" t="s">
        <v>14</v>
      </c>
      <c r="G11" s="32"/>
      <c r="H11" s="42"/>
      <c r="J11" s="31" t="s">
        <v>9</v>
      </c>
      <c r="K11" s="31" t="s">
        <v>0</v>
      </c>
      <c r="L11" s="31" t="s">
        <v>13</v>
      </c>
      <c r="M11" s="31" t="s">
        <v>10</v>
      </c>
      <c r="N11" s="31" t="s">
        <v>11</v>
      </c>
      <c r="O11" s="31" t="s">
        <v>16</v>
      </c>
      <c r="Q11" s="42"/>
      <c r="S11" s="40" t="s">
        <v>10</v>
      </c>
      <c r="T11" s="40" t="s">
        <v>22</v>
      </c>
      <c r="U11" s="40" t="s">
        <v>21</v>
      </c>
      <c r="V11" s="40" t="s">
        <v>23</v>
      </c>
    </row>
    <row r="12" spans="2:23" x14ac:dyDescent="0.2">
      <c r="B12" s="32"/>
      <c r="D12" s="2"/>
      <c r="E12" s="2">
        <f>SUMIFS(Table442041[Amount],Table442041[Category],Table13635[[#Headers],[Income]],Table442041[Sub-Category],Table13635[[#This Row],[Income]])+SUMIFS(Table4440[Amount],Table4440[Category],Table13635[[#Headers],[Income]],Table4440[Sub-Category],Table13635[[#This Row],[Income]])</f>
        <v>0</v>
      </c>
      <c r="F12" s="3">
        <f>Table13635[[#This Row],[Actual]]-Table13635[[#This Row],[Budget]]</f>
        <v>0</v>
      </c>
      <c r="G12" s="32"/>
      <c r="H12" s="42"/>
      <c r="M12" s="4"/>
      <c r="N12" s="2"/>
      <c r="Q12" s="42"/>
      <c r="S12" s="27">
        <f>C1</f>
        <v>41579</v>
      </c>
      <c r="T12" s="29">
        <f>SUMIFS(Table442041[Amount],Table442041[Date],S12,Table442041[Category],Table13635[[#Headers],[Income]])+SUMIFS(Table4440[Amount],Table4440[Date],S12,Table4440[Category],Table13635[[#Headers],[Income]])</f>
        <v>0</v>
      </c>
      <c r="U12" s="29">
        <f>SUMIFS(Table434[Amount],Table434[Date],S12,Table434[Category],"&lt;&gt;"&amp;Table13635[[#Headers],[Income]])+SUMIFS(Table4440[Amount],Table4440[Date],S12,Table4440[Category],"&lt;&gt;"&amp;Table13635[[#Headers],[Income]])</f>
        <v>0</v>
      </c>
      <c r="V12" s="29">
        <f>E3+T12-U12</f>
        <v>3298.88</v>
      </c>
      <c r="W12" s="1">
        <f>V2</f>
        <v>3298.880000000001</v>
      </c>
    </row>
    <row r="13" spans="2:23" x14ac:dyDescent="0.2">
      <c r="B13" s="32"/>
      <c r="D13" s="2"/>
      <c r="E13" s="2">
        <f>SUMIFS(Table442041[Amount],Table442041[Category],Table13635[[#Headers],[Income]],Table442041[Sub-Category],Table13635[[#This Row],[Income]])+SUMIFS(Table4440[Amount],Table4440[Category],Table13635[[#Headers],[Income]],Table4440[Sub-Category],Table13635[[#This Row],[Income]])</f>
        <v>0</v>
      </c>
      <c r="F13" s="3">
        <f>Table13635[[#This Row],[Actual]]-Table13635[[#This Row],[Budget]]</f>
        <v>0</v>
      </c>
      <c r="G13" s="32"/>
      <c r="H13" s="42"/>
      <c r="M13" s="4"/>
      <c r="N13" s="2"/>
      <c r="Q13" s="42"/>
      <c r="S13" s="30">
        <f t="shared" ref="S13:S42" si="0">S12+1</f>
        <v>41580</v>
      </c>
      <c r="T13" s="28">
        <f>SUMIFS(Table442041[Amount],Table442041[Date],S13,Table442041[Category],Table13635[[#Headers],[Income]])+SUMIFS(Table4440[Amount],Table4440[Date],S13,Table4440[Category],Table13635[[#Headers],[Income]])</f>
        <v>0</v>
      </c>
      <c r="U13" s="28">
        <f>SUMIFS(Table434[Amount],Table434[Date],S13,Table434[Category],"&lt;&gt;"&amp;Table13635[[#Headers],[Income]])+SUMIFS(Table4440[Amount],Table4440[Date],S13,Table4440[Category],"&lt;&gt;"&amp;Table13635[[#Headers],[Income]])</f>
        <v>0</v>
      </c>
      <c r="V13" s="28">
        <f>V12+T13-U13</f>
        <v>3298.88</v>
      </c>
      <c r="W13" s="1">
        <f>W12</f>
        <v>3298.880000000001</v>
      </c>
    </row>
    <row r="14" spans="2:23" x14ac:dyDescent="0.2">
      <c r="B14" s="32"/>
      <c r="D14" s="12"/>
      <c r="E14" s="12">
        <f>SUMIFS(Table442041[Amount],Table442041[Category],Table13635[[#Headers],[Income]],Table442041[Sub-Category],Table13635[[#This Row],[Income]])+SUMIFS(Table4440[Amount],Table4440[Category],Table13635[[#Headers],[Income]],Table4440[Sub-Category],Table13635[[#This Row],[Income]])</f>
        <v>0</v>
      </c>
      <c r="F14" s="2">
        <f>Table13635[[#This Row],[Actual]]-Table13635[[#This Row],[Budget]]</f>
        <v>0</v>
      </c>
      <c r="G14" s="32"/>
      <c r="H14" s="42"/>
      <c r="M14" s="4"/>
      <c r="N14" s="2"/>
      <c r="Q14" s="42"/>
      <c r="S14" s="27">
        <f t="shared" si="0"/>
        <v>41581</v>
      </c>
      <c r="T14" s="29">
        <f>SUMIFS(Table442041[Amount],Table442041[Date],S14,Table442041[Category],Table13635[[#Headers],[Income]])+SUMIFS(Table4440[Amount],Table4440[Date],S14,Table4440[Category],Table13635[[#Headers],[Income]])</f>
        <v>0</v>
      </c>
      <c r="U14" s="29">
        <f>SUMIFS(Table434[Amount],Table434[Date],S14,Table434[Category],"&lt;&gt;"&amp;Table13635[[#Headers],[Income]])+SUMIFS(Table4440[Amount],Table4440[Date],S14,Table4440[Category],"&lt;&gt;"&amp;Table13635[[#Headers],[Income]])</f>
        <v>0</v>
      </c>
      <c r="V14" s="29">
        <f t="shared" ref="V14:V42" si="1">V13+T14-U14</f>
        <v>3298.88</v>
      </c>
      <c r="W14" s="1">
        <f t="shared" ref="W14:W42" si="2">W13</f>
        <v>3298.880000000001</v>
      </c>
    </row>
    <row r="15" spans="2:23" x14ac:dyDescent="0.2">
      <c r="B15" s="32"/>
      <c r="D15" s="2"/>
      <c r="E15" s="3">
        <f>SUMIFS(Table442041[Amount],Table442041[Category],Table13635[[#Headers],[Income]],Table442041[Sub-Category],Table13635[[#This Row],[Income]])+SUMIFS(Table4440[Amount],Table4440[Category],Table13635[[#Headers],[Income]],Table4440[Sub-Category],Table13635[[#This Row],[Income]])</f>
        <v>0</v>
      </c>
      <c r="F15" s="3">
        <f>Table13635[[#This Row],[Actual]]-Table13635[[#This Row],[Budget]]</f>
        <v>0</v>
      </c>
      <c r="G15" s="32"/>
      <c r="H15" s="42"/>
      <c r="J15" s="11"/>
      <c r="K15" s="11"/>
      <c r="L15" s="11"/>
      <c r="M15" s="24"/>
      <c r="N15" s="12"/>
      <c r="O15" s="11"/>
      <c r="Q15" s="42"/>
      <c r="S15" s="30">
        <f t="shared" si="0"/>
        <v>41582</v>
      </c>
      <c r="T15" s="28">
        <f>SUMIFS(Table442041[Amount],Table442041[Date],S15,Table442041[Category],Table13635[[#Headers],[Income]])+SUMIFS(Table4440[Amount],Table4440[Date],S15,Table4440[Category],Table13635[[#Headers],[Income]])</f>
        <v>0</v>
      </c>
      <c r="U15" s="28">
        <f>SUMIFS(Table434[Amount],Table434[Date],S15,Table434[Category],"&lt;&gt;"&amp;Table13635[[#Headers],[Income]])+SUMIFS(Table4440[Amount],Table4440[Date],S15,Table4440[Category],"&lt;&gt;"&amp;Table13635[[#Headers],[Income]])</f>
        <v>0</v>
      </c>
      <c r="V15" s="28">
        <f t="shared" si="1"/>
        <v>3298.88</v>
      </c>
      <c r="W15" s="1">
        <f t="shared" si="2"/>
        <v>3298.880000000001</v>
      </c>
    </row>
    <row r="16" spans="2:23" x14ac:dyDescent="0.2">
      <c r="B16" s="32"/>
      <c r="C16" s="6" t="s">
        <v>20</v>
      </c>
      <c r="D16" s="7">
        <f>SUBTOTAL(109,Table13635[Budget])</f>
        <v>0</v>
      </c>
      <c r="E16" s="7">
        <f>SUBTOTAL(109,Table13635[Actual])</f>
        <v>0</v>
      </c>
      <c r="F16" s="7">
        <f>SUBTOTAL(109,Table13635[Variance])</f>
        <v>0</v>
      </c>
      <c r="G16" s="36"/>
      <c r="H16" s="43"/>
      <c r="I16" s="2"/>
      <c r="M16" s="4"/>
      <c r="N16" s="2"/>
      <c r="Q16" s="43"/>
      <c r="S16" s="27">
        <f t="shared" si="0"/>
        <v>41583</v>
      </c>
      <c r="T16" s="29">
        <f>SUMIFS(Table442041[Amount],Table442041[Date],S16,Table442041[Category],Table13635[[#Headers],[Income]])+SUMIFS(Table4440[Amount],Table4440[Date],S16,Table4440[Category],Table13635[[#Headers],[Income]])</f>
        <v>0</v>
      </c>
      <c r="U16" s="29">
        <f>SUMIFS(Table434[Amount],Table434[Date],S16,Table434[Category],"&lt;&gt;"&amp;Table13635[[#Headers],[Income]])+SUMIFS(Table4440[Amount],Table4440[Date],S16,Table4440[Category],"&lt;&gt;"&amp;Table13635[[#Headers],[Income]])</f>
        <v>0</v>
      </c>
      <c r="V16" s="29">
        <f t="shared" si="1"/>
        <v>3298.88</v>
      </c>
      <c r="W16" s="1">
        <f t="shared" si="2"/>
        <v>3298.880000000001</v>
      </c>
    </row>
    <row r="17" spans="2:23" x14ac:dyDescent="0.2">
      <c r="B17" s="32"/>
      <c r="C17" s="20"/>
      <c r="D17" s="21"/>
      <c r="E17" s="21"/>
      <c r="F17" s="21"/>
      <c r="G17" s="36"/>
      <c r="H17" s="43"/>
      <c r="I17" s="2"/>
      <c r="J17" s="37" t="s">
        <v>43</v>
      </c>
      <c r="K17" s="38"/>
      <c r="L17" s="38"/>
      <c r="M17" s="38"/>
      <c r="N17" s="38"/>
      <c r="O17" s="39"/>
      <c r="Q17" s="43"/>
      <c r="S17" s="30">
        <f t="shared" si="0"/>
        <v>41584</v>
      </c>
      <c r="T17" s="28">
        <f>SUMIFS(Table442041[Amount],Table442041[Date],S17,Table442041[Category],Table13635[[#Headers],[Income]])+SUMIFS(Table4440[Amount],Table4440[Date],S17,Table4440[Category],Table13635[[#Headers],[Income]])</f>
        <v>0</v>
      </c>
      <c r="U17" s="28">
        <f>SUMIFS(Table434[Amount],Table434[Date],S17,Table434[Category],"&lt;&gt;"&amp;Table13635[[#Headers],[Income]])+SUMIFS(Table4440[Amount],Table4440[Date],S17,Table4440[Category],"&lt;&gt;"&amp;Table13635[[#Headers],[Income]])</f>
        <v>0</v>
      </c>
      <c r="V17" s="28">
        <f t="shared" si="1"/>
        <v>3298.88</v>
      </c>
      <c r="W17" s="1">
        <f t="shared" si="2"/>
        <v>3298.880000000001</v>
      </c>
    </row>
    <row r="18" spans="2:23" x14ac:dyDescent="0.2">
      <c r="B18" s="32"/>
      <c r="C18" s="37" t="str">
        <f>CONCATENATE(Table132[[#Headers],[Housing]]," - Budget &amp; Tracking")</f>
        <v>Housing - Budget &amp; Tracking</v>
      </c>
      <c r="D18" s="38"/>
      <c r="E18" s="38"/>
      <c r="F18" s="39"/>
      <c r="G18" s="36"/>
      <c r="H18" s="43"/>
      <c r="I18" s="2"/>
      <c r="J18" s="31" t="s">
        <v>9</v>
      </c>
      <c r="K18" s="31" t="s">
        <v>0</v>
      </c>
      <c r="L18" s="31" t="s">
        <v>13</v>
      </c>
      <c r="M18" s="31" t="s">
        <v>10</v>
      </c>
      <c r="N18" s="31" t="s">
        <v>11</v>
      </c>
      <c r="O18" s="31" t="s">
        <v>16</v>
      </c>
      <c r="Q18" s="43"/>
      <c r="S18" s="27">
        <f t="shared" si="0"/>
        <v>41585</v>
      </c>
      <c r="T18" s="29">
        <f>SUMIFS(Table442041[Amount],Table442041[Date],S18,Table442041[Category],Table13635[[#Headers],[Income]])+SUMIFS(Table4440[Amount],Table4440[Date],S18,Table4440[Category],Table13635[[#Headers],[Income]])</f>
        <v>0</v>
      </c>
      <c r="U18" s="29">
        <f>SUMIFS(Table434[Amount],Table434[Date],S18,Table434[Category],"&lt;&gt;"&amp;Table13635[[#Headers],[Income]])+SUMIFS(Table4440[Amount],Table4440[Date],S18,Table4440[Category],"&lt;&gt;"&amp;Table13635[[#Headers],[Income]])</f>
        <v>0</v>
      </c>
      <c r="V18" s="29">
        <f t="shared" si="1"/>
        <v>3298.88</v>
      </c>
      <c r="W18" s="1">
        <f t="shared" si="2"/>
        <v>3298.880000000001</v>
      </c>
    </row>
    <row r="19" spans="2:23" x14ac:dyDescent="0.2">
      <c r="B19" s="32"/>
      <c r="C19" s="31" t="s">
        <v>8</v>
      </c>
      <c r="D19" s="31" t="s">
        <v>1</v>
      </c>
      <c r="E19" s="31" t="s">
        <v>2</v>
      </c>
      <c r="F19" s="31" t="s">
        <v>14</v>
      </c>
      <c r="G19" s="36"/>
      <c r="H19" s="43"/>
      <c r="I19" s="2"/>
      <c r="M19" s="4"/>
      <c r="N19" s="2"/>
      <c r="Q19" s="43"/>
      <c r="S19" s="30">
        <f t="shared" si="0"/>
        <v>41586</v>
      </c>
      <c r="T19" s="28">
        <f>SUMIFS(Table442041[Amount],Table442041[Date],S19,Table442041[Category],Table13635[[#Headers],[Income]])+SUMIFS(Table4440[Amount],Table4440[Date],S19,Table4440[Category],Table13635[[#Headers],[Income]])</f>
        <v>0</v>
      </c>
      <c r="U19" s="28">
        <f>SUMIFS(Table434[Amount],Table434[Date],S19,Table434[Category],"&lt;&gt;"&amp;Table13635[[#Headers],[Income]])+SUMIFS(Table4440[Amount],Table4440[Date],S19,Table4440[Category],"&lt;&gt;"&amp;Table13635[[#Headers],[Income]])</f>
        <v>0</v>
      </c>
      <c r="V19" s="28">
        <f t="shared" si="1"/>
        <v>3298.88</v>
      </c>
      <c r="W19" s="1">
        <f t="shared" si="2"/>
        <v>3298.880000000001</v>
      </c>
    </row>
    <row r="20" spans="2:23" x14ac:dyDescent="0.2">
      <c r="B20" s="32"/>
      <c r="D20" s="2"/>
      <c r="E20" s="2">
        <f>SUMIFS(Table434[Amount],Table434[Category],Table132[[#Headers],[Housing]],Table434[Sub-Category],Table132[[#This Row],[Housing]])+SUMIFS(Table4440[Amount],Table4440[Category],Table132[[#Headers],[Housing]],Table4440[Sub-Category],Table132[[#This Row],[Housing]])</f>
        <v>0</v>
      </c>
      <c r="F20" s="3">
        <f>Table132[[#This Row],[Budget]]-Table132[[#This Row],[Actual]]</f>
        <v>0</v>
      </c>
      <c r="G20" s="36"/>
      <c r="H20" s="43"/>
      <c r="I20" s="2"/>
      <c r="J20" s="11"/>
      <c r="K20" s="11"/>
      <c r="L20" s="11"/>
      <c r="M20" s="24"/>
      <c r="N20" s="12"/>
      <c r="O20" s="11"/>
      <c r="Q20" s="43"/>
      <c r="S20" s="27">
        <f t="shared" si="0"/>
        <v>41587</v>
      </c>
      <c r="T20" s="29">
        <f>SUMIFS(Table442041[Amount],Table442041[Date],S20,Table442041[Category],Table13635[[#Headers],[Income]])+SUMIFS(Table4440[Amount],Table4440[Date],S20,Table4440[Category],Table13635[[#Headers],[Income]])</f>
        <v>0</v>
      </c>
      <c r="U20" s="29">
        <f>SUMIFS(Table434[Amount],Table434[Date],S20,Table434[Category],"&lt;&gt;"&amp;Table13635[[#Headers],[Income]])+SUMIFS(Table4440[Amount],Table4440[Date],S20,Table4440[Category],"&lt;&gt;"&amp;Table13635[[#Headers],[Income]])</f>
        <v>0</v>
      </c>
      <c r="V20" s="29">
        <f t="shared" si="1"/>
        <v>3298.88</v>
      </c>
      <c r="W20" s="1">
        <f t="shared" si="2"/>
        <v>3298.880000000001</v>
      </c>
    </row>
    <row r="21" spans="2:23" x14ac:dyDescent="0.2">
      <c r="B21" s="32"/>
      <c r="D21" s="2"/>
      <c r="E21" s="2">
        <f>SUMIFS(Table434[Amount],Table434[Category],Table132[[#Headers],[Housing]],Table434[Sub-Category],Table132[[#This Row],[Housing]])+SUMIFS(Table4440[Amount],Table4440[Category],Table132[[#Headers],[Housing]],Table4440[Sub-Category],Table132[[#This Row],[Housing]])</f>
        <v>0</v>
      </c>
      <c r="F21" s="3">
        <f>Table132[[#This Row],[Budget]]-Table132[[#This Row],[Actual]]</f>
        <v>0</v>
      </c>
      <c r="G21" s="36"/>
      <c r="H21" s="43"/>
      <c r="I21" s="2"/>
      <c r="J21" s="11"/>
      <c r="K21" s="11"/>
      <c r="L21" s="11"/>
      <c r="M21" s="24"/>
      <c r="N21" s="12"/>
      <c r="O21" s="11"/>
      <c r="Q21" s="43"/>
      <c r="S21" s="30">
        <f t="shared" si="0"/>
        <v>41588</v>
      </c>
      <c r="T21" s="28">
        <f>SUMIFS(Table442041[Amount],Table442041[Date],S21,Table442041[Category],Table13635[[#Headers],[Income]])+SUMIFS(Table4440[Amount],Table4440[Date],S21,Table4440[Category],Table13635[[#Headers],[Income]])</f>
        <v>0</v>
      </c>
      <c r="U21" s="28">
        <f>SUMIFS(Table434[Amount],Table434[Date],S21,Table434[Category],"&lt;&gt;"&amp;Table13635[[#Headers],[Income]])+SUMIFS(Table4440[Amount],Table4440[Date],S21,Table4440[Category],"&lt;&gt;"&amp;Table13635[[#Headers],[Income]])</f>
        <v>0</v>
      </c>
      <c r="V21" s="28">
        <f t="shared" si="1"/>
        <v>3298.88</v>
      </c>
      <c r="W21" s="1">
        <f t="shared" si="2"/>
        <v>3298.880000000001</v>
      </c>
    </row>
    <row r="22" spans="2:23" x14ac:dyDescent="0.2">
      <c r="B22" s="32"/>
      <c r="D22" s="2"/>
      <c r="E22" s="2">
        <f>SUMIFS(Table434[Amount],Table434[Category],Table132[[#Headers],[Housing]],Table434[Sub-Category],Table132[[#This Row],[Housing]])+SUMIFS(Table4440[Amount],Table4440[Category],Table132[[#Headers],[Housing]],Table4440[Sub-Category],Table132[[#This Row],[Housing]])</f>
        <v>0</v>
      </c>
      <c r="F22" s="3">
        <f>Table132[[#This Row],[Budget]]-Table132[[#This Row],[Actual]]</f>
        <v>0</v>
      </c>
      <c r="G22" s="36"/>
      <c r="H22" s="43"/>
      <c r="I22" s="2"/>
      <c r="J22" s="11"/>
      <c r="K22" s="11"/>
      <c r="L22" s="11"/>
      <c r="M22" s="24"/>
      <c r="N22" s="12"/>
      <c r="O22" s="11"/>
      <c r="Q22" s="43"/>
      <c r="S22" s="27">
        <f t="shared" si="0"/>
        <v>41589</v>
      </c>
      <c r="T22" s="29">
        <f>SUMIFS(Table442041[Amount],Table442041[Date],S22,Table442041[Category],Table13635[[#Headers],[Income]])+SUMIFS(Table4440[Amount],Table4440[Date],S22,Table4440[Category],Table13635[[#Headers],[Income]])</f>
        <v>0</v>
      </c>
      <c r="U22" s="29">
        <f>SUMIFS(Table434[Amount],Table434[Date],S22,Table434[Category],"&lt;&gt;"&amp;Table13635[[#Headers],[Income]])+SUMIFS(Table4440[Amount],Table4440[Date],S22,Table4440[Category],"&lt;&gt;"&amp;Table13635[[#Headers],[Income]])</f>
        <v>0</v>
      </c>
      <c r="V22" s="29">
        <f t="shared" si="1"/>
        <v>3298.88</v>
      </c>
      <c r="W22" s="1">
        <f t="shared" si="2"/>
        <v>3298.880000000001</v>
      </c>
    </row>
    <row r="23" spans="2:23" x14ac:dyDescent="0.2">
      <c r="B23" s="32"/>
      <c r="D23" s="2"/>
      <c r="E23" s="2">
        <f>SUMIFS(Table434[Amount],Table434[Category],Table132[[#Headers],[Housing]],Table434[Sub-Category],Table132[[#This Row],[Housing]])+SUMIFS(Table4440[Amount],Table4440[Category],Table132[[#Headers],[Housing]],Table4440[Sub-Category],Table132[[#This Row],[Housing]])</f>
        <v>0</v>
      </c>
      <c r="F23" s="3">
        <f>Table132[[#This Row],[Budget]]-Table132[[#This Row],[Actual]]</f>
        <v>0</v>
      </c>
      <c r="G23" s="36"/>
      <c r="H23" s="43"/>
      <c r="I23" s="2"/>
      <c r="J23" s="11"/>
      <c r="K23" s="11"/>
      <c r="L23" s="11"/>
      <c r="M23" s="24"/>
      <c r="N23" s="12"/>
      <c r="O23" s="11"/>
      <c r="Q23" s="43"/>
      <c r="S23" s="30">
        <f t="shared" si="0"/>
        <v>41590</v>
      </c>
      <c r="T23" s="28">
        <f>SUMIFS(Table442041[Amount],Table442041[Date],S23,Table442041[Category],Table13635[[#Headers],[Income]])+SUMIFS(Table4440[Amount],Table4440[Date],S23,Table4440[Category],Table13635[[#Headers],[Income]])</f>
        <v>0</v>
      </c>
      <c r="U23" s="28">
        <f>SUMIFS(Table434[Amount],Table434[Date],S23,Table434[Category],"&lt;&gt;"&amp;Table13635[[#Headers],[Income]])+SUMIFS(Table4440[Amount],Table4440[Date],S23,Table4440[Category],"&lt;&gt;"&amp;Table13635[[#Headers],[Income]])</f>
        <v>0</v>
      </c>
      <c r="V23" s="28">
        <f t="shared" si="1"/>
        <v>3298.88</v>
      </c>
      <c r="W23" s="1">
        <f t="shared" si="2"/>
        <v>3298.880000000001</v>
      </c>
    </row>
    <row r="24" spans="2:23" x14ac:dyDescent="0.2">
      <c r="B24" s="32"/>
      <c r="D24" s="2"/>
      <c r="E24" s="2">
        <f>SUMIFS(Table434[Amount],Table434[Category],Table132[[#Headers],[Housing]],Table434[Sub-Category],Table132[[#This Row],[Housing]])+SUMIFS(Table4440[Amount],Table4440[Category],Table132[[#Headers],[Housing]],Table4440[Sub-Category],Table132[[#This Row],[Housing]])</f>
        <v>0</v>
      </c>
      <c r="F24" s="3">
        <f>Table132[[#This Row],[Budget]]-Table132[[#This Row],[Actual]]</f>
        <v>0</v>
      </c>
      <c r="G24" s="36"/>
      <c r="H24" s="43"/>
      <c r="I24" s="2"/>
      <c r="J24" s="11"/>
      <c r="K24" s="11"/>
      <c r="L24" s="11"/>
      <c r="M24" s="24"/>
      <c r="N24" s="12"/>
      <c r="O24" s="11"/>
      <c r="Q24" s="43"/>
      <c r="S24" s="27">
        <f t="shared" si="0"/>
        <v>41591</v>
      </c>
      <c r="T24" s="29">
        <f>SUMIFS(Table442041[Amount],Table442041[Date],S24,Table442041[Category],Table13635[[#Headers],[Income]])+SUMIFS(Table4440[Amount],Table4440[Date],S24,Table4440[Category],Table13635[[#Headers],[Income]])</f>
        <v>0</v>
      </c>
      <c r="U24" s="29">
        <f>SUMIFS(Table434[Amount],Table434[Date],S24,Table434[Category],"&lt;&gt;"&amp;Table13635[[#Headers],[Income]])+SUMIFS(Table4440[Amount],Table4440[Date],S24,Table4440[Category],"&lt;&gt;"&amp;Table13635[[#Headers],[Income]])</f>
        <v>0</v>
      </c>
      <c r="V24" s="29">
        <f t="shared" si="1"/>
        <v>3298.88</v>
      </c>
      <c r="W24" s="1">
        <f t="shared" si="2"/>
        <v>3298.880000000001</v>
      </c>
    </row>
    <row r="25" spans="2:23" x14ac:dyDescent="0.2">
      <c r="B25" s="32"/>
      <c r="D25" s="2"/>
      <c r="E25" s="2">
        <f>SUMIFS(Table434[Amount],Table434[Category],Table132[[#Headers],[Housing]],Table434[Sub-Category],Table132[[#This Row],[Housing]])+SUMIFS(Table4440[Amount],Table4440[Category],Table132[[#Headers],[Housing]],Table4440[Sub-Category],Table132[[#This Row],[Housing]])</f>
        <v>0</v>
      </c>
      <c r="F25" s="3">
        <f>Table132[[#This Row],[Budget]]-Table132[[#This Row],[Actual]]</f>
        <v>0</v>
      </c>
      <c r="G25" s="32"/>
      <c r="H25" s="42"/>
      <c r="J25" s="11"/>
      <c r="K25" s="11"/>
      <c r="L25" s="11"/>
      <c r="M25" s="24"/>
      <c r="N25" s="12"/>
      <c r="O25" s="11"/>
      <c r="Q25" s="42"/>
      <c r="S25" s="30">
        <f t="shared" si="0"/>
        <v>41592</v>
      </c>
      <c r="T25" s="28">
        <f>SUMIFS(Table442041[Amount],Table442041[Date],S25,Table442041[Category],Table13635[[#Headers],[Income]])+SUMIFS(Table4440[Amount],Table4440[Date],S25,Table4440[Category],Table13635[[#Headers],[Income]])</f>
        <v>0</v>
      </c>
      <c r="U25" s="28">
        <f>SUMIFS(Table434[Amount],Table434[Date],S25,Table434[Category],"&lt;&gt;"&amp;Table13635[[#Headers],[Income]])+SUMIFS(Table4440[Amount],Table4440[Date],S25,Table4440[Category],"&lt;&gt;"&amp;Table13635[[#Headers],[Income]])</f>
        <v>0</v>
      </c>
      <c r="V25" s="28">
        <f t="shared" si="1"/>
        <v>3298.88</v>
      </c>
      <c r="W25" s="1">
        <f t="shared" si="2"/>
        <v>3298.880000000001</v>
      </c>
    </row>
    <row r="26" spans="2:23" x14ac:dyDescent="0.2">
      <c r="B26" s="32"/>
      <c r="D26" s="2"/>
      <c r="E26" s="2">
        <f>SUMIFS(Table434[Amount],Table434[Category],Table132[[#Headers],[Housing]],Table434[Sub-Category],Table132[[#This Row],[Housing]])+SUMIFS(Table4440[Amount],Table4440[Category],Table132[[#Headers],[Housing]],Table4440[Sub-Category],Table132[[#This Row],[Housing]])</f>
        <v>0</v>
      </c>
      <c r="F26" s="3">
        <f>Table132[[#This Row],[Budget]]-Table132[[#This Row],[Actual]]</f>
        <v>0</v>
      </c>
      <c r="G26" s="32"/>
      <c r="H26" s="42"/>
      <c r="J26" s="11"/>
      <c r="K26" s="11"/>
      <c r="L26" s="11"/>
      <c r="M26" s="24"/>
      <c r="N26" s="12"/>
      <c r="O26" s="11"/>
      <c r="Q26" s="42"/>
      <c r="S26" s="27">
        <f t="shared" si="0"/>
        <v>41593</v>
      </c>
      <c r="T26" s="29">
        <f>SUMIFS(Table442041[Amount],Table442041[Date],S26,Table442041[Category],Table13635[[#Headers],[Income]])+SUMIFS(Table4440[Amount],Table4440[Date],S26,Table4440[Category],Table13635[[#Headers],[Income]])</f>
        <v>0</v>
      </c>
      <c r="U26" s="29">
        <f>SUMIFS(Table434[Amount],Table434[Date],S26,Table434[Category],"&lt;&gt;"&amp;Table13635[[#Headers],[Income]])+SUMIFS(Table4440[Amount],Table4440[Date],S26,Table4440[Category],"&lt;&gt;"&amp;Table13635[[#Headers],[Income]])</f>
        <v>0</v>
      </c>
      <c r="V26" s="29">
        <f t="shared" si="1"/>
        <v>3298.88</v>
      </c>
      <c r="W26" s="1">
        <f t="shared" si="2"/>
        <v>3298.880000000001</v>
      </c>
    </row>
    <row r="27" spans="2:23" x14ac:dyDescent="0.2">
      <c r="B27" s="32"/>
      <c r="D27" s="2"/>
      <c r="E27" s="2">
        <f>SUMIFS(Table434[Amount],Table434[Category],Table132[[#Headers],[Housing]],Table434[Sub-Category],Table132[[#This Row],[Housing]])+SUMIFS(Table4440[Amount],Table4440[Category],Table132[[#Headers],[Housing]],Table4440[Sub-Category],Table132[[#This Row],[Housing]])</f>
        <v>0</v>
      </c>
      <c r="F27" s="3">
        <f>Table132[[#This Row],[Budget]]-Table132[[#This Row],[Actual]]</f>
        <v>0</v>
      </c>
      <c r="G27" s="36"/>
      <c r="H27" s="43"/>
      <c r="I27" s="2"/>
      <c r="J27" s="11"/>
      <c r="K27" s="11"/>
      <c r="L27" s="11"/>
      <c r="M27" s="24"/>
      <c r="N27" s="12"/>
      <c r="O27" s="11"/>
      <c r="Q27" s="43"/>
      <c r="S27" s="30">
        <f t="shared" si="0"/>
        <v>41594</v>
      </c>
      <c r="T27" s="28">
        <f>SUMIFS(Table442041[Amount],Table442041[Date],S27,Table442041[Category],Table13635[[#Headers],[Income]])+SUMIFS(Table4440[Amount],Table4440[Date],S27,Table4440[Category],Table13635[[#Headers],[Income]])</f>
        <v>0</v>
      </c>
      <c r="U27" s="28">
        <f>SUMIFS(Table434[Amount],Table434[Date],S27,Table434[Category],"&lt;&gt;"&amp;Table13635[[#Headers],[Income]])+SUMIFS(Table4440[Amount],Table4440[Date],S27,Table4440[Category],"&lt;&gt;"&amp;Table13635[[#Headers],[Income]])</f>
        <v>0</v>
      </c>
      <c r="V27" s="28">
        <f t="shared" si="1"/>
        <v>3298.88</v>
      </c>
      <c r="W27" s="1">
        <f t="shared" si="2"/>
        <v>3298.880000000001</v>
      </c>
    </row>
    <row r="28" spans="2:23" x14ac:dyDescent="0.2">
      <c r="B28" s="32"/>
      <c r="C28" s="11"/>
      <c r="D28" s="12"/>
      <c r="E28" s="13">
        <f>SUMIFS(Table434[Amount],Table434[Category],Table132[[#Headers],[Housing]],Table434[Sub-Category],Table132[[#This Row],[Housing]])+SUMIFS(Table4440[Amount],Table4440[Category],Table132[[#Headers],[Housing]],Table4440[Sub-Category],Table132[[#This Row],[Housing]])</f>
        <v>0</v>
      </c>
      <c r="F28" s="13">
        <f>Table132[[#This Row],[Budget]]-Table132[[#This Row],[Actual]]</f>
        <v>0</v>
      </c>
      <c r="G28" s="36"/>
      <c r="H28" s="43"/>
      <c r="I28" s="2"/>
      <c r="J28" s="11"/>
      <c r="K28" s="11"/>
      <c r="L28" s="11"/>
      <c r="M28" s="24"/>
      <c r="N28" s="12"/>
      <c r="O28" s="11"/>
      <c r="Q28" s="43"/>
      <c r="S28" s="27">
        <f t="shared" si="0"/>
        <v>41595</v>
      </c>
      <c r="T28" s="29">
        <f>SUMIFS(Table442041[Amount],Table442041[Date],S28,Table442041[Category],Table13635[[#Headers],[Income]])+SUMIFS(Table4440[Amount],Table4440[Date],S28,Table4440[Category],Table13635[[#Headers],[Income]])</f>
        <v>0</v>
      </c>
      <c r="U28" s="29">
        <f>SUMIFS(Table434[Amount],Table434[Date],S28,Table434[Category],"&lt;&gt;"&amp;Table13635[[#Headers],[Income]])+SUMIFS(Table4440[Amount],Table4440[Date],S28,Table4440[Category],"&lt;&gt;"&amp;Table13635[[#Headers],[Income]])</f>
        <v>0</v>
      </c>
      <c r="V28" s="29">
        <f t="shared" si="1"/>
        <v>3298.88</v>
      </c>
      <c r="W28" s="1">
        <f t="shared" si="2"/>
        <v>3298.880000000001</v>
      </c>
    </row>
    <row r="29" spans="2:23" x14ac:dyDescent="0.2">
      <c r="B29" s="32"/>
      <c r="C29" s="9" t="s">
        <v>20</v>
      </c>
      <c r="D29" s="10">
        <f>SUBTOTAL(109,Table132[Budget])</f>
        <v>0</v>
      </c>
      <c r="E29" s="10">
        <f>SUBTOTAL(109,Table132[Actual])</f>
        <v>0</v>
      </c>
      <c r="F29" s="10">
        <f>SUBTOTAL(109,Table132[Variance])</f>
        <v>0</v>
      </c>
      <c r="G29" s="32"/>
      <c r="H29" s="42"/>
      <c r="J29" s="11"/>
      <c r="K29" s="11"/>
      <c r="L29" s="11"/>
      <c r="M29" s="24"/>
      <c r="N29" s="12"/>
      <c r="O29" s="11"/>
      <c r="Q29" s="42"/>
      <c r="S29" s="30">
        <f t="shared" si="0"/>
        <v>41596</v>
      </c>
      <c r="T29" s="28">
        <f>SUMIFS(Table442041[Amount],Table442041[Date],S29,Table442041[Category],Table13635[[#Headers],[Income]])+SUMIFS(Table4440[Amount],Table4440[Date],S29,Table4440[Category],Table13635[[#Headers],[Income]])</f>
        <v>0</v>
      </c>
      <c r="U29" s="28">
        <f>SUMIFS(Table434[Amount],Table434[Date],S29,Table434[Category],"&lt;&gt;"&amp;Table13635[[#Headers],[Income]])+SUMIFS(Table4440[Amount],Table4440[Date],S29,Table4440[Category],"&lt;&gt;"&amp;Table13635[[#Headers],[Income]])</f>
        <v>0</v>
      </c>
      <c r="V29" s="28">
        <f t="shared" si="1"/>
        <v>3298.88</v>
      </c>
      <c r="W29" s="1">
        <f t="shared" si="2"/>
        <v>3298.880000000001</v>
      </c>
    </row>
    <row r="30" spans="2:23" x14ac:dyDescent="0.2">
      <c r="B30" s="32"/>
      <c r="C30" s="26"/>
      <c r="D30" s="23"/>
      <c r="E30" s="23"/>
      <c r="F30" s="23"/>
      <c r="G30" s="32"/>
      <c r="H30" s="42"/>
      <c r="J30" s="11"/>
      <c r="K30" s="11"/>
      <c r="L30" s="11"/>
      <c r="M30" s="24"/>
      <c r="N30" s="12"/>
      <c r="O30" s="11"/>
      <c r="Q30" s="42"/>
      <c r="S30" s="27">
        <f t="shared" si="0"/>
        <v>41597</v>
      </c>
      <c r="T30" s="29">
        <f>SUMIFS(Table442041[Amount],Table442041[Date],S30,Table442041[Category],Table13635[[#Headers],[Income]])+SUMIFS(Table4440[Amount],Table4440[Date],S30,Table4440[Category],Table13635[[#Headers],[Income]])</f>
        <v>0</v>
      </c>
      <c r="U30" s="29">
        <f>SUMIFS(Table434[Amount],Table434[Date],S30,Table434[Category],"&lt;&gt;"&amp;Table13635[[#Headers],[Income]])+SUMIFS(Table4440[Amount],Table4440[Date],S30,Table4440[Category],"&lt;&gt;"&amp;Table13635[[#Headers],[Income]])</f>
        <v>0</v>
      </c>
      <c r="V30" s="29">
        <f t="shared" si="1"/>
        <v>3298.88</v>
      </c>
      <c r="W30" s="1">
        <f t="shared" si="2"/>
        <v>3298.880000000001</v>
      </c>
    </row>
    <row r="31" spans="2:23" x14ac:dyDescent="0.2">
      <c r="B31" s="32"/>
      <c r="C31" s="37" t="str">
        <f>CONCATENATE(Table1333[[#Headers],[Transportation]]," - Budget &amp; Tracking")</f>
        <v>Transportation - Budget &amp; Tracking</v>
      </c>
      <c r="D31" s="38"/>
      <c r="E31" s="38"/>
      <c r="F31" s="39"/>
      <c r="G31" s="32"/>
      <c r="H31" s="42"/>
      <c r="J31" s="11"/>
      <c r="K31" s="11"/>
      <c r="L31" s="11"/>
      <c r="M31" s="24"/>
      <c r="N31" s="12"/>
      <c r="O31" s="11"/>
      <c r="Q31" s="42"/>
      <c r="S31" s="30">
        <f t="shared" si="0"/>
        <v>41598</v>
      </c>
      <c r="T31" s="28">
        <f>SUMIFS(Table442041[Amount],Table442041[Date],S31,Table442041[Category],Table13635[[#Headers],[Income]])+SUMIFS(Table4440[Amount],Table4440[Date],S31,Table4440[Category],Table13635[[#Headers],[Income]])</f>
        <v>0</v>
      </c>
      <c r="U31" s="28">
        <f>SUMIFS(Table434[Amount],Table434[Date],S31,Table434[Category],"&lt;&gt;"&amp;Table13635[[#Headers],[Income]])+SUMIFS(Table4440[Amount],Table4440[Date],S31,Table4440[Category],"&lt;&gt;"&amp;Table13635[[#Headers],[Income]])</f>
        <v>0</v>
      </c>
      <c r="V31" s="28">
        <f t="shared" si="1"/>
        <v>3298.88</v>
      </c>
      <c r="W31" s="1">
        <f t="shared" si="2"/>
        <v>3298.880000000001</v>
      </c>
    </row>
    <row r="32" spans="2:23" x14ac:dyDescent="0.2">
      <c r="B32" s="32"/>
      <c r="C32" s="31" t="s">
        <v>12</v>
      </c>
      <c r="D32" s="31" t="s">
        <v>1</v>
      </c>
      <c r="E32" s="31" t="s">
        <v>2</v>
      </c>
      <c r="F32" s="31" t="s">
        <v>14</v>
      </c>
      <c r="G32" s="32"/>
      <c r="H32" s="42"/>
      <c r="J32" s="11"/>
      <c r="K32" s="11"/>
      <c r="L32" s="11"/>
      <c r="M32" s="24"/>
      <c r="N32" s="12"/>
      <c r="O32" s="11"/>
      <c r="Q32" s="42"/>
      <c r="S32" s="27">
        <f t="shared" si="0"/>
        <v>41599</v>
      </c>
      <c r="T32" s="29">
        <f>SUMIFS(Table442041[Amount],Table442041[Date],S32,Table442041[Category],Table13635[[#Headers],[Income]])+SUMIFS(Table4440[Amount],Table4440[Date],S32,Table4440[Category],Table13635[[#Headers],[Income]])</f>
        <v>0</v>
      </c>
      <c r="U32" s="29">
        <f>SUMIFS(Table434[Amount],Table434[Date],S32,Table434[Category],"&lt;&gt;"&amp;Table13635[[#Headers],[Income]])+SUMIFS(Table4440[Amount],Table4440[Date],S32,Table4440[Category],"&lt;&gt;"&amp;Table13635[[#Headers],[Income]])</f>
        <v>0</v>
      </c>
      <c r="V32" s="29">
        <f t="shared" si="1"/>
        <v>3298.88</v>
      </c>
      <c r="W32" s="1">
        <f t="shared" si="2"/>
        <v>3298.880000000001</v>
      </c>
    </row>
    <row r="33" spans="2:23" x14ac:dyDescent="0.2">
      <c r="B33" s="32"/>
      <c r="D33" s="2"/>
      <c r="E33" s="2">
        <f>SUMIFS(Table434[Amount],Table434[Category],Table1333[[#Headers],[Transportation]],Table434[Sub-Category],Table1333[[#This Row],[Transportation]])+SUMIFS(Table4440[Amount],Table4440[Category],Table1333[[#Headers],[Transportation]],Table4440[Sub-Category],Table1333[[#This Row],[Transportation]])</f>
        <v>0</v>
      </c>
      <c r="F33" s="3">
        <f>Table1333[[#This Row],[Budget]]-Table1333[[#This Row],[Actual]]</f>
        <v>0</v>
      </c>
      <c r="G33" s="32"/>
      <c r="H33" s="42"/>
      <c r="J33" s="37" t="s">
        <v>44</v>
      </c>
      <c r="K33" s="38"/>
      <c r="L33" s="38"/>
      <c r="M33" s="38"/>
      <c r="N33" s="38"/>
      <c r="O33" s="39"/>
      <c r="Q33" s="42"/>
      <c r="S33" s="30">
        <f t="shared" si="0"/>
        <v>41600</v>
      </c>
      <c r="T33" s="28">
        <f>SUMIFS(Table442041[Amount],Table442041[Date],S33,Table442041[Category],Table13635[[#Headers],[Income]])+SUMIFS(Table4440[Amount],Table4440[Date],S33,Table4440[Category],Table13635[[#Headers],[Income]])</f>
        <v>0</v>
      </c>
      <c r="U33" s="28">
        <f>SUMIFS(Table434[Amount],Table434[Date],S33,Table434[Category],"&lt;&gt;"&amp;Table13635[[#Headers],[Income]])+SUMIFS(Table4440[Amount],Table4440[Date],S33,Table4440[Category],"&lt;&gt;"&amp;Table13635[[#Headers],[Income]])</f>
        <v>0</v>
      </c>
      <c r="V33" s="28">
        <f t="shared" si="1"/>
        <v>3298.88</v>
      </c>
      <c r="W33" s="1">
        <f t="shared" si="2"/>
        <v>3298.880000000001</v>
      </c>
    </row>
    <row r="34" spans="2:23" x14ac:dyDescent="0.2">
      <c r="B34" s="32"/>
      <c r="D34" s="2"/>
      <c r="E34" s="2">
        <f>SUMIFS(Table434[Amount],Table434[Category],Table1333[[#Headers],[Transportation]],Table434[Sub-Category],Table1333[[#This Row],[Transportation]])+SUMIFS(Table4440[Amount],Table4440[Category],Table1333[[#Headers],[Transportation]],Table4440[Sub-Category],Table1333[[#This Row],[Transportation]])</f>
        <v>0</v>
      </c>
      <c r="F34" s="3">
        <f>Table1333[[#This Row],[Budget]]-Table1333[[#This Row],[Actual]]</f>
        <v>0</v>
      </c>
      <c r="G34" s="32"/>
      <c r="H34" s="42"/>
      <c r="J34" s="31" t="s">
        <v>9</v>
      </c>
      <c r="K34" s="31" t="s">
        <v>0</v>
      </c>
      <c r="L34" s="31" t="s">
        <v>13</v>
      </c>
      <c r="M34" s="31" t="s">
        <v>10</v>
      </c>
      <c r="N34" s="31" t="s">
        <v>11</v>
      </c>
      <c r="O34" s="31" t="s">
        <v>16</v>
      </c>
      <c r="Q34" s="42"/>
      <c r="S34" s="27">
        <f t="shared" si="0"/>
        <v>41601</v>
      </c>
      <c r="T34" s="29">
        <f>SUMIFS(Table442041[Amount],Table442041[Date],S34,Table442041[Category],Table13635[[#Headers],[Income]])+SUMIFS(Table4440[Amount],Table4440[Date],S34,Table4440[Category],Table13635[[#Headers],[Income]])</f>
        <v>0</v>
      </c>
      <c r="U34" s="29">
        <f>SUMIFS(Table434[Amount],Table434[Date],S34,Table434[Category],"&lt;&gt;"&amp;Table13635[[#Headers],[Income]])+SUMIFS(Table4440[Amount],Table4440[Date],S34,Table4440[Category],"&lt;&gt;"&amp;Table13635[[#Headers],[Income]])</f>
        <v>0</v>
      </c>
      <c r="V34" s="29">
        <f t="shared" si="1"/>
        <v>3298.88</v>
      </c>
      <c r="W34" s="1">
        <f t="shared" si="2"/>
        <v>3298.880000000001</v>
      </c>
    </row>
    <row r="35" spans="2:23" x14ac:dyDescent="0.2">
      <c r="B35" s="32"/>
      <c r="C35" s="11"/>
      <c r="D35" s="12"/>
      <c r="E35" s="13">
        <f>SUMIFS(Table434[Amount],Table434[Category],Table1333[[#Headers],[Transportation]],Table434[Sub-Category],Table1333[[#This Row],[Transportation]])+SUMIFS(Table4440[Amount],Table4440[Category],Table1333[[#Headers],[Transportation]],Table4440[Sub-Category],Table1333[[#This Row],[Transportation]])</f>
        <v>0</v>
      </c>
      <c r="F35" s="13">
        <f>Table1333[[#This Row],[Budget]]-Table1333[[#This Row],[Actual]]</f>
        <v>0</v>
      </c>
      <c r="G35" s="32"/>
      <c r="H35" s="42"/>
      <c r="M35" s="4"/>
      <c r="N35" s="2"/>
      <c r="Q35" s="42"/>
      <c r="S35" s="30">
        <f t="shared" si="0"/>
        <v>41602</v>
      </c>
      <c r="T35" s="28">
        <f>SUMIFS(Table442041[Amount],Table442041[Date],S35,Table442041[Category],Table13635[[#Headers],[Income]])+SUMIFS(Table4440[Amount],Table4440[Date],S35,Table4440[Category],Table13635[[#Headers],[Income]])</f>
        <v>0</v>
      </c>
      <c r="U35" s="28">
        <f>SUMIFS(Table434[Amount],Table434[Date],S35,Table434[Category],"&lt;&gt;"&amp;Table13635[[#Headers],[Income]])+SUMIFS(Table4440[Amount],Table4440[Date],S35,Table4440[Category],"&lt;&gt;"&amp;Table13635[[#Headers],[Income]])</f>
        <v>0</v>
      </c>
      <c r="V35" s="28">
        <f t="shared" si="1"/>
        <v>3298.88</v>
      </c>
      <c r="W35" s="1">
        <f t="shared" si="2"/>
        <v>3298.880000000001</v>
      </c>
    </row>
    <row r="36" spans="2:23" x14ac:dyDescent="0.2">
      <c r="B36" s="32"/>
      <c r="C36" s="11"/>
      <c r="D36" s="12"/>
      <c r="E36" s="13">
        <f>SUMIFS(Table434[Amount],Table434[Category],Table1333[[#Headers],[Transportation]],Table434[Sub-Category],Table1333[[#This Row],[Transportation]])+SUMIFS(Table4440[Amount],Table4440[Category],Table1333[[#Headers],[Transportation]],Table4440[Sub-Category],Table1333[[#This Row],[Transportation]])</f>
        <v>0</v>
      </c>
      <c r="F36" s="13">
        <f>Table1333[[#This Row],[Budget]]-Table1333[[#This Row],[Actual]]</f>
        <v>0</v>
      </c>
      <c r="G36" s="32"/>
      <c r="H36" s="42"/>
      <c r="M36" s="4"/>
      <c r="N36" s="2"/>
      <c r="Q36" s="42"/>
      <c r="S36" s="27">
        <f t="shared" si="0"/>
        <v>41603</v>
      </c>
      <c r="T36" s="29">
        <f>SUMIFS(Table442041[Amount],Table442041[Date],S36,Table442041[Category],Table13635[[#Headers],[Income]])+SUMIFS(Table4440[Amount],Table4440[Date],S36,Table4440[Category],Table13635[[#Headers],[Income]])</f>
        <v>0</v>
      </c>
      <c r="U36" s="29">
        <f>SUMIFS(Table434[Amount],Table434[Date],S36,Table434[Category],"&lt;&gt;"&amp;Table13635[[#Headers],[Income]])+SUMIFS(Table4440[Amount],Table4440[Date],S36,Table4440[Category],"&lt;&gt;"&amp;Table13635[[#Headers],[Income]])</f>
        <v>0</v>
      </c>
      <c r="V36" s="29">
        <f t="shared" si="1"/>
        <v>3298.88</v>
      </c>
      <c r="W36" s="1">
        <f t="shared" si="2"/>
        <v>3298.880000000001</v>
      </c>
    </row>
    <row r="37" spans="2:23" x14ac:dyDescent="0.2">
      <c r="B37" s="32"/>
      <c r="C37" s="9" t="s">
        <v>20</v>
      </c>
      <c r="D37" s="10">
        <f>SUBTOTAL(109,Table1333[Budget])</f>
        <v>0</v>
      </c>
      <c r="E37" s="10">
        <f>SUBTOTAL(109,Table1333[Actual])</f>
        <v>0</v>
      </c>
      <c r="F37" s="10">
        <f>SUBTOTAL(109,Table1333[Variance])</f>
        <v>0</v>
      </c>
      <c r="G37" s="32"/>
      <c r="H37" s="42"/>
      <c r="M37" s="4"/>
      <c r="N37" s="2"/>
      <c r="Q37" s="42"/>
      <c r="S37" s="30">
        <f t="shared" si="0"/>
        <v>41604</v>
      </c>
      <c r="T37" s="28">
        <f>SUMIFS(Table442041[Amount],Table442041[Date],S37,Table442041[Category],Table13635[[#Headers],[Income]])+SUMIFS(Table4440[Amount],Table4440[Date],S37,Table4440[Category],Table13635[[#Headers],[Income]])</f>
        <v>0</v>
      </c>
      <c r="U37" s="28">
        <f>SUMIFS(Table434[Amount],Table434[Date],S37,Table434[Category],"&lt;&gt;"&amp;Table13635[[#Headers],[Income]])+SUMIFS(Table4440[Amount],Table4440[Date],S37,Table4440[Category],"&lt;&gt;"&amp;Table13635[[#Headers],[Income]])</f>
        <v>0</v>
      </c>
      <c r="V37" s="28">
        <f t="shared" si="1"/>
        <v>3298.88</v>
      </c>
      <c r="W37" s="1">
        <f t="shared" si="2"/>
        <v>3298.880000000001</v>
      </c>
    </row>
    <row r="38" spans="2:23" x14ac:dyDescent="0.2">
      <c r="B38" s="32"/>
      <c r="C38" s="26"/>
      <c r="D38" s="23"/>
      <c r="E38" s="23"/>
      <c r="F38" s="23"/>
      <c r="G38" s="32"/>
      <c r="H38" s="42"/>
      <c r="J38" s="11"/>
      <c r="K38" s="11"/>
      <c r="L38" s="11"/>
      <c r="M38" s="24"/>
      <c r="N38" s="12"/>
      <c r="O38" s="11"/>
      <c r="Q38" s="42"/>
      <c r="S38" s="27">
        <f t="shared" si="0"/>
        <v>41605</v>
      </c>
      <c r="T38" s="29">
        <f>SUMIFS(Table442041[Amount],Table442041[Date],S38,Table442041[Category],Table13635[[#Headers],[Income]])+SUMIFS(Table4440[Amount],Table4440[Date],S38,Table4440[Category],Table13635[[#Headers],[Income]])</f>
        <v>0</v>
      </c>
      <c r="U38" s="29">
        <f>SUMIFS(Table434[Amount],Table434[Date],S38,Table434[Category],"&lt;&gt;"&amp;Table13635[[#Headers],[Income]])+SUMIFS(Table4440[Amount],Table4440[Date],S38,Table4440[Category],"&lt;&gt;"&amp;Table13635[[#Headers],[Income]])</f>
        <v>0</v>
      </c>
      <c r="V38" s="29">
        <f t="shared" si="1"/>
        <v>3298.88</v>
      </c>
      <c r="W38" s="1">
        <f t="shared" si="2"/>
        <v>3298.880000000001</v>
      </c>
    </row>
    <row r="39" spans="2:23" x14ac:dyDescent="0.2">
      <c r="B39" s="32"/>
      <c r="C39" s="37" t="str">
        <f>CONCATENATE(Table1391039[[#Headers],[Bills]]," - Budget &amp; Tracking")</f>
        <v>Bills - Budget &amp; Tracking</v>
      </c>
      <c r="D39" s="38"/>
      <c r="E39" s="38"/>
      <c r="F39" s="39"/>
      <c r="G39" s="32"/>
      <c r="H39" s="42"/>
      <c r="J39" s="11"/>
      <c r="K39" s="11"/>
      <c r="L39" s="11"/>
      <c r="M39" s="24"/>
      <c r="N39" s="12"/>
      <c r="O39" s="11"/>
      <c r="Q39" s="42"/>
      <c r="S39" s="30">
        <f t="shared" si="0"/>
        <v>41606</v>
      </c>
      <c r="T39" s="28">
        <f>SUMIFS(Table442041[Amount],Table442041[Date],S39,Table442041[Category],Table13635[[#Headers],[Income]])+SUMIFS(Table4440[Amount],Table4440[Date],S39,Table4440[Category],Table13635[[#Headers],[Income]])</f>
        <v>0</v>
      </c>
      <c r="U39" s="28">
        <f>SUMIFS(Table434[Amount],Table434[Date],S39,Table434[Category],"&lt;&gt;"&amp;Table13635[[#Headers],[Income]])+SUMIFS(Table4440[Amount],Table4440[Date],S39,Table4440[Category],"&lt;&gt;"&amp;Table13635[[#Headers],[Income]])</f>
        <v>0</v>
      </c>
      <c r="V39" s="28">
        <f t="shared" si="1"/>
        <v>3298.88</v>
      </c>
      <c r="W39" s="1">
        <f t="shared" si="2"/>
        <v>3298.880000000001</v>
      </c>
    </row>
    <row r="40" spans="2:23" x14ac:dyDescent="0.2">
      <c r="B40" s="32"/>
      <c r="C40" s="31" t="s">
        <v>30</v>
      </c>
      <c r="D40" s="31" t="s">
        <v>1</v>
      </c>
      <c r="E40" s="31" t="s">
        <v>2</v>
      </c>
      <c r="F40" s="31" t="s">
        <v>14</v>
      </c>
      <c r="G40" s="32"/>
      <c r="H40" s="42"/>
      <c r="J40" s="11"/>
      <c r="K40" s="11"/>
      <c r="L40" s="11"/>
      <c r="M40" s="24"/>
      <c r="N40" s="12"/>
      <c r="O40" s="11"/>
      <c r="Q40" s="42"/>
      <c r="S40" s="27">
        <f t="shared" si="0"/>
        <v>41607</v>
      </c>
      <c r="T40" s="29">
        <f>SUMIFS(Table442041[Amount],Table442041[Date],S40,Table442041[Category],Table13635[[#Headers],[Income]])+SUMIFS(Table4440[Amount],Table4440[Date],S40,Table4440[Category],Table13635[[#Headers],[Income]])</f>
        <v>0</v>
      </c>
      <c r="U40" s="29">
        <f>SUMIFS(Table434[Amount],Table434[Date],S40,Table434[Category],"&lt;&gt;"&amp;Table13635[[#Headers],[Income]])+SUMIFS(Table4440[Amount],Table4440[Date],S40,Table4440[Category],"&lt;&gt;"&amp;Table13635[[#Headers],[Income]])</f>
        <v>0</v>
      </c>
      <c r="V40" s="29">
        <f t="shared" si="1"/>
        <v>3298.88</v>
      </c>
      <c r="W40" s="1">
        <f t="shared" si="2"/>
        <v>3298.880000000001</v>
      </c>
    </row>
    <row r="41" spans="2:23" x14ac:dyDescent="0.2">
      <c r="B41" s="32"/>
      <c r="D41" s="2"/>
      <c r="E41" s="2">
        <f>SUMIFS(Table434[Amount],Table434[Category],Table1391039[[#Headers],[Bills]],Table434[Sub-Category],Table1391039[[#This Row],[Bills]])+SUMIFS(Table4440[Amount],Table4440[Category],Table1391039[[#Headers],[Bills]],Table4440[Sub-Category],Table1391039[[#This Row],[Bills]])</f>
        <v>0</v>
      </c>
      <c r="F41" s="3">
        <f>Table1391039[[#This Row],[Budget]]-Table1391039[[#This Row],[Actual]]</f>
        <v>0</v>
      </c>
      <c r="G41" s="32"/>
      <c r="H41" s="42"/>
      <c r="Q41" s="42"/>
      <c r="S41" s="30">
        <f t="shared" si="0"/>
        <v>41608</v>
      </c>
      <c r="T41" s="28">
        <f>SUMIFS(Table442041[Amount],Table442041[Date],S41,Table442041[Category],Table13635[[#Headers],[Income]])+SUMIFS(Table4440[Amount],Table4440[Date],S41,Table4440[Category],Table13635[[#Headers],[Income]])</f>
        <v>0</v>
      </c>
      <c r="U41" s="28">
        <f>SUMIFS(Table434[Amount],Table434[Date],S41,Table434[Category],"&lt;&gt;"&amp;Table13635[[#Headers],[Income]])+SUMIFS(Table4440[Amount],Table4440[Date],S41,Table4440[Category],"&lt;&gt;"&amp;Table13635[[#Headers],[Income]])</f>
        <v>0</v>
      </c>
      <c r="V41" s="28">
        <f t="shared" si="1"/>
        <v>3298.88</v>
      </c>
      <c r="W41" s="1">
        <f t="shared" si="2"/>
        <v>3298.880000000001</v>
      </c>
    </row>
    <row r="42" spans="2:23" x14ac:dyDescent="0.2">
      <c r="B42" s="32"/>
      <c r="D42" s="2"/>
      <c r="E42" s="2">
        <f>SUMIFS(Table434[Amount],Table434[Category],Table1391039[[#Headers],[Bills]],Table434[Sub-Category],Table1391039[[#This Row],[Bills]])+SUMIFS(Table4440[Amount],Table4440[Category],Table1391039[[#Headers],[Bills]],Table4440[Sub-Category],Table1391039[[#This Row],[Bills]])</f>
        <v>0</v>
      </c>
      <c r="F42" s="3">
        <f>Table1391039[[#This Row],[Budget]]-Table1391039[[#This Row],[Actual]]</f>
        <v>0</v>
      </c>
      <c r="G42" s="32"/>
      <c r="H42" s="42"/>
      <c r="Q42" s="42"/>
      <c r="S42" s="27">
        <f t="shared" si="0"/>
        <v>41609</v>
      </c>
      <c r="T42" s="29">
        <f>SUMIFS(Table442041[Amount],Table442041[Date],S42,Table442041[Category],Table13635[[#Headers],[Income]])+SUMIFS(Table4440[Amount],Table4440[Date],S42,Table4440[Category],Table13635[[#Headers],[Income]])</f>
        <v>0</v>
      </c>
      <c r="U42" s="29">
        <f>SUMIFS(Table434[Amount],Table434[Date],S42,Table434[Category],"&lt;&gt;"&amp;Table13635[[#Headers],[Income]])+SUMIFS(Table4440[Amount],Table4440[Date],S42,Table4440[Category],"&lt;&gt;"&amp;Table13635[[#Headers],[Income]])</f>
        <v>0</v>
      </c>
      <c r="V42" s="29">
        <f t="shared" si="1"/>
        <v>3298.88</v>
      </c>
      <c r="W42" s="1">
        <f t="shared" si="2"/>
        <v>3298.880000000001</v>
      </c>
    </row>
    <row r="43" spans="2:23" x14ac:dyDescent="0.2">
      <c r="B43" s="32"/>
      <c r="C43" s="11"/>
      <c r="D43" s="12"/>
      <c r="E43" s="13">
        <f>SUMIFS(Table434[Amount],Table434[Category],Table1391039[[#Headers],[Bills]],Table434[Sub-Category],Table1391039[[#This Row],[Bills]])+SUMIFS(Table4440[Amount],Table4440[Category],Table1391039[[#Headers],[Bills]],Table4440[Sub-Category],Table1391039[[#This Row],[Bills]])</f>
        <v>0</v>
      </c>
      <c r="F43" s="13">
        <f>Table1391039[[#This Row],[Budget]]-Table1391039[[#This Row],[Actual]]</f>
        <v>0</v>
      </c>
      <c r="G43" s="32"/>
      <c r="H43" s="42"/>
      <c r="Q43" s="42"/>
      <c r="S43" s="8"/>
    </row>
    <row r="44" spans="2:23" x14ac:dyDescent="0.2">
      <c r="B44" s="32"/>
      <c r="C44" s="11"/>
      <c r="D44" s="12"/>
      <c r="E44" s="13">
        <f>SUMIFS(Table434[Amount],Table434[Category],Table1391039[[#Headers],[Bills]],Table434[Sub-Category],Table1391039[[#This Row],[Bills]])+SUMIFS(Table4440[Amount],Table4440[Category],Table1391039[[#Headers],[Bills]],Table4440[Sub-Category],Table1391039[[#This Row],[Bills]])</f>
        <v>0</v>
      </c>
      <c r="F44" s="13">
        <f>Table1391039[[#This Row],[Budget]]-Table1391039[[#This Row],[Actual]]</f>
        <v>0</v>
      </c>
      <c r="G44" s="32"/>
      <c r="H44" s="42"/>
      <c r="Q44" s="42"/>
      <c r="S44" s="8"/>
    </row>
    <row r="45" spans="2:23" x14ac:dyDescent="0.2">
      <c r="B45" s="32"/>
      <c r="C45" s="11"/>
      <c r="D45" s="12"/>
      <c r="E45" s="13">
        <f>SUMIFS(Table434[Amount],Table434[Category],Table1391039[[#Headers],[Bills]],Table434[Sub-Category],Table1391039[[#This Row],[Bills]])+SUMIFS(Table4440[Amount],Table4440[Category],Table1391039[[#Headers],[Bills]],Table4440[Sub-Category],Table1391039[[#This Row],[Bills]])</f>
        <v>0</v>
      </c>
      <c r="F45" s="13">
        <f>Table1391039[[#This Row],[Budget]]-Table1391039[[#This Row],[Actual]]</f>
        <v>0</v>
      </c>
      <c r="G45" s="32"/>
      <c r="H45" s="42"/>
      <c r="Q45" s="42"/>
    </row>
    <row r="46" spans="2:23" x14ac:dyDescent="0.2">
      <c r="B46" s="32"/>
      <c r="C46" s="9" t="s">
        <v>20</v>
      </c>
      <c r="D46" s="10">
        <f>SUBTOTAL(109,Table1391039[Budget])</f>
        <v>0</v>
      </c>
      <c r="E46" s="10">
        <f>SUBTOTAL(109,Table1391039[Actual])</f>
        <v>0</v>
      </c>
      <c r="F46" s="10">
        <f>SUBTOTAL(109,Table1391039[Variance])</f>
        <v>0</v>
      </c>
      <c r="G46" s="32"/>
      <c r="H46" s="42"/>
      <c r="Q46" s="42"/>
    </row>
    <row r="47" spans="2:23" x14ac:dyDescent="0.2">
      <c r="B47" s="32"/>
      <c r="C47" s="20"/>
      <c r="D47" s="21"/>
      <c r="E47" s="21"/>
      <c r="F47" s="22"/>
      <c r="G47" s="32"/>
      <c r="H47" s="42"/>
      <c r="Q47" s="42"/>
    </row>
    <row r="48" spans="2:23" x14ac:dyDescent="0.2">
      <c r="B48" s="32"/>
      <c r="C48" s="37" t="str">
        <f>CONCATENATE(Table13736[[#Headers],[Living]]," - Budget &amp; Tracking")</f>
        <v>Living - Budget &amp; Tracking</v>
      </c>
      <c r="D48" s="38"/>
      <c r="E48" s="38"/>
      <c r="F48" s="39"/>
      <c r="G48" s="32"/>
      <c r="H48" s="42"/>
      <c r="Q48" s="42"/>
    </row>
    <row r="49" spans="2:17" x14ac:dyDescent="0.2">
      <c r="B49" s="32"/>
      <c r="C49" s="31" t="s">
        <v>25</v>
      </c>
      <c r="D49" s="31" t="s">
        <v>1</v>
      </c>
      <c r="E49" s="31" t="s">
        <v>2</v>
      </c>
      <c r="F49" s="31" t="s">
        <v>14</v>
      </c>
      <c r="G49" s="32"/>
      <c r="H49" s="42"/>
      <c r="Q49" s="42"/>
    </row>
    <row r="50" spans="2:17" x14ac:dyDescent="0.2">
      <c r="B50" s="32"/>
      <c r="D50" s="2"/>
      <c r="E50" s="2">
        <f>SUMIFS(Table434[Amount],Table434[Category],Table13736[[#Headers],[Living]],Table434[Sub-Category],Table13736[[#This Row],[Living]])+SUMIFS(Table4440[Amount],Table4440[Category],Table13736[[#Headers],[Living]],Table4440[Sub-Category],Table13736[[#This Row],[Living]])</f>
        <v>0</v>
      </c>
      <c r="F50" s="3">
        <f>Table13736[[#This Row],[Budget]]-Table13736[[#This Row],[Actual]]</f>
        <v>0</v>
      </c>
      <c r="G50" s="32"/>
      <c r="H50" s="42"/>
      <c r="Q50" s="42"/>
    </row>
    <row r="51" spans="2:17" x14ac:dyDescent="0.2">
      <c r="B51" s="32"/>
      <c r="D51" s="2"/>
      <c r="E51" s="2">
        <f>SUMIFS(Table434[Amount],Table434[Category],Table13736[[#Headers],[Living]],Table434[Sub-Category],Table13736[[#This Row],[Living]])+SUMIFS(Table4440[Amount],Table4440[Category],Table13736[[#Headers],[Living]],Table4440[Sub-Category],Table13736[[#This Row],[Living]])</f>
        <v>0</v>
      </c>
      <c r="F51" s="3">
        <f>Table13736[[#This Row],[Budget]]-Table13736[[#This Row],[Actual]]</f>
        <v>0</v>
      </c>
      <c r="G51" s="32"/>
      <c r="H51" s="42"/>
      <c r="Q51" s="42"/>
    </row>
    <row r="52" spans="2:17" x14ac:dyDescent="0.2">
      <c r="B52" s="32"/>
      <c r="C52" s="11"/>
      <c r="D52" s="12"/>
      <c r="E52" s="13">
        <f>SUMIFS(Table434[Amount],Table434[Category],Table13736[[#Headers],[Living]],Table434[Sub-Category],Table13736[[#This Row],[Living]])+SUMIFS(Table4440[Amount],Table4440[Category],Table13736[[#Headers],[Living]],Table4440[Sub-Category],Table13736[[#This Row],[Living]])</f>
        <v>0</v>
      </c>
      <c r="F52" s="13">
        <f>Table13736[[#This Row],[Budget]]-Table13736[[#This Row],[Actual]]</f>
        <v>0</v>
      </c>
      <c r="G52" s="32"/>
      <c r="H52" s="42"/>
      <c r="Q52" s="42"/>
    </row>
    <row r="53" spans="2:17" x14ac:dyDescent="0.2">
      <c r="B53" s="32"/>
      <c r="C53" s="11"/>
      <c r="D53" s="12"/>
      <c r="E53" s="13">
        <f>SUMIFS(Table434[Amount],Table434[Category],Table13736[[#Headers],[Living]],Table434[Sub-Category],Table13736[[#This Row],[Living]])+SUMIFS(Table4440[Amount],Table4440[Category],Table13736[[#Headers],[Living]],Table4440[Sub-Category],Table13736[[#This Row],[Living]])</f>
        <v>0</v>
      </c>
      <c r="F53" s="13">
        <f>Table13736[[#This Row],[Budget]]-Table13736[[#This Row],[Actual]]</f>
        <v>0</v>
      </c>
      <c r="G53" s="32"/>
      <c r="H53" s="42"/>
      <c r="Q53" s="42"/>
    </row>
    <row r="54" spans="2:17" x14ac:dyDescent="0.2">
      <c r="B54" s="32"/>
      <c r="C54" s="9" t="s">
        <v>20</v>
      </c>
      <c r="D54" s="10">
        <f>SUBTOTAL(109,Table13736[Budget])</f>
        <v>0</v>
      </c>
      <c r="E54" s="10">
        <f>SUBTOTAL(109,Table13736[Actual])</f>
        <v>0</v>
      </c>
      <c r="F54" s="10">
        <f>SUBTOTAL(109,Table13736[Variance])</f>
        <v>0</v>
      </c>
      <c r="G54" s="32"/>
      <c r="H54" s="42"/>
      <c r="Q54" s="42"/>
    </row>
    <row r="55" spans="2:17" x14ac:dyDescent="0.2">
      <c r="B55" s="32"/>
      <c r="C55" s="20"/>
      <c r="D55" s="21"/>
      <c r="E55" s="21"/>
      <c r="F55" s="22"/>
      <c r="G55" s="32"/>
      <c r="H55" s="42"/>
      <c r="Q55" s="42"/>
    </row>
    <row r="56" spans="2:17" x14ac:dyDescent="0.2">
      <c r="B56" s="32"/>
      <c r="C56" s="37" t="str">
        <f>CONCATENATE(Table13837[[#Headers],[Entertainment]]," - Budget &amp; Tracking")</f>
        <v>Entertainment - Budget &amp; Tracking</v>
      </c>
      <c r="D56" s="38"/>
      <c r="E56" s="38"/>
      <c r="F56" s="39"/>
      <c r="G56" s="32"/>
      <c r="H56" s="42"/>
      <c r="Q56" s="42"/>
    </row>
    <row r="57" spans="2:17" x14ac:dyDescent="0.2">
      <c r="B57" s="32"/>
      <c r="C57" s="31" t="s">
        <v>24</v>
      </c>
      <c r="D57" s="31" t="s">
        <v>1</v>
      </c>
      <c r="E57" s="31" t="s">
        <v>2</v>
      </c>
      <c r="F57" s="31" t="s">
        <v>14</v>
      </c>
      <c r="G57" s="32"/>
      <c r="H57" s="42"/>
      <c r="Q57" s="42"/>
    </row>
    <row r="58" spans="2:17" x14ac:dyDescent="0.2">
      <c r="B58" s="32"/>
      <c r="D58" s="2"/>
      <c r="E58" s="2">
        <f>SUMIFS(Table434[Amount],Table434[Category],Table13837[[#Headers],[Entertainment]],Table434[Sub-Category],Table13837[[#This Row],[Entertainment]])+SUMIFS(Table4440[Amount],Table4440[Category],Table13837[[#Headers],[Entertainment]],Table4440[Sub-Category],Table13837[[#This Row],[Entertainment]])</f>
        <v>0</v>
      </c>
      <c r="F58" s="3">
        <f>Table13837[[#This Row],[Budget]]-Table13837[[#This Row],[Actual]]</f>
        <v>0</v>
      </c>
      <c r="G58" s="32"/>
      <c r="H58" s="42"/>
      <c r="Q58" s="42"/>
    </row>
    <row r="59" spans="2:17" x14ac:dyDescent="0.2">
      <c r="B59" s="33"/>
      <c r="D59" s="2"/>
      <c r="E59" s="2">
        <f>SUMIFS(Table434[Amount],Table434[Category],Table13837[[#Headers],[Entertainment]],Table434[Sub-Category],Table13837[[#This Row],[Entertainment]])+SUMIFS(Table4440[Amount],Table4440[Category],Table13837[[#Headers],[Entertainment]],Table4440[Sub-Category],Table13837[[#This Row],[Entertainment]])</f>
        <v>0</v>
      </c>
      <c r="F59" s="3">
        <f>Table13837[[#This Row],[Budget]]-Table13837[[#This Row],[Actual]]</f>
        <v>0</v>
      </c>
      <c r="G59" s="33"/>
      <c r="H59" s="42"/>
      <c r="Q59" s="42"/>
    </row>
    <row r="60" spans="2:17" x14ac:dyDescent="0.2">
      <c r="C60" s="9" t="s">
        <v>20</v>
      </c>
      <c r="D60" s="10">
        <f>SUBTOTAL(109,Table13837[Budget])</f>
        <v>0</v>
      </c>
      <c r="E60" s="10">
        <f>SUBTOTAL(109,Table13837[Actual])</f>
        <v>0</v>
      </c>
      <c r="F60" s="10">
        <f>SUBTOTAL(109,Table13837[Variance])</f>
        <v>0</v>
      </c>
      <c r="H60" s="42"/>
      <c r="Q60" s="42"/>
    </row>
    <row r="61" spans="2:17" x14ac:dyDescent="0.2">
      <c r="C61" s="26"/>
      <c r="D61" s="23"/>
      <c r="E61" s="23"/>
      <c r="F61" s="23"/>
      <c r="H61" s="42"/>
      <c r="Q61" s="42"/>
    </row>
    <row r="62" spans="2:17" x14ac:dyDescent="0.2">
      <c r="C62" s="37" t="str">
        <f>CONCATENATE(Table13938[[#Headers],[Misc.]]," - Budget &amp; Tracking")</f>
        <v>Misc. - Budget &amp; Tracking</v>
      </c>
      <c r="D62" s="38"/>
      <c r="E62" s="38"/>
      <c r="F62" s="39"/>
      <c r="H62" s="42"/>
      <c r="Q62" s="42"/>
    </row>
    <row r="63" spans="2:17" x14ac:dyDescent="0.2">
      <c r="C63" s="31" t="s">
        <v>27</v>
      </c>
      <c r="D63" s="31" t="s">
        <v>1</v>
      </c>
      <c r="E63" s="31" t="s">
        <v>2</v>
      </c>
      <c r="F63" s="31" t="s">
        <v>14</v>
      </c>
      <c r="H63" s="42"/>
      <c r="Q63" s="42"/>
    </row>
    <row r="64" spans="2:17" x14ac:dyDescent="0.2">
      <c r="C64" s="11"/>
      <c r="D64" s="12"/>
      <c r="E64" s="13">
        <f>SUMIFS(Table434[Amount],Table434[Category],Table13938[[#Headers],[Misc.]],Table434[Sub-Category],Table13938[[#This Row],[Misc.]])+SUMIFS(Table4440[Amount],Table4440[Category],Table13938[[#Headers],[Misc.]],Table4440[Sub-Category],Table13938[[#This Row],[Misc.]])</f>
        <v>0</v>
      </c>
      <c r="F64" s="13">
        <f>Table13938[[#This Row],[Budget]]-Table13938[[#This Row],[Actual]]</f>
        <v>0</v>
      </c>
      <c r="H64" s="42"/>
      <c r="Q64" s="42"/>
    </row>
    <row r="65" spans="3:17" x14ac:dyDescent="0.2">
      <c r="C65" s="11"/>
      <c r="D65" s="12"/>
      <c r="E65" s="13">
        <f>SUMIFS(Table434[Amount],Table434[Category],Table13938[[#Headers],[Misc.]],Table434[Sub-Category],Table13938[[#This Row],[Misc.]])+SUMIFS(Table4440[Amount],Table4440[Category],Table13938[[#Headers],[Misc.]],Table4440[Sub-Category],Table13938[[#This Row],[Misc.]])</f>
        <v>0</v>
      </c>
      <c r="F65" s="13">
        <f>Table13938[[#This Row],[Budget]]-Table13938[[#This Row],[Actual]]</f>
        <v>0</v>
      </c>
      <c r="H65" s="42"/>
      <c r="Q65" s="42"/>
    </row>
    <row r="66" spans="3:17" x14ac:dyDescent="0.2">
      <c r="C66" s="9" t="s">
        <v>20</v>
      </c>
      <c r="D66" s="10">
        <f>SUBTOTAL(109,Table13938[Budget])</f>
        <v>0</v>
      </c>
      <c r="E66" s="10">
        <f>SUBTOTAL(109,Table13938[Actual])</f>
        <v>0</v>
      </c>
      <c r="F66" s="10">
        <f>SUBTOTAL(109,Table13938[Variance])</f>
        <v>0</v>
      </c>
      <c r="H66" s="42"/>
      <c r="Q66" s="42"/>
    </row>
    <row r="67" spans="3:17" x14ac:dyDescent="0.2">
      <c r="C67" s="26"/>
      <c r="D67" s="23"/>
      <c r="E67" s="23"/>
      <c r="F67" s="23"/>
    </row>
    <row r="68" spans="3:17" x14ac:dyDescent="0.2">
      <c r="C68" s="33"/>
      <c r="D68" s="34"/>
      <c r="E68" s="34"/>
      <c r="F68" s="34"/>
    </row>
  </sheetData>
  <mergeCells count="1">
    <mergeCell ref="C1:F1"/>
  </mergeCells>
  <conditionalFormatting sqref="F33:F36">
    <cfRule type="iconSet" priority="23">
      <iconSet iconSet="3Symbols">
        <cfvo type="percent" val="0"/>
        <cfvo type="num" val="0"/>
        <cfvo type="num" val="10"/>
      </iconSet>
    </cfRule>
  </conditionalFormatting>
  <conditionalFormatting sqref="F50:F53">
    <cfRule type="iconSet" priority="21">
      <iconSet iconSet="3Symbols">
        <cfvo type="percent" val="0"/>
        <cfvo type="num" val="0"/>
        <cfvo type="num" val="10"/>
      </iconSet>
    </cfRule>
  </conditionalFormatting>
  <conditionalFormatting sqref="F58:F59">
    <cfRule type="iconSet" priority="20">
      <iconSet iconSet="3Symbols">
        <cfvo type="percent" val="0"/>
        <cfvo type="num" val="0"/>
        <cfvo type="num" val="10"/>
      </iconSet>
    </cfRule>
  </conditionalFormatting>
  <conditionalFormatting sqref="F41:F45">
    <cfRule type="iconSet" priority="19">
      <iconSet iconSet="3Symbols">
        <cfvo type="percent" val="0"/>
        <cfvo type="num" val="0"/>
        <cfvo type="num" val="10"/>
      </iconSet>
    </cfRule>
  </conditionalFormatting>
  <conditionalFormatting sqref="D6:E6">
    <cfRule type="iconSet" priority="18">
      <iconSet iconSet="3Symbols">
        <cfvo type="percent" val="0"/>
        <cfvo type="num" val="0" gte="0"/>
        <cfvo type="num" val="10"/>
      </iconSet>
    </cfRule>
  </conditionalFormatting>
  <conditionalFormatting sqref="F3:F6">
    <cfRule type="iconSet" priority="17">
      <iconSet iconSet="3Arrows">
        <cfvo type="percent" val="0"/>
        <cfvo type="num" val="-50"/>
        <cfvo type="num" val="0" gte="0"/>
      </iconSet>
    </cfRule>
  </conditionalFormatting>
  <conditionalFormatting sqref="F20:F28">
    <cfRule type="iconSet" priority="24">
      <iconSet iconSet="3Symbols">
        <cfvo type="percent" val="0"/>
        <cfvo type="num" val="0"/>
        <cfvo type="num" val="10"/>
      </iconSet>
    </cfRule>
  </conditionalFormatting>
  <conditionalFormatting sqref="S12">
    <cfRule type="cellIs" dxfId="159" priority="16" operator="equal">
      <formula>TODAY()</formula>
    </cfRule>
  </conditionalFormatting>
  <conditionalFormatting sqref="T12 T20:U42">
    <cfRule type="expression" dxfId="158" priority="15">
      <formula>IF($S12=TODAY(),TRUE)</formula>
    </cfRule>
  </conditionalFormatting>
  <conditionalFormatting sqref="U12">
    <cfRule type="expression" dxfId="157" priority="14">
      <formula>IF($S12=TODAY(),TRUE)</formula>
    </cfRule>
  </conditionalFormatting>
  <conditionalFormatting sqref="V12 V20:V42">
    <cfRule type="expression" dxfId="156" priority="13">
      <formula>IF($S12=TODAY(),TRUE)</formula>
    </cfRule>
  </conditionalFormatting>
  <conditionalFormatting sqref="S13:S15">
    <cfRule type="cellIs" dxfId="155" priority="12" operator="equal">
      <formula>TODAY()</formula>
    </cfRule>
  </conditionalFormatting>
  <conditionalFormatting sqref="T13:T15">
    <cfRule type="expression" dxfId="154" priority="11">
      <formula>IF($S13=TODAY(),TRUE)</formula>
    </cfRule>
  </conditionalFormatting>
  <conditionalFormatting sqref="U13:U15">
    <cfRule type="expression" dxfId="153" priority="10">
      <formula>IF($S13=TODAY(),TRUE)</formula>
    </cfRule>
  </conditionalFormatting>
  <conditionalFormatting sqref="V13:V15">
    <cfRule type="expression" dxfId="152" priority="9">
      <formula>IF($S13=TODAY(),TRUE)</formula>
    </cfRule>
  </conditionalFormatting>
  <conditionalFormatting sqref="S16 S20 S24 S28 S32 S36 S40">
    <cfRule type="cellIs" dxfId="151" priority="8" operator="equal">
      <formula>TODAY()</formula>
    </cfRule>
  </conditionalFormatting>
  <conditionalFormatting sqref="T16">
    <cfRule type="expression" dxfId="150" priority="7">
      <formula>IF($S16=TODAY(),TRUE)</formula>
    </cfRule>
  </conditionalFormatting>
  <conditionalFormatting sqref="U16">
    <cfRule type="expression" dxfId="149" priority="6">
      <formula>IF($S16=TODAY(),TRUE)</formula>
    </cfRule>
  </conditionalFormatting>
  <conditionalFormatting sqref="V16">
    <cfRule type="expression" dxfId="148" priority="5">
      <formula>IF($S16=TODAY(),TRUE)</formula>
    </cfRule>
  </conditionalFormatting>
  <conditionalFormatting sqref="S17:S19 S21:S23 S25:S27 S29:S31 S33:S35 S37:S39 S41:S42">
    <cfRule type="cellIs" dxfId="147" priority="4" operator="equal">
      <formula>TODAY()</formula>
    </cfRule>
  </conditionalFormatting>
  <conditionalFormatting sqref="T17:T19">
    <cfRule type="expression" dxfId="146" priority="3">
      <formula>IF($S17=TODAY(),TRUE)</formula>
    </cfRule>
  </conditionalFormatting>
  <conditionalFormatting sqref="U17:U19">
    <cfRule type="expression" dxfId="145" priority="2">
      <formula>IF($S17=TODAY(),TRUE)</formula>
    </cfRule>
  </conditionalFormatting>
  <conditionalFormatting sqref="V17:V19">
    <cfRule type="expression" dxfId="144" priority="1">
      <formula>IF($S17=TODAY(),TRUE)</formula>
    </cfRule>
  </conditionalFormatting>
  <conditionalFormatting sqref="F66:F68">
    <cfRule type="iconSet" priority="25">
      <iconSet iconSet="3Symbols">
        <cfvo type="percent" val="0"/>
        <cfvo type="num" val="0" gte="0"/>
        <cfvo type="num" val="10"/>
      </iconSet>
    </cfRule>
  </conditionalFormatting>
  <conditionalFormatting sqref="F60:F61">
    <cfRule type="iconSet" priority="26">
      <iconSet iconSet="3Symbols">
        <cfvo type="percent" val="0"/>
        <cfvo type="num" val="0" gte="0"/>
        <cfvo type="num" val="10"/>
      </iconSet>
    </cfRule>
  </conditionalFormatting>
  <conditionalFormatting sqref="F54:F55">
    <cfRule type="iconSet" priority="27">
      <iconSet iconSet="3Symbols">
        <cfvo type="percent" val="0"/>
        <cfvo type="num" val="0" gte="0"/>
        <cfvo type="num" val="10" gte="0"/>
      </iconSet>
    </cfRule>
  </conditionalFormatting>
  <conditionalFormatting sqref="F46:F47">
    <cfRule type="iconSet" priority="28">
      <iconSet iconSet="3Symbols">
        <cfvo type="percent" val="0"/>
        <cfvo type="num" val="0" gte="0"/>
        <cfvo type="num" val="10"/>
      </iconSet>
    </cfRule>
  </conditionalFormatting>
  <conditionalFormatting sqref="F37:F38">
    <cfRule type="iconSet" priority="29">
      <iconSet iconSet="3Symbols">
        <cfvo type="percent" val="0"/>
        <cfvo type="num" val="0" gte="0"/>
        <cfvo type="num" val="10"/>
      </iconSet>
    </cfRule>
  </conditionalFormatting>
  <conditionalFormatting sqref="F29:F30">
    <cfRule type="iconSet" priority="30">
      <iconSet iconSet="3Symbols">
        <cfvo type="percent" val="0"/>
        <cfvo type="num" val="0" gte="0"/>
        <cfvo type="num" val="10"/>
      </iconSet>
    </cfRule>
  </conditionalFormatting>
  <conditionalFormatting sqref="F64:F65">
    <cfRule type="iconSet" priority="32">
      <iconSet iconSet="3Symbols">
        <cfvo type="percent" val="0"/>
        <cfvo type="num" val="0"/>
        <cfvo type="num" val="10"/>
      </iconSet>
    </cfRule>
  </conditionalFormatting>
  <dataValidations count="3">
    <dataValidation type="list" allowBlank="1" showInputMessage="1" showErrorMessage="1" sqref="O35:O40 O19:O32 O12:O16">
      <formula1>$U$2:$U$4</formula1>
    </dataValidation>
    <dataValidation type="list" allowBlank="1" showInputMessage="1" showErrorMessage="1" sqref="K35:K40 K19:K32 K12:K16">
      <formula1>$R$2:$R$8</formula1>
    </dataValidation>
    <dataValidation type="list" allowBlank="1" showInputMessage="1" showErrorMessage="1" sqref="L35:L40 L12:L16 L19:L32">
      <formula1>INDIRECT(K12)</formula1>
    </dataValidation>
  </dataValidations>
  <printOptions horizontalCentered="1"/>
  <pageMargins left="0.2" right="0.2" top="0.25" bottom="0.25" header="0.3" footer="0.3"/>
  <pageSetup scale="76" orientation="landscape" r:id="rId1"/>
  <drawing r:id="rId2"/>
  <tableParts count="10">
    <tablePart r:id="rId3"/>
    <tablePart r:id="rId4"/>
    <tablePart r:id="rId5"/>
    <tablePart r:id="rId6"/>
    <tablePart r:id="rId7"/>
    <tablePart r:id="rId8"/>
    <tablePart r:id="rId9"/>
    <tablePart r:id="rId10"/>
    <tablePart r:id="rId11"/>
    <tablePart r:id="rId12"/>
  </tableParts>
  <extLst>
    <ext xmlns:x14="http://schemas.microsoft.com/office/spreadsheetml/2009/9/main" uri="{78C0D931-6437-407d-A8EE-F0AAD7539E65}">
      <x14:conditionalFormattings>
        <x14:conditionalFormatting xmlns:xm="http://schemas.microsoft.com/office/excel/2006/main">
          <x14:cfRule type="iconSet" priority="22" id="{15F78F7F-F27B-4375-9162-95E28026C12E}">
            <x14:iconSet iconSet="3Symbols" custom="1">
              <x14:cfvo type="percent">
                <xm:f>0</xm:f>
              </x14:cfvo>
              <x14:cfvo type="num">
                <xm:f>0</xm:f>
              </x14:cfvo>
              <x14:cfvo type="num">
                <xm:f>10</xm:f>
              </x14:cfvo>
              <x14:cfIcon iconSet="3Symbols" iconId="0"/>
              <x14:cfIcon iconSet="3Symbols" iconId="1"/>
              <x14:cfIcon iconSet="3Symbols" iconId="2"/>
            </x14:iconSet>
          </x14:cfRule>
          <xm:sqref>F12:F15</xm:sqref>
        </x14:conditionalFormatting>
        <x14:conditionalFormatting xmlns:xm="http://schemas.microsoft.com/office/excel/2006/main">
          <x14:cfRule type="iconSet" priority="31" id="{E171106C-3CA2-4CB5-9FB3-1902A992BB3B}">
            <x14:iconSet iconSet="3Symbols" custom="1">
              <x14:cfvo type="percent">
                <xm:f>0</xm:f>
              </x14:cfvo>
              <x14:cfvo type="num" gte="0">
                <xm:f>0</xm:f>
              </x14:cfvo>
              <x14:cfvo type="num">
                <xm:f>10</xm:f>
              </x14:cfvo>
              <x14:cfIcon iconSet="3Symbols" iconId="0"/>
              <x14:cfIcon iconSet="3Symbols" iconId="1"/>
              <x14:cfIcon iconSet="3Symbols" iconId="2"/>
            </x14:iconSet>
          </x14:cfRule>
          <xm:sqref>F16:F17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8"/>
  <sheetViews>
    <sheetView showGridLines="0" zoomScaleNormal="100" workbookViewId="0">
      <selection activeCell="C1" sqref="C1:F1"/>
    </sheetView>
  </sheetViews>
  <sheetFormatPr defaultColWidth="0" defaultRowHeight="12" x14ac:dyDescent="0.2"/>
  <cols>
    <col min="1" max="2" width="0.7109375" style="1" customWidth="1"/>
    <col min="3" max="3" width="15" style="1" bestFit="1" customWidth="1"/>
    <col min="4" max="6" width="12.85546875" style="1" customWidth="1"/>
    <col min="7" max="7" width="0.85546875" style="1" customWidth="1"/>
    <col min="8" max="8" width="0.28515625" style="1" customWidth="1"/>
    <col min="9" max="9" width="0.85546875" style="1" customWidth="1"/>
    <col min="10" max="10" width="24.42578125" style="1" bestFit="1" customWidth="1"/>
    <col min="11" max="11" width="12.140625" style="1" bestFit="1" customWidth="1"/>
    <col min="12" max="12" width="14.140625" style="1" bestFit="1" customWidth="1"/>
    <col min="13" max="13" width="8.5703125" style="1" bestFit="1" customWidth="1"/>
    <col min="14" max="14" width="9.7109375" style="1" bestFit="1" customWidth="1"/>
    <col min="15" max="15" width="8.28515625" style="1" bestFit="1" customWidth="1"/>
    <col min="16" max="16" width="0.85546875" style="1" customWidth="1"/>
    <col min="17" max="17" width="0.28515625" style="1" customWidth="1"/>
    <col min="18" max="18" width="0.85546875" style="1" customWidth="1"/>
    <col min="19" max="19" width="10.28515625" style="1" bestFit="1" customWidth="1"/>
    <col min="20" max="22" width="9.5703125" style="1" customWidth="1"/>
    <col min="23" max="23" width="0.7109375" style="1" customWidth="1"/>
    <col min="24" max="24" width="0.7109375" style="1" hidden="1" customWidth="1"/>
    <col min="25" max="25" width="12.140625" style="1" hidden="1" customWidth="1"/>
    <col min="26" max="27" width="4" style="1" hidden="1" customWidth="1"/>
    <col min="28" max="16384" width="9.140625" style="1" hidden="1"/>
  </cols>
  <sheetData>
    <row r="1" spans="2:23" ht="26.25" x14ac:dyDescent="0.4">
      <c r="C1" s="61">
        <f>DATE(YEAR(Mo.3!C1),MONTH(Mo.3!C1)+1,DAY(Mo.3!C1))</f>
        <v>41609</v>
      </c>
      <c r="D1" s="61"/>
      <c r="E1" s="61"/>
      <c r="F1" s="61"/>
      <c r="R1" s="45" t="s">
        <v>0</v>
      </c>
      <c r="S1" s="45" t="s">
        <v>1</v>
      </c>
      <c r="T1" s="45" t="s">
        <v>2</v>
      </c>
      <c r="U1" s="45" t="s">
        <v>16</v>
      </c>
      <c r="V1" s="45" t="s">
        <v>45</v>
      </c>
    </row>
    <row r="2" spans="2:23" x14ac:dyDescent="0.2">
      <c r="D2" s="18" t="s">
        <v>1</v>
      </c>
      <c r="E2" s="19" t="s">
        <v>2</v>
      </c>
      <c r="F2" s="19" t="s">
        <v>14</v>
      </c>
      <c r="R2" s="45" t="str">
        <f>Table13645[[#Headers],[Income]]</f>
        <v>Income</v>
      </c>
      <c r="S2" s="45">
        <f>SUM(Table13645[Budget])</f>
        <v>0</v>
      </c>
      <c r="T2" s="45">
        <f>SUM(Table13645[Actual])</f>
        <v>0</v>
      </c>
      <c r="U2" s="45" t="s">
        <v>19</v>
      </c>
      <c r="V2" s="45">
        <f>AVERAGE(V12:V42)</f>
        <v>1156.7400000000005</v>
      </c>
    </row>
    <row r="3" spans="2:23" x14ac:dyDescent="0.2">
      <c r="C3" s="17" t="s">
        <v>35</v>
      </c>
      <c r="D3" s="5">
        <f>E3</f>
        <v>1156.74</v>
      </c>
      <c r="E3" s="14">
        <v>1156.74</v>
      </c>
      <c r="F3" s="14">
        <f>E3-D3</f>
        <v>0</v>
      </c>
      <c r="R3" s="45" t="str">
        <f>Table142[[#Headers],[Housing]]</f>
        <v>Housing</v>
      </c>
      <c r="S3" s="45">
        <f>SUM(Table142[Budget])</f>
        <v>0</v>
      </c>
      <c r="T3" s="45">
        <f>SUM(Table142[Actual])</f>
        <v>0</v>
      </c>
      <c r="U3" s="45" t="s">
        <v>17</v>
      </c>
      <c r="V3" s="45"/>
    </row>
    <row r="4" spans="2:23" x14ac:dyDescent="0.2">
      <c r="C4" s="17" t="s">
        <v>32</v>
      </c>
      <c r="D4" s="5">
        <f>Table13645[[#Totals],[Budget]]</f>
        <v>0</v>
      </c>
      <c r="E4" s="5">
        <f>Table13645[[#Totals],[Actual]]</f>
        <v>0</v>
      </c>
      <c r="F4" s="5">
        <f>E4-D4</f>
        <v>0</v>
      </c>
      <c r="R4" s="45" t="str">
        <f>Table1343[[#Headers],[Transportation]]</f>
        <v>Transportation</v>
      </c>
      <c r="S4" s="45">
        <f>SUM(Table1343[Budget])</f>
        <v>0</v>
      </c>
      <c r="T4" s="45">
        <f>SUM(Table1343[Actual])</f>
        <v>0</v>
      </c>
      <c r="U4" s="45" t="s">
        <v>18</v>
      </c>
      <c r="V4" s="45"/>
    </row>
    <row r="5" spans="2:23" x14ac:dyDescent="0.2">
      <c r="C5" s="17" t="s">
        <v>33</v>
      </c>
      <c r="D5" s="5">
        <f>Table142[[#Totals],[Budget]]+Table1343[[#Totals],[Budget]]+Table1391049[[#Totals],[Budget]]+Table13746[[#Totals],[Budget]]+Table13847[[#Totals],[Budget]]+Table13948[[#Totals],[Budget]]</f>
        <v>0</v>
      </c>
      <c r="E5" s="5">
        <f>Table142[[#Totals],[Actual]]+Table1343[[#Totals],[Actual]]+Table1391049[[#Totals],[Actual]]+Table13746[[#Totals],[Actual]]+Table13847[[#Totals],[Actual]]+Table13948[[#Totals],[Actual]]</f>
        <v>0</v>
      </c>
      <c r="F5" s="5">
        <f>E5-D5</f>
        <v>0</v>
      </c>
      <c r="R5" s="45" t="str">
        <f>Table1391049[[#Headers],[Bills]]</f>
        <v>Bills</v>
      </c>
      <c r="S5" s="45">
        <f>SUM(Table1391049[Budget])</f>
        <v>0</v>
      </c>
      <c r="T5" s="45">
        <f>SUM(Table1391049[Actual])</f>
        <v>0</v>
      </c>
      <c r="U5" s="45"/>
      <c r="V5" s="45"/>
    </row>
    <row r="6" spans="2:23" x14ac:dyDescent="0.2">
      <c r="C6" s="15" t="s">
        <v>34</v>
      </c>
      <c r="D6" s="16">
        <f>D3+D4-D5</f>
        <v>1156.74</v>
      </c>
      <c r="E6" s="16">
        <f>E3+E4-E5</f>
        <v>1156.74</v>
      </c>
      <c r="F6" s="16">
        <f>F3+F4-F5</f>
        <v>0</v>
      </c>
      <c r="R6" s="45" t="str">
        <f>Table13746[[#Headers],[Living]]</f>
        <v>Living</v>
      </c>
      <c r="S6" s="45">
        <f>SUM(Table13746[Budget])</f>
        <v>0</v>
      </c>
      <c r="T6" s="45">
        <f>SUM(Table13746[Actual])</f>
        <v>0</v>
      </c>
      <c r="U6" s="45"/>
      <c r="V6" s="45"/>
    </row>
    <row r="7" spans="2:23" ht="3.75" customHeight="1" x14ac:dyDescent="0.2">
      <c r="D7" s="2"/>
      <c r="R7" s="45" t="str">
        <f>Table13847[[#Headers],[Entertainment]]</f>
        <v>Entertainment</v>
      </c>
      <c r="S7" s="45">
        <f>SUM(Table13847[Budget])</f>
        <v>0</v>
      </c>
      <c r="T7" s="45">
        <f>SUM(Table13847[Actual])</f>
        <v>0</v>
      </c>
      <c r="U7" s="45"/>
      <c r="V7" s="45"/>
    </row>
    <row r="8" spans="2:23" ht="1.5" customHeight="1" x14ac:dyDescent="0.2">
      <c r="C8" s="42"/>
      <c r="D8" s="43"/>
      <c r="E8" s="42"/>
      <c r="F8" s="42"/>
      <c r="G8" s="42"/>
      <c r="H8" s="42"/>
      <c r="I8" s="42"/>
      <c r="J8" s="42"/>
      <c r="K8" s="42"/>
      <c r="L8" s="42"/>
      <c r="M8" s="42"/>
      <c r="N8" s="42"/>
      <c r="O8" s="42"/>
      <c r="P8" s="42"/>
      <c r="Q8" s="42"/>
      <c r="R8" s="44" t="str">
        <f>Table13948[[#Headers],[Misc.]]</f>
        <v>Misc.</v>
      </c>
      <c r="S8" s="44">
        <f>SUM(Table13948[Budget])</f>
        <v>0</v>
      </c>
      <c r="T8" s="44">
        <f>SUM(Table13948[Actual])</f>
        <v>0</v>
      </c>
      <c r="U8" s="44"/>
      <c r="V8" s="44"/>
    </row>
    <row r="9" spans="2:23" ht="3.75" customHeight="1" x14ac:dyDescent="0.2">
      <c r="D9" s="2"/>
      <c r="H9" s="42"/>
      <c r="Q9" s="42"/>
    </row>
    <row r="10" spans="2:23" s="25" customFormat="1" x14ac:dyDescent="0.2">
      <c r="B10" s="35"/>
      <c r="C10" s="37" t="str">
        <f>CONCATENATE(Table13645[[#Headers],[Income]]," - Budget &amp; Tracking")</f>
        <v>Income - Budget &amp; Tracking</v>
      </c>
      <c r="D10" s="38"/>
      <c r="E10" s="38"/>
      <c r="F10" s="39"/>
      <c r="G10" s="35"/>
      <c r="H10" s="41"/>
      <c r="J10" s="37" t="s">
        <v>42</v>
      </c>
      <c r="K10" s="38"/>
      <c r="L10" s="38"/>
      <c r="M10" s="38"/>
      <c r="N10" s="38"/>
      <c r="O10" s="39"/>
      <c r="Q10" s="41"/>
      <c r="S10" s="37" t="s">
        <v>40</v>
      </c>
      <c r="T10" s="38"/>
      <c r="U10" s="38"/>
      <c r="V10" s="39"/>
    </row>
    <row r="11" spans="2:23" ht="12.75" thickBot="1" x14ac:dyDescent="0.25">
      <c r="B11" s="32"/>
      <c r="C11" s="31" t="s">
        <v>15</v>
      </c>
      <c r="D11" s="31" t="s">
        <v>1</v>
      </c>
      <c r="E11" s="31" t="s">
        <v>2</v>
      </c>
      <c r="F11" s="31" t="s">
        <v>14</v>
      </c>
      <c r="G11" s="32"/>
      <c r="H11" s="42"/>
      <c r="J11" s="31" t="s">
        <v>9</v>
      </c>
      <c r="K11" s="31" t="s">
        <v>0</v>
      </c>
      <c r="L11" s="31" t="s">
        <v>13</v>
      </c>
      <c r="M11" s="31" t="s">
        <v>10</v>
      </c>
      <c r="N11" s="31" t="s">
        <v>11</v>
      </c>
      <c r="O11" s="31" t="s">
        <v>16</v>
      </c>
      <c r="Q11" s="42"/>
      <c r="S11" s="40" t="s">
        <v>10</v>
      </c>
      <c r="T11" s="40" t="s">
        <v>22</v>
      </c>
      <c r="U11" s="40" t="s">
        <v>21</v>
      </c>
      <c r="V11" s="40" t="s">
        <v>23</v>
      </c>
    </row>
    <row r="12" spans="2:23" x14ac:dyDescent="0.2">
      <c r="B12" s="32"/>
      <c r="D12" s="2"/>
      <c r="E12" s="2">
        <f>SUMIFS(Table442051[Amount],Table442051[Category],Table13645[[#Headers],[Income]],Table442051[Sub-Category],Table13645[[#This Row],[Income]])+SUMIFS(Table4450[Amount],Table4450[Category],Table13645[[#Headers],[Income]],Table4450[Sub-Category],Table13645[[#This Row],[Income]])</f>
        <v>0</v>
      </c>
      <c r="F12" s="3">
        <f>Table13645[[#This Row],[Actual]]-Table13645[[#This Row],[Budget]]</f>
        <v>0</v>
      </c>
      <c r="G12" s="32"/>
      <c r="H12" s="42"/>
      <c r="M12" s="4"/>
      <c r="N12" s="2"/>
      <c r="Q12" s="42"/>
      <c r="S12" s="27">
        <f>C1</f>
        <v>41609</v>
      </c>
      <c r="T12" s="29">
        <f>SUMIFS(Table442051[Amount],Table442051[Date],S12,Table442051[Category],Table13645[[#Headers],[Income]])+SUMIFS(Table4450[Amount],Table4450[Date],S12,Table4450[Category],Table13645[[#Headers],[Income]])</f>
        <v>0</v>
      </c>
      <c r="U12" s="29">
        <f>SUMIFS(Table444[Amount],Table444[Date],S12,Table444[Category],"&lt;&gt;"&amp;Table13645[[#Headers],[Income]])+SUMIFS(Table4450[Amount],Table4450[Date],S12,Table4450[Category],"&lt;&gt;"&amp;Table13645[[#Headers],[Income]])</f>
        <v>0</v>
      </c>
      <c r="V12" s="29">
        <f>E3+T12-U12</f>
        <v>1156.74</v>
      </c>
      <c r="W12" s="1">
        <f>V2</f>
        <v>1156.7400000000005</v>
      </c>
    </row>
    <row r="13" spans="2:23" x14ac:dyDescent="0.2">
      <c r="B13" s="32"/>
      <c r="D13" s="2"/>
      <c r="E13" s="2">
        <f>SUMIFS(Table442051[Amount],Table442051[Category],Table13645[[#Headers],[Income]],Table442051[Sub-Category],Table13645[[#This Row],[Income]])+SUMIFS(Table4450[Amount],Table4450[Category],Table13645[[#Headers],[Income]],Table4450[Sub-Category],Table13645[[#This Row],[Income]])</f>
        <v>0</v>
      </c>
      <c r="F13" s="3">
        <f>Table13645[[#This Row],[Actual]]-Table13645[[#This Row],[Budget]]</f>
        <v>0</v>
      </c>
      <c r="G13" s="32"/>
      <c r="H13" s="42"/>
      <c r="M13" s="4"/>
      <c r="N13" s="2"/>
      <c r="Q13" s="42"/>
      <c r="S13" s="30">
        <f t="shared" ref="S13:S42" si="0">S12+1</f>
        <v>41610</v>
      </c>
      <c r="T13" s="28">
        <f>SUMIFS(Table442051[Amount],Table442051[Date],S13,Table442051[Category],Table13645[[#Headers],[Income]])+SUMIFS(Table4450[Amount],Table4450[Date],S13,Table4450[Category],Table13645[[#Headers],[Income]])</f>
        <v>0</v>
      </c>
      <c r="U13" s="28">
        <f>SUMIFS(Table444[Amount],Table444[Date],S13,Table444[Category],"&lt;&gt;"&amp;Table13645[[#Headers],[Income]])+SUMIFS(Table4450[Amount],Table4450[Date],S13,Table4450[Category],"&lt;&gt;"&amp;Table13645[[#Headers],[Income]])</f>
        <v>0</v>
      </c>
      <c r="V13" s="28">
        <f>V12+T13-U13</f>
        <v>1156.74</v>
      </c>
      <c r="W13" s="1">
        <f>W12</f>
        <v>1156.7400000000005</v>
      </c>
    </row>
    <row r="14" spans="2:23" x14ac:dyDescent="0.2">
      <c r="B14" s="32"/>
      <c r="D14" s="12"/>
      <c r="E14" s="12">
        <f>SUMIFS(Table442051[Amount],Table442051[Category],Table13645[[#Headers],[Income]],Table442051[Sub-Category],Table13645[[#This Row],[Income]])+SUMIFS(Table4450[Amount],Table4450[Category],Table13645[[#Headers],[Income]],Table4450[Sub-Category],Table13645[[#This Row],[Income]])</f>
        <v>0</v>
      </c>
      <c r="F14" s="2">
        <f>Table13645[[#This Row],[Actual]]-Table13645[[#This Row],[Budget]]</f>
        <v>0</v>
      </c>
      <c r="G14" s="32"/>
      <c r="H14" s="42"/>
      <c r="M14" s="4"/>
      <c r="N14" s="2"/>
      <c r="Q14" s="42"/>
      <c r="S14" s="27">
        <f t="shared" si="0"/>
        <v>41611</v>
      </c>
      <c r="T14" s="29">
        <f>SUMIFS(Table442051[Amount],Table442051[Date],S14,Table442051[Category],Table13645[[#Headers],[Income]])+SUMIFS(Table4450[Amount],Table4450[Date],S14,Table4450[Category],Table13645[[#Headers],[Income]])</f>
        <v>0</v>
      </c>
      <c r="U14" s="29">
        <f>SUMIFS(Table444[Amount],Table444[Date],S14,Table444[Category],"&lt;&gt;"&amp;Table13645[[#Headers],[Income]])+SUMIFS(Table4450[Amount],Table4450[Date],S14,Table4450[Category],"&lt;&gt;"&amp;Table13645[[#Headers],[Income]])</f>
        <v>0</v>
      </c>
      <c r="V14" s="29">
        <f t="shared" ref="V14:V42" si="1">V13+T14-U14</f>
        <v>1156.74</v>
      </c>
      <c r="W14" s="1">
        <f t="shared" ref="W14:W42" si="2">W13</f>
        <v>1156.7400000000005</v>
      </c>
    </row>
    <row r="15" spans="2:23" x14ac:dyDescent="0.2">
      <c r="B15" s="32"/>
      <c r="D15" s="2"/>
      <c r="E15" s="3">
        <f>SUMIFS(Table442051[Amount],Table442051[Category],Table13645[[#Headers],[Income]],Table442051[Sub-Category],Table13645[[#This Row],[Income]])+SUMIFS(Table4450[Amount],Table4450[Category],Table13645[[#Headers],[Income]],Table4450[Sub-Category],Table13645[[#This Row],[Income]])</f>
        <v>0</v>
      </c>
      <c r="F15" s="3">
        <f>Table13645[[#This Row],[Actual]]-Table13645[[#This Row],[Budget]]</f>
        <v>0</v>
      </c>
      <c r="G15" s="32"/>
      <c r="H15" s="42"/>
      <c r="J15" s="11"/>
      <c r="K15" s="11"/>
      <c r="L15" s="11"/>
      <c r="M15" s="24"/>
      <c r="N15" s="12"/>
      <c r="O15" s="11"/>
      <c r="Q15" s="42"/>
      <c r="S15" s="30">
        <f t="shared" si="0"/>
        <v>41612</v>
      </c>
      <c r="T15" s="28">
        <f>SUMIFS(Table442051[Amount],Table442051[Date],S15,Table442051[Category],Table13645[[#Headers],[Income]])+SUMIFS(Table4450[Amount],Table4450[Date],S15,Table4450[Category],Table13645[[#Headers],[Income]])</f>
        <v>0</v>
      </c>
      <c r="U15" s="28">
        <f>SUMIFS(Table444[Amount],Table444[Date],S15,Table444[Category],"&lt;&gt;"&amp;Table13645[[#Headers],[Income]])+SUMIFS(Table4450[Amount],Table4450[Date],S15,Table4450[Category],"&lt;&gt;"&amp;Table13645[[#Headers],[Income]])</f>
        <v>0</v>
      </c>
      <c r="V15" s="28">
        <f t="shared" si="1"/>
        <v>1156.74</v>
      </c>
      <c r="W15" s="1">
        <f t="shared" si="2"/>
        <v>1156.7400000000005</v>
      </c>
    </row>
    <row r="16" spans="2:23" x14ac:dyDescent="0.2">
      <c r="B16" s="32"/>
      <c r="C16" s="6" t="s">
        <v>20</v>
      </c>
      <c r="D16" s="7">
        <f>SUBTOTAL(109,Table13645[Budget])</f>
        <v>0</v>
      </c>
      <c r="E16" s="7">
        <f>SUBTOTAL(109,Table13645[Actual])</f>
        <v>0</v>
      </c>
      <c r="F16" s="7">
        <f>SUBTOTAL(109,Table13645[Variance])</f>
        <v>0</v>
      </c>
      <c r="G16" s="36"/>
      <c r="H16" s="43"/>
      <c r="I16" s="2"/>
      <c r="M16" s="4"/>
      <c r="N16" s="2"/>
      <c r="Q16" s="43"/>
      <c r="S16" s="27">
        <f t="shared" si="0"/>
        <v>41613</v>
      </c>
      <c r="T16" s="29">
        <f>SUMIFS(Table442051[Amount],Table442051[Date],S16,Table442051[Category],Table13645[[#Headers],[Income]])+SUMIFS(Table4450[Amount],Table4450[Date],S16,Table4450[Category],Table13645[[#Headers],[Income]])</f>
        <v>0</v>
      </c>
      <c r="U16" s="29">
        <f>SUMIFS(Table444[Amount],Table444[Date],S16,Table444[Category],"&lt;&gt;"&amp;Table13645[[#Headers],[Income]])+SUMIFS(Table4450[Amount],Table4450[Date],S16,Table4450[Category],"&lt;&gt;"&amp;Table13645[[#Headers],[Income]])</f>
        <v>0</v>
      </c>
      <c r="V16" s="29">
        <f t="shared" si="1"/>
        <v>1156.74</v>
      </c>
      <c r="W16" s="1">
        <f t="shared" si="2"/>
        <v>1156.7400000000005</v>
      </c>
    </row>
    <row r="17" spans="2:23" x14ac:dyDescent="0.2">
      <c r="B17" s="32"/>
      <c r="C17" s="20"/>
      <c r="D17" s="21"/>
      <c r="E17" s="21"/>
      <c r="F17" s="21"/>
      <c r="G17" s="36"/>
      <c r="H17" s="43"/>
      <c r="I17" s="2"/>
      <c r="J17" s="37" t="s">
        <v>43</v>
      </c>
      <c r="K17" s="38"/>
      <c r="L17" s="38"/>
      <c r="M17" s="38"/>
      <c r="N17" s="38"/>
      <c r="O17" s="39"/>
      <c r="Q17" s="43"/>
      <c r="S17" s="30">
        <f t="shared" si="0"/>
        <v>41614</v>
      </c>
      <c r="T17" s="28">
        <f>SUMIFS(Table442051[Amount],Table442051[Date],S17,Table442051[Category],Table13645[[#Headers],[Income]])+SUMIFS(Table4450[Amount],Table4450[Date],S17,Table4450[Category],Table13645[[#Headers],[Income]])</f>
        <v>0</v>
      </c>
      <c r="U17" s="28">
        <f>SUMIFS(Table444[Amount],Table444[Date],S17,Table444[Category],"&lt;&gt;"&amp;Table13645[[#Headers],[Income]])+SUMIFS(Table4450[Amount],Table4450[Date],S17,Table4450[Category],"&lt;&gt;"&amp;Table13645[[#Headers],[Income]])</f>
        <v>0</v>
      </c>
      <c r="V17" s="28">
        <f t="shared" si="1"/>
        <v>1156.74</v>
      </c>
      <c r="W17" s="1">
        <f t="shared" si="2"/>
        <v>1156.7400000000005</v>
      </c>
    </row>
    <row r="18" spans="2:23" x14ac:dyDescent="0.2">
      <c r="B18" s="32"/>
      <c r="C18" s="37" t="str">
        <f>CONCATENATE(Table142[[#Headers],[Housing]]," - Budget &amp; Tracking")</f>
        <v>Housing - Budget &amp; Tracking</v>
      </c>
      <c r="D18" s="38"/>
      <c r="E18" s="38"/>
      <c r="F18" s="39"/>
      <c r="G18" s="36"/>
      <c r="H18" s="43"/>
      <c r="I18" s="2"/>
      <c r="J18" s="31" t="s">
        <v>9</v>
      </c>
      <c r="K18" s="31" t="s">
        <v>0</v>
      </c>
      <c r="L18" s="31" t="s">
        <v>13</v>
      </c>
      <c r="M18" s="31" t="s">
        <v>10</v>
      </c>
      <c r="N18" s="31" t="s">
        <v>11</v>
      </c>
      <c r="O18" s="31" t="s">
        <v>16</v>
      </c>
      <c r="Q18" s="43"/>
      <c r="S18" s="27">
        <f t="shared" si="0"/>
        <v>41615</v>
      </c>
      <c r="T18" s="29">
        <f>SUMIFS(Table442051[Amount],Table442051[Date],S18,Table442051[Category],Table13645[[#Headers],[Income]])+SUMIFS(Table4450[Amount],Table4450[Date],S18,Table4450[Category],Table13645[[#Headers],[Income]])</f>
        <v>0</v>
      </c>
      <c r="U18" s="29">
        <f>SUMIFS(Table444[Amount],Table444[Date],S18,Table444[Category],"&lt;&gt;"&amp;Table13645[[#Headers],[Income]])+SUMIFS(Table4450[Amount],Table4450[Date],S18,Table4450[Category],"&lt;&gt;"&amp;Table13645[[#Headers],[Income]])</f>
        <v>0</v>
      </c>
      <c r="V18" s="29">
        <f t="shared" si="1"/>
        <v>1156.74</v>
      </c>
      <c r="W18" s="1">
        <f t="shared" si="2"/>
        <v>1156.7400000000005</v>
      </c>
    </row>
    <row r="19" spans="2:23" x14ac:dyDescent="0.2">
      <c r="B19" s="32"/>
      <c r="C19" s="31" t="s">
        <v>8</v>
      </c>
      <c r="D19" s="31" t="s">
        <v>1</v>
      </c>
      <c r="E19" s="31" t="s">
        <v>2</v>
      </c>
      <c r="F19" s="31" t="s">
        <v>14</v>
      </c>
      <c r="G19" s="36"/>
      <c r="H19" s="43"/>
      <c r="I19" s="2"/>
      <c r="M19" s="4"/>
      <c r="N19" s="2"/>
      <c r="Q19" s="43"/>
      <c r="S19" s="30">
        <f t="shared" si="0"/>
        <v>41616</v>
      </c>
      <c r="T19" s="28">
        <f>SUMIFS(Table442051[Amount],Table442051[Date],S19,Table442051[Category],Table13645[[#Headers],[Income]])+SUMIFS(Table4450[Amount],Table4450[Date],S19,Table4450[Category],Table13645[[#Headers],[Income]])</f>
        <v>0</v>
      </c>
      <c r="U19" s="28">
        <f>SUMIFS(Table444[Amount],Table444[Date],S19,Table444[Category],"&lt;&gt;"&amp;Table13645[[#Headers],[Income]])+SUMIFS(Table4450[Amount],Table4450[Date],S19,Table4450[Category],"&lt;&gt;"&amp;Table13645[[#Headers],[Income]])</f>
        <v>0</v>
      </c>
      <c r="V19" s="28">
        <f t="shared" si="1"/>
        <v>1156.74</v>
      </c>
      <c r="W19" s="1">
        <f t="shared" si="2"/>
        <v>1156.7400000000005</v>
      </c>
    </row>
    <row r="20" spans="2:23" x14ac:dyDescent="0.2">
      <c r="B20" s="32"/>
      <c r="D20" s="2"/>
      <c r="E20" s="2">
        <f>SUMIFS(Table444[Amount],Table444[Category],Table142[[#Headers],[Housing]],Table444[Sub-Category],Table142[[#This Row],[Housing]])+SUMIFS(Table4450[Amount],Table4450[Category],Table142[[#Headers],[Housing]],Table4450[Sub-Category],Table142[[#This Row],[Housing]])</f>
        <v>0</v>
      </c>
      <c r="F20" s="3">
        <f>Table142[[#This Row],[Budget]]-Table142[[#This Row],[Actual]]</f>
        <v>0</v>
      </c>
      <c r="G20" s="36"/>
      <c r="H20" s="43"/>
      <c r="I20" s="2"/>
      <c r="J20" s="11"/>
      <c r="K20" s="11"/>
      <c r="L20" s="11"/>
      <c r="M20" s="24"/>
      <c r="N20" s="12"/>
      <c r="O20" s="11"/>
      <c r="Q20" s="43"/>
      <c r="S20" s="27">
        <f t="shared" si="0"/>
        <v>41617</v>
      </c>
      <c r="T20" s="29">
        <f>SUMIFS(Table442051[Amount],Table442051[Date],S20,Table442051[Category],Table13645[[#Headers],[Income]])+SUMIFS(Table4450[Amount],Table4450[Date],S20,Table4450[Category],Table13645[[#Headers],[Income]])</f>
        <v>0</v>
      </c>
      <c r="U20" s="29">
        <f>SUMIFS(Table444[Amount],Table444[Date],S20,Table444[Category],"&lt;&gt;"&amp;Table13645[[#Headers],[Income]])+SUMIFS(Table4450[Amount],Table4450[Date],S20,Table4450[Category],"&lt;&gt;"&amp;Table13645[[#Headers],[Income]])</f>
        <v>0</v>
      </c>
      <c r="V20" s="29">
        <f t="shared" si="1"/>
        <v>1156.74</v>
      </c>
      <c r="W20" s="1">
        <f t="shared" si="2"/>
        <v>1156.7400000000005</v>
      </c>
    </row>
    <row r="21" spans="2:23" x14ac:dyDescent="0.2">
      <c r="B21" s="32"/>
      <c r="D21" s="2"/>
      <c r="E21" s="2">
        <f>SUMIFS(Table444[Amount],Table444[Category],Table142[[#Headers],[Housing]],Table444[Sub-Category],Table142[[#This Row],[Housing]])+SUMIFS(Table4450[Amount],Table4450[Category],Table142[[#Headers],[Housing]],Table4450[Sub-Category],Table142[[#This Row],[Housing]])</f>
        <v>0</v>
      </c>
      <c r="F21" s="3">
        <f>Table142[[#This Row],[Budget]]-Table142[[#This Row],[Actual]]</f>
        <v>0</v>
      </c>
      <c r="G21" s="36"/>
      <c r="H21" s="43"/>
      <c r="I21" s="2"/>
      <c r="J21" s="11"/>
      <c r="K21" s="11"/>
      <c r="L21" s="11"/>
      <c r="M21" s="24"/>
      <c r="N21" s="12"/>
      <c r="O21" s="11"/>
      <c r="Q21" s="43"/>
      <c r="S21" s="30">
        <f t="shared" si="0"/>
        <v>41618</v>
      </c>
      <c r="T21" s="28">
        <f>SUMIFS(Table442051[Amount],Table442051[Date],S21,Table442051[Category],Table13645[[#Headers],[Income]])+SUMIFS(Table4450[Amount],Table4450[Date],S21,Table4450[Category],Table13645[[#Headers],[Income]])</f>
        <v>0</v>
      </c>
      <c r="U21" s="28">
        <f>SUMIFS(Table444[Amount],Table444[Date],S21,Table444[Category],"&lt;&gt;"&amp;Table13645[[#Headers],[Income]])+SUMIFS(Table4450[Amount],Table4450[Date],S21,Table4450[Category],"&lt;&gt;"&amp;Table13645[[#Headers],[Income]])</f>
        <v>0</v>
      </c>
      <c r="V21" s="28">
        <f t="shared" si="1"/>
        <v>1156.74</v>
      </c>
      <c r="W21" s="1">
        <f t="shared" si="2"/>
        <v>1156.7400000000005</v>
      </c>
    </row>
    <row r="22" spans="2:23" x14ac:dyDescent="0.2">
      <c r="B22" s="32"/>
      <c r="D22" s="2"/>
      <c r="E22" s="2">
        <f>SUMIFS(Table444[Amount],Table444[Category],Table142[[#Headers],[Housing]],Table444[Sub-Category],Table142[[#This Row],[Housing]])+SUMIFS(Table4450[Amount],Table4450[Category],Table142[[#Headers],[Housing]],Table4450[Sub-Category],Table142[[#This Row],[Housing]])</f>
        <v>0</v>
      </c>
      <c r="F22" s="3">
        <f>Table142[[#This Row],[Budget]]-Table142[[#This Row],[Actual]]</f>
        <v>0</v>
      </c>
      <c r="G22" s="36"/>
      <c r="H22" s="43"/>
      <c r="I22" s="2"/>
      <c r="J22" s="11"/>
      <c r="K22" s="11"/>
      <c r="L22" s="11"/>
      <c r="M22" s="24"/>
      <c r="N22" s="12"/>
      <c r="O22" s="11"/>
      <c r="Q22" s="43"/>
      <c r="S22" s="27">
        <f t="shared" si="0"/>
        <v>41619</v>
      </c>
      <c r="T22" s="29">
        <f>SUMIFS(Table442051[Amount],Table442051[Date],S22,Table442051[Category],Table13645[[#Headers],[Income]])+SUMIFS(Table4450[Amount],Table4450[Date],S22,Table4450[Category],Table13645[[#Headers],[Income]])</f>
        <v>0</v>
      </c>
      <c r="U22" s="29">
        <f>SUMIFS(Table444[Amount],Table444[Date],S22,Table444[Category],"&lt;&gt;"&amp;Table13645[[#Headers],[Income]])+SUMIFS(Table4450[Amount],Table4450[Date],S22,Table4450[Category],"&lt;&gt;"&amp;Table13645[[#Headers],[Income]])</f>
        <v>0</v>
      </c>
      <c r="V22" s="29">
        <f t="shared" si="1"/>
        <v>1156.74</v>
      </c>
      <c r="W22" s="1">
        <f t="shared" si="2"/>
        <v>1156.7400000000005</v>
      </c>
    </row>
    <row r="23" spans="2:23" x14ac:dyDescent="0.2">
      <c r="B23" s="32"/>
      <c r="D23" s="2"/>
      <c r="E23" s="2">
        <f>SUMIFS(Table444[Amount],Table444[Category],Table142[[#Headers],[Housing]],Table444[Sub-Category],Table142[[#This Row],[Housing]])+SUMIFS(Table4450[Amount],Table4450[Category],Table142[[#Headers],[Housing]],Table4450[Sub-Category],Table142[[#This Row],[Housing]])</f>
        <v>0</v>
      </c>
      <c r="F23" s="3">
        <f>Table142[[#This Row],[Budget]]-Table142[[#This Row],[Actual]]</f>
        <v>0</v>
      </c>
      <c r="G23" s="36"/>
      <c r="H23" s="43"/>
      <c r="I23" s="2"/>
      <c r="J23" s="11"/>
      <c r="K23" s="11"/>
      <c r="L23" s="11"/>
      <c r="M23" s="24"/>
      <c r="N23" s="12"/>
      <c r="O23" s="11"/>
      <c r="Q23" s="43"/>
      <c r="S23" s="30">
        <f t="shared" si="0"/>
        <v>41620</v>
      </c>
      <c r="T23" s="28">
        <f>SUMIFS(Table442051[Amount],Table442051[Date],S23,Table442051[Category],Table13645[[#Headers],[Income]])+SUMIFS(Table4450[Amount],Table4450[Date],S23,Table4450[Category],Table13645[[#Headers],[Income]])</f>
        <v>0</v>
      </c>
      <c r="U23" s="28">
        <f>SUMIFS(Table444[Amount],Table444[Date],S23,Table444[Category],"&lt;&gt;"&amp;Table13645[[#Headers],[Income]])+SUMIFS(Table4450[Amount],Table4450[Date],S23,Table4450[Category],"&lt;&gt;"&amp;Table13645[[#Headers],[Income]])</f>
        <v>0</v>
      </c>
      <c r="V23" s="28">
        <f t="shared" si="1"/>
        <v>1156.74</v>
      </c>
      <c r="W23" s="1">
        <f t="shared" si="2"/>
        <v>1156.7400000000005</v>
      </c>
    </row>
    <row r="24" spans="2:23" x14ac:dyDescent="0.2">
      <c r="B24" s="32"/>
      <c r="D24" s="2"/>
      <c r="E24" s="2">
        <f>SUMIFS(Table444[Amount],Table444[Category],Table142[[#Headers],[Housing]],Table444[Sub-Category],Table142[[#This Row],[Housing]])+SUMIFS(Table4450[Amount],Table4450[Category],Table142[[#Headers],[Housing]],Table4450[Sub-Category],Table142[[#This Row],[Housing]])</f>
        <v>0</v>
      </c>
      <c r="F24" s="3">
        <f>Table142[[#This Row],[Budget]]-Table142[[#This Row],[Actual]]</f>
        <v>0</v>
      </c>
      <c r="G24" s="36"/>
      <c r="H24" s="43"/>
      <c r="I24" s="2"/>
      <c r="J24" s="11"/>
      <c r="K24" s="11"/>
      <c r="L24" s="11"/>
      <c r="M24" s="24"/>
      <c r="N24" s="12"/>
      <c r="O24" s="11"/>
      <c r="Q24" s="43"/>
      <c r="S24" s="27">
        <f t="shared" si="0"/>
        <v>41621</v>
      </c>
      <c r="T24" s="29">
        <f>SUMIFS(Table442051[Amount],Table442051[Date],S24,Table442051[Category],Table13645[[#Headers],[Income]])+SUMIFS(Table4450[Amount],Table4450[Date],S24,Table4450[Category],Table13645[[#Headers],[Income]])</f>
        <v>0</v>
      </c>
      <c r="U24" s="29">
        <f>SUMIFS(Table444[Amount],Table444[Date],S24,Table444[Category],"&lt;&gt;"&amp;Table13645[[#Headers],[Income]])+SUMIFS(Table4450[Amount],Table4450[Date],S24,Table4450[Category],"&lt;&gt;"&amp;Table13645[[#Headers],[Income]])</f>
        <v>0</v>
      </c>
      <c r="V24" s="29">
        <f t="shared" si="1"/>
        <v>1156.74</v>
      </c>
      <c r="W24" s="1">
        <f t="shared" si="2"/>
        <v>1156.7400000000005</v>
      </c>
    </row>
    <row r="25" spans="2:23" x14ac:dyDescent="0.2">
      <c r="B25" s="32"/>
      <c r="D25" s="2"/>
      <c r="E25" s="2">
        <f>SUMIFS(Table444[Amount],Table444[Category],Table142[[#Headers],[Housing]],Table444[Sub-Category],Table142[[#This Row],[Housing]])+SUMIFS(Table4450[Amount],Table4450[Category],Table142[[#Headers],[Housing]],Table4450[Sub-Category],Table142[[#This Row],[Housing]])</f>
        <v>0</v>
      </c>
      <c r="F25" s="3">
        <f>Table142[[#This Row],[Budget]]-Table142[[#This Row],[Actual]]</f>
        <v>0</v>
      </c>
      <c r="G25" s="32"/>
      <c r="H25" s="42"/>
      <c r="J25" s="11"/>
      <c r="K25" s="11"/>
      <c r="L25" s="11"/>
      <c r="M25" s="24"/>
      <c r="N25" s="12"/>
      <c r="O25" s="11"/>
      <c r="Q25" s="42"/>
      <c r="S25" s="30">
        <f t="shared" si="0"/>
        <v>41622</v>
      </c>
      <c r="T25" s="28">
        <f>SUMIFS(Table442051[Amount],Table442051[Date],S25,Table442051[Category],Table13645[[#Headers],[Income]])+SUMIFS(Table4450[Amount],Table4450[Date],S25,Table4450[Category],Table13645[[#Headers],[Income]])</f>
        <v>0</v>
      </c>
      <c r="U25" s="28">
        <f>SUMIFS(Table444[Amount],Table444[Date],S25,Table444[Category],"&lt;&gt;"&amp;Table13645[[#Headers],[Income]])+SUMIFS(Table4450[Amount],Table4450[Date],S25,Table4450[Category],"&lt;&gt;"&amp;Table13645[[#Headers],[Income]])</f>
        <v>0</v>
      </c>
      <c r="V25" s="28">
        <f t="shared" si="1"/>
        <v>1156.74</v>
      </c>
      <c r="W25" s="1">
        <f t="shared" si="2"/>
        <v>1156.7400000000005</v>
      </c>
    </row>
    <row r="26" spans="2:23" x14ac:dyDescent="0.2">
      <c r="B26" s="32"/>
      <c r="D26" s="2"/>
      <c r="E26" s="2">
        <f>SUMIFS(Table444[Amount],Table444[Category],Table142[[#Headers],[Housing]],Table444[Sub-Category],Table142[[#This Row],[Housing]])+SUMIFS(Table4450[Amount],Table4450[Category],Table142[[#Headers],[Housing]],Table4450[Sub-Category],Table142[[#This Row],[Housing]])</f>
        <v>0</v>
      </c>
      <c r="F26" s="3">
        <f>Table142[[#This Row],[Budget]]-Table142[[#This Row],[Actual]]</f>
        <v>0</v>
      </c>
      <c r="G26" s="32"/>
      <c r="H26" s="42"/>
      <c r="J26" s="11"/>
      <c r="K26" s="11"/>
      <c r="L26" s="11"/>
      <c r="M26" s="24"/>
      <c r="N26" s="12"/>
      <c r="O26" s="11"/>
      <c r="Q26" s="42"/>
      <c r="S26" s="27">
        <f t="shared" si="0"/>
        <v>41623</v>
      </c>
      <c r="T26" s="29">
        <f>SUMIFS(Table442051[Amount],Table442051[Date],S26,Table442051[Category],Table13645[[#Headers],[Income]])+SUMIFS(Table4450[Amount],Table4450[Date],S26,Table4450[Category],Table13645[[#Headers],[Income]])</f>
        <v>0</v>
      </c>
      <c r="U26" s="29">
        <f>SUMIFS(Table444[Amount],Table444[Date],S26,Table444[Category],"&lt;&gt;"&amp;Table13645[[#Headers],[Income]])+SUMIFS(Table4450[Amount],Table4450[Date],S26,Table4450[Category],"&lt;&gt;"&amp;Table13645[[#Headers],[Income]])</f>
        <v>0</v>
      </c>
      <c r="V26" s="29">
        <f t="shared" si="1"/>
        <v>1156.74</v>
      </c>
      <c r="W26" s="1">
        <f t="shared" si="2"/>
        <v>1156.7400000000005</v>
      </c>
    </row>
    <row r="27" spans="2:23" x14ac:dyDescent="0.2">
      <c r="B27" s="32"/>
      <c r="D27" s="2"/>
      <c r="E27" s="2">
        <f>SUMIFS(Table444[Amount],Table444[Category],Table142[[#Headers],[Housing]],Table444[Sub-Category],Table142[[#This Row],[Housing]])+SUMIFS(Table4450[Amount],Table4450[Category],Table142[[#Headers],[Housing]],Table4450[Sub-Category],Table142[[#This Row],[Housing]])</f>
        <v>0</v>
      </c>
      <c r="F27" s="3">
        <f>Table142[[#This Row],[Budget]]-Table142[[#This Row],[Actual]]</f>
        <v>0</v>
      </c>
      <c r="G27" s="36"/>
      <c r="H27" s="43"/>
      <c r="I27" s="2"/>
      <c r="J27" s="11"/>
      <c r="K27" s="11"/>
      <c r="L27" s="11"/>
      <c r="M27" s="24"/>
      <c r="N27" s="12"/>
      <c r="O27" s="11"/>
      <c r="Q27" s="43"/>
      <c r="S27" s="30">
        <f t="shared" si="0"/>
        <v>41624</v>
      </c>
      <c r="T27" s="28">
        <f>SUMIFS(Table442051[Amount],Table442051[Date],S27,Table442051[Category],Table13645[[#Headers],[Income]])+SUMIFS(Table4450[Amount],Table4450[Date],S27,Table4450[Category],Table13645[[#Headers],[Income]])</f>
        <v>0</v>
      </c>
      <c r="U27" s="28">
        <f>SUMIFS(Table444[Amount],Table444[Date],S27,Table444[Category],"&lt;&gt;"&amp;Table13645[[#Headers],[Income]])+SUMIFS(Table4450[Amount],Table4450[Date],S27,Table4450[Category],"&lt;&gt;"&amp;Table13645[[#Headers],[Income]])</f>
        <v>0</v>
      </c>
      <c r="V27" s="28">
        <f t="shared" si="1"/>
        <v>1156.74</v>
      </c>
      <c r="W27" s="1">
        <f t="shared" si="2"/>
        <v>1156.7400000000005</v>
      </c>
    </row>
    <row r="28" spans="2:23" x14ac:dyDescent="0.2">
      <c r="B28" s="32"/>
      <c r="C28" s="11"/>
      <c r="D28" s="12"/>
      <c r="E28" s="13">
        <f>SUMIFS(Table444[Amount],Table444[Category],Table142[[#Headers],[Housing]],Table444[Sub-Category],Table142[[#This Row],[Housing]])+SUMIFS(Table4450[Amount],Table4450[Category],Table142[[#Headers],[Housing]],Table4450[Sub-Category],Table142[[#This Row],[Housing]])</f>
        <v>0</v>
      </c>
      <c r="F28" s="13">
        <f>Table142[[#This Row],[Budget]]-Table142[[#This Row],[Actual]]</f>
        <v>0</v>
      </c>
      <c r="G28" s="36"/>
      <c r="H28" s="43"/>
      <c r="I28" s="2"/>
      <c r="J28" s="11"/>
      <c r="K28" s="11"/>
      <c r="L28" s="11"/>
      <c r="M28" s="24"/>
      <c r="N28" s="12"/>
      <c r="O28" s="11"/>
      <c r="Q28" s="43"/>
      <c r="S28" s="27">
        <f t="shared" si="0"/>
        <v>41625</v>
      </c>
      <c r="T28" s="29">
        <f>SUMIFS(Table442051[Amount],Table442051[Date],S28,Table442051[Category],Table13645[[#Headers],[Income]])+SUMIFS(Table4450[Amount],Table4450[Date],S28,Table4450[Category],Table13645[[#Headers],[Income]])</f>
        <v>0</v>
      </c>
      <c r="U28" s="29">
        <f>SUMIFS(Table444[Amount],Table444[Date],S28,Table444[Category],"&lt;&gt;"&amp;Table13645[[#Headers],[Income]])+SUMIFS(Table4450[Amount],Table4450[Date],S28,Table4450[Category],"&lt;&gt;"&amp;Table13645[[#Headers],[Income]])</f>
        <v>0</v>
      </c>
      <c r="V28" s="29">
        <f t="shared" si="1"/>
        <v>1156.74</v>
      </c>
      <c r="W28" s="1">
        <f t="shared" si="2"/>
        <v>1156.7400000000005</v>
      </c>
    </row>
    <row r="29" spans="2:23" x14ac:dyDescent="0.2">
      <c r="B29" s="32"/>
      <c r="C29" s="9" t="s">
        <v>20</v>
      </c>
      <c r="D29" s="10">
        <f>SUBTOTAL(109,Table142[Budget])</f>
        <v>0</v>
      </c>
      <c r="E29" s="10">
        <f>SUBTOTAL(109,Table142[Actual])</f>
        <v>0</v>
      </c>
      <c r="F29" s="10">
        <f>SUBTOTAL(109,Table142[Variance])</f>
        <v>0</v>
      </c>
      <c r="G29" s="32"/>
      <c r="H29" s="42"/>
      <c r="J29" s="11"/>
      <c r="K29" s="11"/>
      <c r="L29" s="11"/>
      <c r="M29" s="24"/>
      <c r="N29" s="12"/>
      <c r="O29" s="11"/>
      <c r="Q29" s="42"/>
      <c r="S29" s="30">
        <f t="shared" si="0"/>
        <v>41626</v>
      </c>
      <c r="T29" s="28">
        <f>SUMIFS(Table442051[Amount],Table442051[Date],S29,Table442051[Category],Table13645[[#Headers],[Income]])+SUMIFS(Table4450[Amount],Table4450[Date],S29,Table4450[Category],Table13645[[#Headers],[Income]])</f>
        <v>0</v>
      </c>
      <c r="U29" s="28">
        <f>SUMIFS(Table444[Amount],Table444[Date],S29,Table444[Category],"&lt;&gt;"&amp;Table13645[[#Headers],[Income]])+SUMIFS(Table4450[Amount],Table4450[Date],S29,Table4450[Category],"&lt;&gt;"&amp;Table13645[[#Headers],[Income]])</f>
        <v>0</v>
      </c>
      <c r="V29" s="28">
        <f t="shared" si="1"/>
        <v>1156.74</v>
      </c>
      <c r="W29" s="1">
        <f t="shared" si="2"/>
        <v>1156.7400000000005</v>
      </c>
    </row>
    <row r="30" spans="2:23" x14ac:dyDescent="0.2">
      <c r="B30" s="32"/>
      <c r="C30" s="26"/>
      <c r="D30" s="23"/>
      <c r="E30" s="23"/>
      <c r="F30" s="23"/>
      <c r="G30" s="32"/>
      <c r="H30" s="42"/>
      <c r="J30" s="11"/>
      <c r="K30" s="11"/>
      <c r="L30" s="11"/>
      <c r="M30" s="24"/>
      <c r="N30" s="12"/>
      <c r="O30" s="11"/>
      <c r="Q30" s="42"/>
      <c r="S30" s="27">
        <f t="shared" si="0"/>
        <v>41627</v>
      </c>
      <c r="T30" s="29">
        <f>SUMIFS(Table442051[Amount],Table442051[Date],S30,Table442051[Category],Table13645[[#Headers],[Income]])+SUMIFS(Table4450[Amount],Table4450[Date],S30,Table4450[Category],Table13645[[#Headers],[Income]])</f>
        <v>0</v>
      </c>
      <c r="U30" s="29">
        <f>SUMIFS(Table444[Amount],Table444[Date],S30,Table444[Category],"&lt;&gt;"&amp;Table13645[[#Headers],[Income]])+SUMIFS(Table4450[Amount],Table4450[Date],S30,Table4450[Category],"&lt;&gt;"&amp;Table13645[[#Headers],[Income]])</f>
        <v>0</v>
      </c>
      <c r="V30" s="29">
        <f t="shared" si="1"/>
        <v>1156.74</v>
      </c>
      <c r="W30" s="1">
        <f t="shared" si="2"/>
        <v>1156.7400000000005</v>
      </c>
    </row>
    <row r="31" spans="2:23" x14ac:dyDescent="0.2">
      <c r="B31" s="32"/>
      <c r="C31" s="37" t="str">
        <f>CONCATENATE(Table1343[[#Headers],[Transportation]]," - Budget &amp; Tracking")</f>
        <v>Transportation - Budget &amp; Tracking</v>
      </c>
      <c r="D31" s="38"/>
      <c r="E31" s="38"/>
      <c r="F31" s="39"/>
      <c r="G31" s="32"/>
      <c r="H31" s="42"/>
      <c r="J31" s="11"/>
      <c r="K31" s="11"/>
      <c r="L31" s="11"/>
      <c r="M31" s="24"/>
      <c r="N31" s="12"/>
      <c r="O31" s="11"/>
      <c r="Q31" s="42"/>
      <c r="S31" s="30">
        <f t="shared" si="0"/>
        <v>41628</v>
      </c>
      <c r="T31" s="28">
        <f>SUMIFS(Table442051[Amount],Table442051[Date],S31,Table442051[Category],Table13645[[#Headers],[Income]])+SUMIFS(Table4450[Amount],Table4450[Date],S31,Table4450[Category],Table13645[[#Headers],[Income]])</f>
        <v>0</v>
      </c>
      <c r="U31" s="28">
        <f>SUMIFS(Table444[Amount],Table444[Date],S31,Table444[Category],"&lt;&gt;"&amp;Table13645[[#Headers],[Income]])+SUMIFS(Table4450[Amount],Table4450[Date],S31,Table4450[Category],"&lt;&gt;"&amp;Table13645[[#Headers],[Income]])</f>
        <v>0</v>
      </c>
      <c r="V31" s="28">
        <f t="shared" si="1"/>
        <v>1156.74</v>
      </c>
      <c r="W31" s="1">
        <f t="shared" si="2"/>
        <v>1156.7400000000005</v>
      </c>
    </row>
    <row r="32" spans="2:23" x14ac:dyDescent="0.2">
      <c r="B32" s="32"/>
      <c r="C32" s="31" t="s">
        <v>12</v>
      </c>
      <c r="D32" s="31" t="s">
        <v>1</v>
      </c>
      <c r="E32" s="31" t="s">
        <v>2</v>
      </c>
      <c r="F32" s="31" t="s">
        <v>14</v>
      </c>
      <c r="G32" s="32"/>
      <c r="H32" s="42"/>
      <c r="J32" s="11"/>
      <c r="K32" s="11"/>
      <c r="L32" s="11"/>
      <c r="M32" s="24"/>
      <c r="N32" s="12"/>
      <c r="O32" s="11"/>
      <c r="Q32" s="42"/>
      <c r="S32" s="27">
        <f t="shared" si="0"/>
        <v>41629</v>
      </c>
      <c r="T32" s="29">
        <f>SUMIFS(Table442051[Amount],Table442051[Date],S32,Table442051[Category],Table13645[[#Headers],[Income]])+SUMIFS(Table4450[Amount],Table4450[Date],S32,Table4450[Category],Table13645[[#Headers],[Income]])</f>
        <v>0</v>
      </c>
      <c r="U32" s="29">
        <f>SUMIFS(Table444[Amount],Table444[Date],S32,Table444[Category],"&lt;&gt;"&amp;Table13645[[#Headers],[Income]])+SUMIFS(Table4450[Amount],Table4450[Date],S32,Table4450[Category],"&lt;&gt;"&amp;Table13645[[#Headers],[Income]])</f>
        <v>0</v>
      </c>
      <c r="V32" s="29">
        <f t="shared" si="1"/>
        <v>1156.74</v>
      </c>
      <c r="W32" s="1">
        <f t="shared" si="2"/>
        <v>1156.7400000000005</v>
      </c>
    </row>
    <row r="33" spans="2:23" x14ac:dyDescent="0.2">
      <c r="B33" s="32"/>
      <c r="D33" s="2"/>
      <c r="E33" s="2">
        <f>SUMIFS(Table444[Amount],Table444[Category],Table1343[[#Headers],[Transportation]],Table444[Sub-Category],Table1343[[#This Row],[Transportation]])+SUMIFS(Table4450[Amount],Table4450[Category],Table1343[[#Headers],[Transportation]],Table4450[Sub-Category],Table1343[[#This Row],[Transportation]])</f>
        <v>0</v>
      </c>
      <c r="F33" s="3">
        <f>Table1343[[#This Row],[Budget]]-Table1343[[#This Row],[Actual]]</f>
        <v>0</v>
      </c>
      <c r="G33" s="32"/>
      <c r="H33" s="42"/>
      <c r="J33" s="37" t="s">
        <v>44</v>
      </c>
      <c r="K33" s="38"/>
      <c r="L33" s="38"/>
      <c r="M33" s="38"/>
      <c r="N33" s="38"/>
      <c r="O33" s="39"/>
      <c r="Q33" s="42"/>
      <c r="S33" s="30">
        <f t="shared" si="0"/>
        <v>41630</v>
      </c>
      <c r="T33" s="28">
        <f>SUMIFS(Table442051[Amount],Table442051[Date],S33,Table442051[Category],Table13645[[#Headers],[Income]])+SUMIFS(Table4450[Amount],Table4450[Date],S33,Table4450[Category],Table13645[[#Headers],[Income]])</f>
        <v>0</v>
      </c>
      <c r="U33" s="28">
        <f>SUMIFS(Table444[Amount],Table444[Date],S33,Table444[Category],"&lt;&gt;"&amp;Table13645[[#Headers],[Income]])+SUMIFS(Table4450[Amount],Table4450[Date],S33,Table4450[Category],"&lt;&gt;"&amp;Table13645[[#Headers],[Income]])</f>
        <v>0</v>
      </c>
      <c r="V33" s="28">
        <f t="shared" si="1"/>
        <v>1156.74</v>
      </c>
      <c r="W33" s="1">
        <f t="shared" si="2"/>
        <v>1156.7400000000005</v>
      </c>
    </row>
    <row r="34" spans="2:23" x14ac:dyDescent="0.2">
      <c r="B34" s="32"/>
      <c r="D34" s="2"/>
      <c r="E34" s="2">
        <f>SUMIFS(Table444[Amount],Table444[Category],Table1343[[#Headers],[Transportation]],Table444[Sub-Category],Table1343[[#This Row],[Transportation]])+SUMIFS(Table4450[Amount],Table4450[Category],Table1343[[#Headers],[Transportation]],Table4450[Sub-Category],Table1343[[#This Row],[Transportation]])</f>
        <v>0</v>
      </c>
      <c r="F34" s="3">
        <f>Table1343[[#This Row],[Budget]]-Table1343[[#This Row],[Actual]]</f>
        <v>0</v>
      </c>
      <c r="G34" s="32"/>
      <c r="H34" s="42"/>
      <c r="J34" s="31" t="s">
        <v>9</v>
      </c>
      <c r="K34" s="31" t="s">
        <v>0</v>
      </c>
      <c r="L34" s="31" t="s">
        <v>13</v>
      </c>
      <c r="M34" s="31" t="s">
        <v>10</v>
      </c>
      <c r="N34" s="31" t="s">
        <v>11</v>
      </c>
      <c r="O34" s="31" t="s">
        <v>16</v>
      </c>
      <c r="Q34" s="42"/>
      <c r="S34" s="27">
        <f t="shared" si="0"/>
        <v>41631</v>
      </c>
      <c r="T34" s="29">
        <f>SUMIFS(Table442051[Amount],Table442051[Date],S34,Table442051[Category],Table13645[[#Headers],[Income]])+SUMIFS(Table4450[Amount],Table4450[Date],S34,Table4450[Category],Table13645[[#Headers],[Income]])</f>
        <v>0</v>
      </c>
      <c r="U34" s="29">
        <f>SUMIFS(Table444[Amount],Table444[Date],S34,Table444[Category],"&lt;&gt;"&amp;Table13645[[#Headers],[Income]])+SUMIFS(Table4450[Amount],Table4450[Date],S34,Table4450[Category],"&lt;&gt;"&amp;Table13645[[#Headers],[Income]])</f>
        <v>0</v>
      </c>
      <c r="V34" s="29">
        <f t="shared" si="1"/>
        <v>1156.74</v>
      </c>
      <c r="W34" s="1">
        <f t="shared" si="2"/>
        <v>1156.7400000000005</v>
      </c>
    </row>
    <row r="35" spans="2:23" x14ac:dyDescent="0.2">
      <c r="B35" s="32"/>
      <c r="C35" s="11"/>
      <c r="D35" s="12"/>
      <c r="E35" s="13">
        <f>SUMIFS(Table444[Amount],Table444[Category],Table1343[[#Headers],[Transportation]],Table444[Sub-Category],Table1343[[#This Row],[Transportation]])+SUMIFS(Table4450[Amount],Table4450[Category],Table1343[[#Headers],[Transportation]],Table4450[Sub-Category],Table1343[[#This Row],[Transportation]])</f>
        <v>0</v>
      </c>
      <c r="F35" s="13">
        <f>Table1343[[#This Row],[Budget]]-Table1343[[#This Row],[Actual]]</f>
        <v>0</v>
      </c>
      <c r="G35" s="32"/>
      <c r="H35" s="42"/>
      <c r="M35" s="4"/>
      <c r="N35" s="2"/>
      <c r="Q35" s="42"/>
      <c r="S35" s="30">
        <f t="shared" si="0"/>
        <v>41632</v>
      </c>
      <c r="T35" s="28">
        <f>SUMIFS(Table442051[Amount],Table442051[Date],S35,Table442051[Category],Table13645[[#Headers],[Income]])+SUMIFS(Table4450[Amount],Table4450[Date],S35,Table4450[Category],Table13645[[#Headers],[Income]])</f>
        <v>0</v>
      </c>
      <c r="U35" s="28">
        <f>SUMIFS(Table444[Amount],Table444[Date],S35,Table444[Category],"&lt;&gt;"&amp;Table13645[[#Headers],[Income]])+SUMIFS(Table4450[Amount],Table4450[Date],S35,Table4450[Category],"&lt;&gt;"&amp;Table13645[[#Headers],[Income]])</f>
        <v>0</v>
      </c>
      <c r="V35" s="28">
        <f t="shared" si="1"/>
        <v>1156.74</v>
      </c>
      <c r="W35" s="1">
        <f t="shared" si="2"/>
        <v>1156.7400000000005</v>
      </c>
    </row>
    <row r="36" spans="2:23" x14ac:dyDescent="0.2">
      <c r="B36" s="32"/>
      <c r="C36" s="11"/>
      <c r="D36" s="12"/>
      <c r="E36" s="13">
        <f>SUMIFS(Table444[Amount],Table444[Category],Table1343[[#Headers],[Transportation]],Table444[Sub-Category],Table1343[[#This Row],[Transportation]])+SUMIFS(Table4450[Amount],Table4450[Category],Table1343[[#Headers],[Transportation]],Table4450[Sub-Category],Table1343[[#This Row],[Transportation]])</f>
        <v>0</v>
      </c>
      <c r="F36" s="13">
        <f>Table1343[[#This Row],[Budget]]-Table1343[[#This Row],[Actual]]</f>
        <v>0</v>
      </c>
      <c r="G36" s="32"/>
      <c r="H36" s="42"/>
      <c r="M36" s="4"/>
      <c r="N36" s="2"/>
      <c r="Q36" s="42"/>
      <c r="S36" s="27">
        <f t="shared" si="0"/>
        <v>41633</v>
      </c>
      <c r="T36" s="29">
        <f>SUMIFS(Table442051[Amount],Table442051[Date],S36,Table442051[Category],Table13645[[#Headers],[Income]])+SUMIFS(Table4450[Amount],Table4450[Date],S36,Table4450[Category],Table13645[[#Headers],[Income]])</f>
        <v>0</v>
      </c>
      <c r="U36" s="29">
        <f>SUMIFS(Table444[Amount],Table444[Date],S36,Table444[Category],"&lt;&gt;"&amp;Table13645[[#Headers],[Income]])+SUMIFS(Table4450[Amount],Table4450[Date],S36,Table4450[Category],"&lt;&gt;"&amp;Table13645[[#Headers],[Income]])</f>
        <v>0</v>
      </c>
      <c r="V36" s="29">
        <f t="shared" si="1"/>
        <v>1156.74</v>
      </c>
      <c r="W36" s="1">
        <f t="shared" si="2"/>
        <v>1156.7400000000005</v>
      </c>
    </row>
    <row r="37" spans="2:23" x14ac:dyDescent="0.2">
      <c r="B37" s="32"/>
      <c r="C37" s="9" t="s">
        <v>20</v>
      </c>
      <c r="D37" s="10">
        <f>SUBTOTAL(109,Table1343[Budget])</f>
        <v>0</v>
      </c>
      <c r="E37" s="10">
        <f>SUBTOTAL(109,Table1343[Actual])</f>
        <v>0</v>
      </c>
      <c r="F37" s="10">
        <f>SUBTOTAL(109,Table1343[Variance])</f>
        <v>0</v>
      </c>
      <c r="G37" s="32"/>
      <c r="H37" s="42"/>
      <c r="M37" s="4"/>
      <c r="N37" s="2"/>
      <c r="Q37" s="42"/>
      <c r="S37" s="30">
        <f t="shared" si="0"/>
        <v>41634</v>
      </c>
      <c r="T37" s="28">
        <f>SUMIFS(Table442051[Amount],Table442051[Date],S37,Table442051[Category],Table13645[[#Headers],[Income]])+SUMIFS(Table4450[Amount],Table4450[Date],S37,Table4450[Category],Table13645[[#Headers],[Income]])</f>
        <v>0</v>
      </c>
      <c r="U37" s="28">
        <f>SUMIFS(Table444[Amount],Table444[Date],S37,Table444[Category],"&lt;&gt;"&amp;Table13645[[#Headers],[Income]])+SUMIFS(Table4450[Amount],Table4450[Date],S37,Table4450[Category],"&lt;&gt;"&amp;Table13645[[#Headers],[Income]])</f>
        <v>0</v>
      </c>
      <c r="V37" s="28">
        <f t="shared" si="1"/>
        <v>1156.74</v>
      </c>
      <c r="W37" s="1">
        <f t="shared" si="2"/>
        <v>1156.7400000000005</v>
      </c>
    </row>
    <row r="38" spans="2:23" x14ac:dyDescent="0.2">
      <c r="B38" s="32"/>
      <c r="C38" s="26"/>
      <c r="D38" s="23"/>
      <c r="E38" s="23"/>
      <c r="F38" s="23"/>
      <c r="G38" s="32"/>
      <c r="H38" s="42"/>
      <c r="J38" s="11"/>
      <c r="K38" s="11"/>
      <c r="L38" s="11"/>
      <c r="M38" s="24"/>
      <c r="N38" s="12"/>
      <c r="O38" s="11"/>
      <c r="Q38" s="42"/>
      <c r="S38" s="27">
        <f t="shared" si="0"/>
        <v>41635</v>
      </c>
      <c r="T38" s="29">
        <f>SUMIFS(Table442051[Amount],Table442051[Date],S38,Table442051[Category],Table13645[[#Headers],[Income]])+SUMIFS(Table4450[Amount],Table4450[Date],S38,Table4450[Category],Table13645[[#Headers],[Income]])</f>
        <v>0</v>
      </c>
      <c r="U38" s="29">
        <f>SUMIFS(Table444[Amount],Table444[Date],S38,Table444[Category],"&lt;&gt;"&amp;Table13645[[#Headers],[Income]])+SUMIFS(Table4450[Amount],Table4450[Date],S38,Table4450[Category],"&lt;&gt;"&amp;Table13645[[#Headers],[Income]])</f>
        <v>0</v>
      </c>
      <c r="V38" s="29">
        <f t="shared" si="1"/>
        <v>1156.74</v>
      </c>
      <c r="W38" s="1">
        <f t="shared" si="2"/>
        <v>1156.7400000000005</v>
      </c>
    </row>
    <row r="39" spans="2:23" x14ac:dyDescent="0.2">
      <c r="B39" s="32"/>
      <c r="C39" s="37" t="str">
        <f>CONCATENATE(Table1391049[[#Headers],[Bills]]," - Budget &amp; Tracking")</f>
        <v>Bills - Budget &amp; Tracking</v>
      </c>
      <c r="D39" s="38"/>
      <c r="E39" s="38"/>
      <c r="F39" s="39"/>
      <c r="G39" s="32"/>
      <c r="H39" s="42"/>
      <c r="J39" s="11"/>
      <c r="K39" s="11"/>
      <c r="L39" s="11"/>
      <c r="M39" s="24"/>
      <c r="N39" s="12"/>
      <c r="O39" s="11"/>
      <c r="Q39" s="42"/>
      <c r="S39" s="30">
        <f t="shared" si="0"/>
        <v>41636</v>
      </c>
      <c r="T39" s="28">
        <f>SUMIFS(Table442051[Amount],Table442051[Date],S39,Table442051[Category],Table13645[[#Headers],[Income]])+SUMIFS(Table4450[Amount],Table4450[Date],S39,Table4450[Category],Table13645[[#Headers],[Income]])</f>
        <v>0</v>
      </c>
      <c r="U39" s="28">
        <f>SUMIFS(Table444[Amount],Table444[Date],S39,Table444[Category],"&lt;&gt;"&amp;Table13645[[#Headers],[Income]])+SUMIFS(Table4450[Amount],Table4450[Date],S39,Table4450[Category],"&lt;&gt;"&amp;Table13645[[#Headers],[Income]])</f>
        <v>0</v>
      </c>
      <c r="V39" s="28">
        <f t="shared" si="1"/>
        <v>1156.74</v>
      </c>
      <c r="W39" s="1">
        <f t="shared" si="2"/>
        <v>1156.7400000000005</v>
      </c>
    </row>
    <row r="40" spans="2:23" x14ac:dyDescent="0.2">
      <c r="B40" s="32"/>
      <c r="C40" s="31" t="s">
        <v>30</v>
      </c>
      <c r="D40" s="31" t="s">
        <v>1</v>
      </c>
      <c r="E40" s="31" t="s">
        <v>2</v>
      </c>
      <c r="F40" s="31" t="s">
        <v>14</v>
      </c>
      <c r="G40" s="32"/>
      <c r="H40" s="42"/>
      <c r="J40" s="11"/>
      <c r="K40" s="11"/>
      <c r="L40" s="11"/>
      <c r="M40" s="24"/>
      <c r="N40" s="12"/>
      <c r="O40" s="11"/>
      <c r="Q40" s="42"/>
      <c r="S40" s="27">
        <f t="shared" si="0"/>
        <v>41637</v>
      </c>
      <c r="T40" s="29">
        <f>SUMIFS(Table442051[Amount],Table442051[Date],S40,Table442051[Category],Table13645[[#Headers],[Income]])+SUMIFS(Table4450[Amount],Table4450[Date],S40,Table4450[Category],Table13645[[#Headers],[Income]])</f>
        <v>0</v>
      </c>
      <c r="U40" s="29">
        <f>SUMIFS(Table444[Amount],Table444[Date],S40,Table444[Category],"&lt;&gt;"&amp;Table13645[[#Headers],[Income]])+SUMIFS(Table4450[Amount],Table4450[Date],S40,Table4450[Category],"&lt;&gt;"&amp;Table13645[[#Headers],[Income]])</f>
        <v>0</v>
      </c>
      <c r="V40" s="29">
        <f t="shared" si="1"/>
        <v>1156.74</v>
      </c>
      <c r="W40" s="1">
        <f t="shared" si="2"/>
        <v>1156.7400000000005</v>
      </c>
    </row>
    <row r="41" spans="2:23" x14ac:dyDescent="0.2">
      <c r="B41" s="32"/>
      <c r="D41" s="2"/>
      <c r="E41" s="2">
        <f>SUMIFS(Table444[Amount],Table444[Category],Table1391049[[#Headers],[Bills]],Table444[Sub-Category],Table1391049[[#This Row],[Bills]])+SUMIFS(Table4450[Amount],Table4450[Category],Table1391049[[#Headers],[Bills]],Table4450[Sub-Category],Table1391049[[#This Row],[Bills]])</f>
        <v>0</v>
      </c>
      <c r="F41" s="3">
        <f>Table1391049[[#This Row],[Budget]]-Table1391049[[#This Row],[Actual]]</f>
        <v>0</v>
      </c>
      <c r="G41" s="32"/>
      <c r="H41" s="42"/>
      <c r="Q41" s="42"/>
      <c r="S41" s="30">
        <f t="shared" si="0"/>
        <v>41638</v>
      </c>
      <c r="T41" s="28">
        <f>SUMIFS(Table442051[Amount],Table442051[Date],S41,Table442051[Category],Table13645[[#Headers],[Income]])+SUMIFS(Table4450[Amount],Table4450[Date],S41,Table4450[Category],Table13645[[#Headers],[Income]])</f>
        <v>0</v>
      </c>
      <c r="U41" s="28">
        <f>SUMIFS(Table444[Amount],Table444[Date],S41,Table444[Category],"&lt;&gt;"&amp;Table13645[[#Headers],[Income]])+SUMIFS(Table4450[Amount],Table4450[Date],S41,Table4450[Category],"&lt;&gt;"&amp;Table13645[[#Headers],[Income]])</f>
        <v>0</v>
      </c>
      <c r="V41" s="28">
        <f t="shared" si="1"/>
        <v>1156.74</v>
      </c>
      <c r="W41" s="1">
        <f t="shared" si="2"/>
        <v>1156.7400000000005</v>
      </c>
    </row>
    <row r="42" spans="2:23" x14ac:dyDescent="0.2">
      <c r="B42" s="32"/>
      <c r="D42" s="2"/>
      <c r="E42" s="2">
        <f>SUMIFS(Table444[Amount],Table444[Category],Table1391049[[#Headers],[Bills]],Table444[Sub-Category],Table1391049[[#This Row],[Bills]])+SUMIFS(Table4450[Amount],Table4450[Category],Table1391049[[#Headers],[Bills]],Table4450[Sub-Category],Table1391049[[#This Row],[Bills]])</f>
        <v>0</v>
      </c>
      <c r="F42" s="3">
        <f>Table1391049[[#This Row],[Budget]]-Table1391049[[#This Row],[Actual]]</f>
        <v>0</v>
      </c>
      <c r="G42" s="32"/>
      <c r="H42" s="42"/>
      <c r="Q42" s="42"/>
      <c r="S42" s="27">
        <f t="shared" si="0"/>
        <v>41639</v>
      </c>
      <c r="T42" s="29">
        <f>SUMIFS(Table442051[Amount],Table442051[Date],S42,Table442051[Category],Table13645[[#Headers],[Income]])+SUMIFS(Table4450[Amount],Table4450[Date],S42,Table4450[Category],Table13645[[#Headers],[Income]])</f>
        <v>0</v>
      </c>
      <c r="U42" s="29">
        <f>SUMIFS(Table444[Amount],Table444[Date],S42,Table444[Category],"&lt;&gt;"&amp;Table13645[[#Headers],[Income]])+SUMIFS(Table4450[Amount],Table4450[Date],S42,Table4450[Category],"&lt;&gt;"&amp;Table13645[[#Headers],[Income]])</f>
        <v>0</v>
      </c>
      <c r="V42" s="29">
        <f t="shared" si="1"/>
        <v>1156.74</v>
      </c>
      <c r="W42" s="1">
        <f t="shared" si="2"/>
        <v>1156.7400000000005</v>
      </c>
    </row>
    <row r="43" spans="2:23" x14ac:dyDescent="0.2">
      <c r="B43" s="32"/>
      <c r="C43" s="11"/>
      <c r="D43" s="12"/>
      <c r="E43" s="13">
        <f>SUMIFS(Table444[Amount],Table444[Category],Table1391049[[#Headers],[Bills]],Table444[Sub-Category],Table1391049[[#This Row],[Bills]])+SUMIFS(Table4450[Amount],Table4450[Category],Table1391049[[#Headers],[Bills]],Table4450[Sub-Category],Table1391049[[#This Row],[Bills]])</f>
        <v>0</v>
      </c>
      <c r="F43" s="13">
        <f>Table1391049[[#This Row],[Budget]]-Table1391049[[#This Row],[Actual]]</f>
        <v>0</v>
      </c>
      <c r="G43" s="32"/>
      <c r="H43" s="42"/>
      <c r="Q43" s="42"/>
      <c r="S43" s="8"/>
    </row>
    <row r="44" spans="2:23" x14ac:dyDescent="0.2">
      <c r="B44" s="32"/>
      <c r="C44" s="11"/>
      <c r="D44" s="12"/>
      <c r="E44" s="13">
        <f>SUMIFS(Table444[Amount],Table444[Category],Table1391049[[#Headers],[Bills]],Table444[Sub-Category],Table1391049[[#This Row],[Bills]])+SUMIFS(Table4450[Amount],Table4450[Category],Table1391049[[#Headers],[Bills]],Table4450[Sub-Category],Table1391049[[#This Row],[Bills]])</f>
        <v>0</v>
      </c>
      <c r="F44" s="13">
        <f>Table1391049[[#This Row],[Budget]]-Table1391049[[#This Row],[Actual]]</f>
        <v>0</v>
      </c>
      <c r="G44" s="32"/>
      <c r="H44" s="42"/>
      <c r="Q44" s="42"/>
      <c r="S44" s="8"/>
    </row>
    <row r="45" spans="2:23" x14ac:dyDescent="0.2">
      <c r="B45" s="32"/>
      <c r="C45" s="11"/>
      <c r="D45" s="12"/>
      <c r="E45" s="13">
        <f>SUMIFS(Table444[Amount],Table444[Category],Table1391049[[#Headers],[Bills]],Table444[Sub-Category],Table1391049[[#This Row],[Bills]])+SUMIFS(Table4450[Amount],Table4450[Category],Table1391049[[#Headers],[Bills]],Table4450[Sub-Category],Table1391049[[#This Row],[Bills]])</f>
        <v>0</v>
      </c>
      <c r="F45" s="13">
        <f>Table1391049[[#This Row],[Budget]]-Table1391049[[#This Row],[Actual]]</f>
        <v>0</v>
      </c>
      <c r="G45" s="32"/>
      <c r="H45" s="42"/>
      <c r="Q45" s="42"/>
    </row>
    <row r="46" spans="2:23" x14ac:dyDescent="0.2">
      <c r="B46" s="32"/>
      <c r="C46" s="9" t="s">
        <v>20</v>
      </c>
      <c r="D46" s="10">
        <f>SUBTOTAL(109,Table1391049[Budget])</f>
        <v>0</v>
      </c>
      <c r="E46" s="10">
        <f>SUBTOTAL(109,Table1391049[Actual])</f>
        <v>0</v>
      </c>
      <c r="F46" s="10">
        <f>SUBTOTAL(109,Table1391049[Variance])</f>
        <v>0</v>
      </c>
      <c r="G46" s="32"/>
      <c r="H46" s="42"/>
      <c r="Q46" s="42"/>
    </row>
    <row r="47" spans="2:23" x14ac:dyDescent="0.2">
      <c r="B47" s="32"/>
      <c r="C47" s="20"/>
      <c r="D47" s="21"/>
      <c r="E47" s="21"/>
      <c r="F47" s="22"/>
      <c r="G47" s="32"/>
      <c r="H47" s="42"/>
      <c r="Q47" s="42"/>
    </row>
    <row r="48" spans="2:23" x14ac:dyDescent="0.2">
      <c r="B48" s="32"/>
      <c r="C48" s="37" t="str">
        <f>CONCATENATE(Table13746[[#Headers],[Living]]," - Budget &amp; Tracking")</f>
        <v>Living - Budget &amp; Tracking</v>
      </c>
      <c r="D48" s="38"/>
      <c r="E48" s="38"/>
      <c r="F48" s="39"/>
      <c r="G48" s="32"/>
      <c r="H48" s="42"/>
      <c r="Q48" s="42"/>
    </row>
    <row r="49" spans="2:17" x14ac:dyDescent="0.2">
      <c r="B49" s="32"/>
      <c r="C49" s="31" t="s">
        <v>25</v>
      </c>
      <c r="D49" s="31" t="s">
        <v>1</v>
      </c>
      <c r="E49" s="31" t="s">
        <v>2</v>
      </c>
      <c r="F49" s="31" t="s">
        <v>14</v>
      </c>
      <c r="G49" s="32"/>
      <c r="H49" s="42"/>
      <c r="Q49" s="42"/>
    </row>
    <row r="50" spans="2:17" x14ac:dyDescent="0.2">
      <c r="B50" s="32"/>
      <c r="D50" s="2"/>
      <c r="E50" s="2">
        <f>SUMIFS(Table444[Amount],Table444[Category],Table13746[[#Headers],[Living]],Table444[Sub-Category],Table13746[[#This Row],[Living]])+SUMIFS(Table4450[Amount],Table4450[Category],Table13746[[#Headers],[Living]],Table4450[Sub-Category],Table13746[[#This Row],[Living]])</f>
        <v>0</v>
      </c>
      <c r="F50" s="3">
        <f>Table13746[[#This Row],[Budget]]-Table13746[[#This Row],[Actual]]</f>
        <v>0</v>
      </c>
      <c r="G50" s="32"/>
      <c r="H50" s="42"/>
      <c r="Q50" s="42"/>
    </row>
    <row r="51" spans="2:17" x14ac:dyDescent="0.2">
      <c r="B51" s="32"/>
      <c r="D51" s="2"/>
      <c r="E51" s="2">
        <f>SUMIFS(Table444[Amount],Table444[Category],Table13746[[#Headers],[Living]],Table444[Sub-Category],Table13746[[#This Row],[Living]])+SUMIFS(Table4450[Amount],Table4450[Category],Table13746[[#Headers],[Living]],Table4450[Sub-Category],Table13746[[#This Row],[Living]])</f>
        <v>0</v>
      </c>
      <c r="F51" s="3">
        <f>Table13746[[#This Row],[Budget]]-Table13746[[#This Row],[Actual]]</f>
        <v>0</v>
      </c>
      <c r="G51" s="32"/>
      <c r="H51" s="42"/>
      <c r="Q51" s="42"/>
    </row>
    <row r="52" spans="2:17" x14ac:dyDescent="0.2">
      <c r="B52" s="32"/>
      <c r="C52" s="11"/>
      <c r="D52" s="12"/>
      <c r="E52" s="13">
        <f>SUMIFS(Table444[Amount],Table444[Category],Table13746[[#Headers],[Living]],Table444[Sub-Category],Table13746[[#This Row],[Living]])+SUMIFS(Table4450[Amount],Table4450[Category],Table13746[[#Headers],[Living]],Table4450[Sub-Category],Table13746[[#This Row],[Living]])</f>
        <v>0</v>
      </c>
      <c r="F52" s="13">
        <f>Table13746[[#This Row],[Budget]]-Table13746[[#This Row],[Actual]]</f>
        <v>0</v>
      </c>
      <c r="G52" s="32"/>
      <c r="H52" s="42"/>
      <c r="Q52" s="42"/>
    </row>
    <row r="53" spans="2:17" x14ac:dyDescent="0.2">
      <c r="B53" s="32"/>
      <c r="C53" s="11"/>
      <c r="D53" s="12"/>
      <c r="E53" s="13">
        <f>SUMIFS(Table444[Amount],Table444[Category],Table13746[[#Headers],[Living]],Table444[Sub-Category],Table13746[[#This Row],[Living]])+SUMIFS(Table4450[Amount],Table4450[Category],Table13746[[#Headers],[Living]],Table4450[Sub-Category],Table13746[[#This Row],[Living]])</f>
        <v>0</v>
      </c>
      <c r="F53" s="13">
        <f>Table13746[[#This Row],[Budget]]-Table13746[[#This Row],[Actual]]</f>
        <v>0</v>
      </c>
      <c r="G53" s="32"/>
      <c r="H53" s="42"/>
      <c r="Q53" s="42"/>
    </row>
    <row r="54" spans="2:17" x14ac:dyDescent="0.2">
      <c r="B54" s="32"/>
      <c r="C54" s="9" t="s">
        <v>20</v>
      </c>
      <c r="D54" s="10">
        <f>SUBTOTAL(109,Table13746[Budget])</f>
        <v>0</v>
      </c>
      <c r="E54" s="10">
        <f>SUBTOTAL(109,Table13746[Actual])</f>
        <v>0</v>
      </c>
      <c r="F54" s="10">
        <f>SUBTOTAL(109,Table13746[Variance])</f>
        <v>0</v>
      </c>
      <c r="G54" s="32"/>
      <c r="H54" s="42"/>
      <c r="Q54" s="42"/>
    </row>
    <row r="55" spans="2:17" x14ac:dyDescent="0.2">
      <c r="B55" s="32"/>
      <c r="C55" s="20"/>
      <c r="D55" s="21"/>
      <c r="E55" s="21"/>
      <c r="F55" s="22"/>
      <c r="G55" s="32"/>
      <c r="H55" s="42"/>
      <c r="Q55" s="42"/>
    </row>
    <row r="56" spans="2:17" x14ac:dyDescent="0.2">
      <c r="B56" s="32"/>
      <c r="C56" s="37" t="str">
        <f>CONCATENATE(Table13847[[#Headers],[Entertainment]]," - Budget &amp; Tracking")</f>
        <v>Entertainment - Budget &amp; Tracking</v>
      </c>
      <c r="D56" s="38"/>
      <c r="E56" s="38"/>
      <c r="F56" s="39"/>
      <c r="G56" s="32"/>
      <c r="H56" s="42"/>
      <c r="Q56" s="42"/>
    </row>
    <row r="57" spans="2:17" x14ac:dyDescent="0.2">
      <c r="B57" s="32"/>
      <c r="C57" s="31" t="s">
        <v>24</v>
      </c>
      <c r="D57" s="31" t="s">
        <v>1</v>
      </c>
      <c r="E57" s="31" t="s">
        <v>2</v>
      </c>
      <c r="F57" s="31" t="s">
        <v>14</v>
      </c>
      <c r="G57" s="32"/>
      <c r="H57" s="42"/>
      <c r="Q57" s="42"/>
    </row>
    <row r="58" spans="2:17" x14ac:dyDescent="0.2">
      <c r="B58" s="32"/>
      <c r="D58" s="2"/>
      <c r="E58" s="2">
        <f>SUMIFS(Table444[Amount],Table444[Category],Table13847[[#Headers],[Entertainment]],Table444[Sub-Category],Table13847[[#This Row],[Entertainment]])+SUMIFS(Table4450[Amount],Table4450[Category],Table13847[[#Headers],[Entertainment]],Table4450[Sub-Category],Table13847[[#This Row],[Entertainment]])</f>
        <v>0</v>
      </c>
      <c r="F58" s="3">
        <f>Table13847[[#This Row],[Budget]]-Table13847[[#This Row],[Actual]]</f>
        <v>0</v>
      </c>
      <c r="G58" s="32"/>
      <c r="H58" s="42"/>
      <c r="Q58" s="42"/>
    </row>
    <row r="59" spans="2:17" x14ac:dyDescent="0.2">
      <c r="B59" s="33"/>
      <c r="D59" s="2"/>
      <c r="E59" s="2">
        <f>SUMIFS(Table444[Amount],Table444[Category],Table13847[[#Headers],[Entertainment]],Table444[Sub-Category],Table13847[[#This Row],[Entertainment]])+SUMIFS(Table4450[Amount],Table4450[Category],Table13847[[#Headers],[Entertainment]],Table4450[Sub-Category],Table13847[[#This Row],[Entertainment]])</f>
        <v>0</v>
      </c>
      <c r="F59" s="3">
        <f>Table13847[[#This Row],[Budget]]-Table13847[[#This Row],[Actual]]</f>
        <v>0</v>
      </c>
      <c r="G59" s="33"/>
      <c r="H59" s="42"/>
      <c r="Q59" s="42"/>
    </row>
    <row r="60" spans="2:17" x14ac:dyDescent="0.2">
      <c r="C60" s="9" t="s">
        <v>20</v>
      </c>
      <c r="D60" s="10">
        <f>SUBTOTAL(109,Table13847[Budget])</f>
        <v>0</v>
      </c>
      <c r="E60" s="10">
        <f>SUBTOTAL(109,Table13847[Actual])</f>
        <v>0</v>
      </c>
      <c r="F60" s="10">
        <f>SUBTOTAL(109,Table13847[Variance])</f>
        <v>0</v>
      </c>
      <c r="H60" s="42"/>
      <c r="Q60" s="42"/>
    </row>
    <row r="61" spans="2:17" x14ac:dyDescent="0.2">
      <c r="C61" s="26"/>
      <c r="D61" s="23"/>
      <c r="E61" s="23"/>
      <c r="F61" s="23"/>
      <c r="H61" s="42"/>
      <c r="Q61" s="42"/>
    </row>
    <row r="62" spans="2:17" x14ac:dyDescent="0.2">
      <c r="C62" s="37" t="str">
        <f>CONCATENATE(Table13948[[#Headers],[Misc.]]," - Budget &amp; Tracking")</f>
        <v>Misc. - Budget &amp; Tracking</v>
      </c>
      <c r="D62" s="38"/>
      <c r="E62" s="38"/>
      <c r="F62" s="39"/>
      <c r="H62" s="42"/>
      <c r="Q62" s="42"/>
    </row>
    <row r="63" spans="2:17" x14ac:dyDescent="0.2">
      <c r="C63" s="31" t="s">
        <v>27</v>
      </c>
      <c r="D63" s="31" t="s">
        <v>1</v>
      </c>
      <c r="E63" s="31" t="s">
        <v>2</v>
      </c>
      <c r="F63" s="31" t="s">
        <v>14</v>
      </c>
      <c r="H63" s="42"/>
      <c r="Q63" s="42"/>
    </row>
    <row r="64" spans="2:17" x14ac:dyDescent="0.2">
      <c r="C64" s="11"/>
      <c r="D64" s="12"/>
      <c r="E64" s="13">
        <f>SUMIFS(Table444[Amount],Table444[Category],Table13948[[#Headers],[Misc.]],Table444[Sub-Category],Table13948[[#This Row],[Misc.]])+SUMIFS(Table4450[Amount],Table4450[Category],Table13948[[#Headers],[Misc.]],Table4450[Sub-Category],Table13948[[#This Row],[Misc.]])</f>
        <v>0</v>
      </c>
      <c r="F64" s="13">
        <f>Table13948[[#This Row],[Budget]]-Table13948[[#This Row],[Actual]]</f>
        <v>0</v>
      </c>
      <c r="H64" s="42"/>
      <c r="Q64" s="42"/>
    </row>
    <row r="65" spans="3:17" x14ac:dyDescent="0.2">
      <c r="C65" s="11"/>
      <c r="D65" s="12"/>
      <c r="E65" s="13">
        <f>SUMIFS(Table444[Amount],Table444[Category],Table13948[[#Headers],[Misc.]],Table444[Sub-Category],Table13948[[#This Row],[Misc.]])+SUMIFS(Table4450[Amount],Table4450[Category],Table13948[[#Headers],[Misc.]],Table4450[Sub-Category],Table13948[[#This Row],[Misc.]])</f>
        <v>0</v>
      </c>
      <c r="F65" s="13">
        <f>Table13948[[#This Row],[Budget]]-Table13948[[#This Row],[Actual]]</f>
        <v>0</v>
      </c>
      <c r="H65" s="42"/>
      <c r="Q65" s="42"/>
    </row>
    <row r="66" spans="3:17" x14ac:dyDescent="0.2">
      <c r="C66" s="9" t="s">
        <v>20</v>
      </c>
      <c r="D66" s="10">
        <f>SUBTOTAL(109,Table13948[Budget])</f>
        <v>0</v>
      </c>
      <c r="E66" s="10">
        <f>SUBTOTAL(109,Table13948[Actual])</f>
        <v>0</v>
      </c>
      <c r="F66" s="10">
        <f>SUBTOTAL(109,Table13948[Variance])</f>
        <v>0</v>
      </c>
      <c r="H66" s="42"/>
      <c r="Q66" s="42"/>
    </row>
    <row r="67" spans="3:17" x14ac:dyDescent="0.2">
      <c r="C67" s="26"/>
      <c r="D67" s="23"/>
      <c r="E67" s="23"/>
      <c r="F67" s="23"/>
    </row>
    <row r="68" spans="3:17" x14ac:dyDescent="0.2">
      <c r="C68" s="33"/>
      <c r="D68" s="34"/>
      <c r="E68" s="34"/>
      <c r="F68" s="34"/>
    </row>
  </sheetData>
  <mergeCells count="1">
    <mergeCell ref="C1:F1"/>
  </mergeCells>
  <conditionalFormatting sqref="F33:F36">
    <cfRule type="iconSet" priority="23">
      <iconSet iconSet="3Symbols">
        <cfvo type="percent" val="0"/>
        <cfvo type="num" val="0"/>
        <cfvo type="num" val="10"/>
      </iconSet>
    </cfRule>
  </conditionalFormatting>
  <conditionalFormatting sqref="F50:F53">
    <cfRule type="iconSet" priority="21">
      <iconSet iconSet="3Symbols">
        <cfvo type="percent" val="0"/>
        <cfvo type="num" val="0"/>
        <cfvo type="num" val="10"/>
      </iconSet>
    </cfRule>
  </conditionalFormatting>
  <conditionalFormatting sqref="F58:F59">
    <cfRule type="iconSet" priority="20">
      <iconSet iconSet="3Symbols">
        <cfvo type="percent" val="0"/>
        <cfvo type="num" val="0"/>
        <cfvo type="num" val="10"/>
      </iconSet>
    </cfRule>
  </conditionalFormatting>
  <conditionalFormatting sqref="F41:F45">
    <cfRule type="iconSet" priority="19">
      <iconSet iconSet="3Symbols">
        <cfvo type="percent" val="0"/>
        <cfvo type="num" val="0"/>
        <cfvo type="num" val="10"/>
      </iconSet>
    </cfRule>
  </conditionalFormatting>
  <conditionalFormatting sqref="D6:E6">
    <cfRule type="iconSet" priority="18">
      <iconSet iconSet="3Symbols">
        <cfvo type="percent" val="0"/>
        <cfvo type="num" val="0" gte="0"/>
        <cfvo type="num" val="10"/>
      </iconSet>
    </cfRule>
  </conditionalFormatting>
  <conditionalFormatting sqref="F3:F6">
    <cfRule type="iconSet" priority="17">
      <iconSet iconSet="3Arrows">
        <cfvo type="percent" val="0"/>
        <cfvo type="num" val="-50"/>
        <cfvo type="num" val="0" gte="0"/>
      </iconSet>
    </cfRule>
  </conditionalFormatting>
  <conditionalFormatting sqref="F20:F28">
    <cfRule type="iconSet" priority="24">
      <iconSet iconSet="3Symbols">
        <cfvo type="percent" val="0"/>
        <cfvo type="num" val="0"/>
        <cfvo type="num" val="10"/>
      </iconSet>
    </cfRule>
  </conditionalFormatting>
  <conditionalFormatting sqref="S12">
    <cfRule type="cellIs" dxfId="143" priority="16" operator="equal">
      <formula>TODAY()</formula>
    </cfRule>
  </conditionalFormatting>
  <conditionalFormatting sqref="T12 T20:U42">
    <cfRule type="expression" dxfId="142" priority="15">
      <formula>IF($S12=TODAY(),TRUE)</formula>
    </cfRule>
  </conditionalFormatting>
  <conditionalFormatting sqref="U12">
    <cfRule type="expression" dxfId="141" priority="14">
      <formula>IF($S12=TODAY(),TRUE)</formula>
    </cfRule>
  </conditionalFormatting>
  <conditionalFormatting sqref="V12 V20:V42">
    <cfRule type="expression" dxfId="140" priority="13">
      <formula>IF($S12=TODAY(),TRUE)</formula>
    </cfRule>
  </conditionalFormatting>
  <conditionalFormatting sqref="S13:S15">
    <cfRule type="cellIs" dxfId="139" priority="12" operator="equal">
      <formula>TODAY()</formula>
    </cfRule>
  </conditionalFormatting>
  <conditionalFormatting sqref="T13:T15">
    <cfRule type="expression" dxfId="138" priority="11">
      <formula>IF($S13=TODAY(),TRUE)</formula>
    </cfRule>
  </conditionalFormatting>
  <conditionalFormatting sqref="U13:U15">
    <cfRule type="expression" dxfId="137" priority="10">
      <formula>IF($S13=TODAY(),TRUE)</formula>
    </cfRule>
  </conditionalFormatting>
  <conditionalFormatting sqref="V13:V15">
    <cfRule type="expression" dxfId="136" priority="9">
      <formula>IF($S13=TODAY(),TRUE)</formula>
    </cfRule>
  </conditionalFormatting>
  <conditionalFormatting sqref="S16 S20 S24 S28 S32 S36 S40">
    <cfRule type="cellIs" dxfId="135" priority="8" operator="equal">
      <formula>TODAY()</formula>
    </cfRule>
  </conditionalFormatting>
  <conditionalFormatting sqref="T16">
    <cfRule type="expression" dxfId="134" priority="7">
      <formula>IF($S16=TODAY(),TRUE)</formula>
    </cfRule>
  </conditionalFormatting>
  <conditionalFormatting sqref="U16">
    <cfRule type="expression" dxfId="133" priority="6">
      <formula>IF($S16=TODAY(),TRUE)</formula>
    </cfRule>
  </conditionalFormatting>
  <conditionalFormatting sqref="V16">
    <cfRule type="expression" dxfId="132" priority="5">
      <formula>IF($S16=TODAY(),TRUE)</formula>
    </cfRule>
  </conditionalFormatting>
  <conditionalFormatting sqref="S17:S19 S21:S23 S25:S27 S29:S31 S33:S35 S37:S39 S41:S42">
    <cfRule type="cellIs" dxfId="131" priority="4" operator="equal">
      <formula>TODAY()</formula>
    </cfRule>
  </conditionalFormatting>
  <conditionalFormatting sqref="T17:T19">
    <cfRule type="expression" dxfId="130" priority="3">
      <formula>IF($S17=TODAY(),TRUE)</formula>
    </cfRule>
  </conditionalFormatting>
  <conditionalFormatting sqref="U17:U19">
    <cfRule type="expression" dxfId="129" priority="2">
      <formula>IF($S17=TODAY(),TRUE)</formula>
    </cfRule>
  </conditionalFormatting>
  <conditionalFormatting sqref="V17:V19">
    <cfRule type="expression" dxfId="128" priority="1">
      <formula>IF($S17=TODAY(),TRUE)</formula>
    </cfRule>
  </conditionalFormatting>
  <conditionalFormatting sqref="F66:F68">
    <cfRule type="iconSet" priority="25">
      <iconSet iconSet="3Symbols">
        <cfvo type="percent" val="0"/>
        <cfvo type="num" val="0" gte="0"/>
        <cfvo type="num" val="10"/>
      </iconSet>
    </cfRule>
  </conditionalFormatting>
  <conditionalFormatting sqref="F60:F61">
    <cfRule type="iconSet" priority="26">
      <iconSet iconSet="3Symbols">
        <cfvo type="percent" val="0"/>
        <cfvo type="num" val="0" gte="0"/>
        <cfvo type="num" val="10"/>
      </iconSet>
    </cfRule>
  </conditionalFormatting>
  <conditionalFormatting sqref="F54:F55">
    <cfRule type="iconSet" priority="27">
      <iconSet iconSet="3Symbols">
        <cfvo type="percent" val="0"/>
        <cfvo type="num" val="0" gte="0"/>
        <cfvo type="num" val="10" gte="0"/>
      </iconSet>
    </cfRule>
  </conditionalFormatting>
  <conditionalFormatting sqref="F46:F47">
    <cfRule type="iconSet" priority="28">
      <iconSet iconSet="3Symbols">
        <cfvo type="percent" val="0"/>
        <cfvo type="num" val="0" gte="0"/>
        <cfvo type="num" val="10"/>
      </iconSet>
    </cfRule>
  </conditionalFormatting>
  <conditionalFormatting sqref="F37:F38">
    <cfRule type="iconSet" priority="29">
      <iconSet iconSet="3Symbols">
        <cfvo type="percent" val="0"/>
        <cfvo type="num" val="0" gte="0"/>
        <cfvo type="num" val="10"/>
      </iconSet>
    </cfRule>
  </conditionalFormatting>
  <conditionalFormatting sqref="F29:F30">
    <cfRule type="iconSet" priority="30">
      <iconSet iconSet="3Symbols">
        <cfvo type="percent" val="0"/>
        <cfvo type="num" val="0" gte="0"/>
        <cfvo type="num" val="10"/>
      </iconSet>
    </cfRule>
  </conditionalFormatting>
  <conditionalFormatting sqref="F64:F65">
    <cfRule type="iconSet" priority="32">
      <iconSet iconSet="3Symbols">
        <cfvo type="percent" val="0"/>
        <cfvo type="num" val="0"/>
        <cfvo type="num" val="10"/>
      </iconSet>
    </cfRule>
  </conditionalFormatting>
  <dataValidations count="3">
    <dataValidation type="list" allowBlank="1" showInputMessage="1" showErrorMessage="1" sqref="O35:O40 O19:O32 O12:O16">
      <formula1>$U$2:$U$4</formula1>
    </dataValidation>
    <dataValidation type="list" allowBlank="1" showInputMessage="1" showErrorMessage="1" sqref="K35:K40 K19:K32 K12:K16">
      <formula1>$R$2:$R$8</formula1>
    </dataValidation>
    <dataValidation type="list" allowBlank="1" showInputMessage="1" showErrorMessage="1" sqref="L35:L40 L12:L16 L19:L32">
      <formula1>INDIRECT(K12)</formula1>
    </dataValidation>
  </dataValidations>
  <printOptions horizontalCentered="1"/>
  <pageMargins left="0.2" right="0.2" top="0.25" bottom="0.25" header="0.3" footer="0.3"/>
  <pageSetup scale="76" orientation="landscape" r:id="rId1"/>
  <drawing r:id="rId2"/>
  <tableParts count="10">
    <tablePart r:id="rId3"/>
    <tablePart r:id="rId4"/>
    <tablePart r:id="rId5"/>
    <tablePart r:id="rId6"/>
    <tablePart r:id="rId7"/>
    <tablePart r:id="rId8"/>
    <tablePart r:id="rId9"/>
    <tablePart r:id="rId10"/>
    <tablePart r:id="rId11"/>
    <tablePart r:id="rId12"/>
  </tableParts>
  <extLst>
    <ext xmlns:x14="http://schemas.microsoft.com/office/spreadsheetml/2009/9/main" uri="{78C0D931-6437-407d-A8EE-F0AAD7539E65}">
      <x14:conditionalFormattings>
        <x14:conditionalFormatting xmlns:xm="http://schemas.microsoft.com/office/excel/2006/main">
          <x14:cfRule type="iconSet" priority="22" id="{CB8ABB51-D348-4A75-AEF2-16C6390F048E}">
            <x14:iconSet iconSet="3Symbols" custom="1">
              <x14:cfvo type="percent">
                <xm:f>0</xm:f>
              </x14:cfvo>
              <x14:cfvo type="num">
                <xm:f>0</xm:f>
              </x14:cfvo>
              <x14:cfvo type="num">
                <xm:f>10</xm:f>
              </x14:cfvo>
              <x14:cfIcon iconSet="3Symbols" iconId="0"/>
              <x14:cfIcon iconSet="3Symbols" iconId="1"/>
              <x14:cfIcon iconSet="3Symbols" iconId="2"/>
            </x14:iconSet>
          </x14:cfRule>
          <xm:sqref>F12:F15</xm:sqref>
        </x14:conditionalFormatting>
        <x14:conditionalFormatting xmlns:xm="http://schemas.microsoft.com/office/excel/2006/main">
          <x14:cfRule type="iconSet" priority="31" id="{156AA23D-C480-4236-BBEB-397CA0A92AA0}">
            <x14:iconSet iconSet="3Symbols" custom="1">
              <x14:cfvo type="percent">
                <xm:f>0</xm:f>
              </x14:cfvo>
              <x14:cfvo type="num" gte="0">
                <xm:f>0</xm:f>
              </x14:cfvo>
              <x14:cfvo type="num">
                <xm:f>10</xm:f>
              </x14:cfvo>
              <x14:cfIcon iconSet="3Symbols" iconId="0"/>
              <x14:cfIcon iconSet="3Symbols" iconId="1"/>
              <x14:cfIcon iconSet="3Symbols" iconId="2"/>
            </x14:iconSet>
          </x14:cfRule>
          <xm:sqref>F16:F17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8"/>
  <sheetViews>
    <sheetView showGridLines="0" zoomScaleNormal="100" workbookViewId="0">
      <selection activeCell="C1" sqref="C1:F1"/>
    </sheetView>
  </sheetViews>
  <sheetFormatPr defaultColWidth="0" defaultRowHeight="12" x14ac:dyDescent="0.2"/>
  <cols>
    <col min="1" max="2" width="0.7109375" style="1" customWidth="1"/>
    <col min="3" max="3" width="15" style="1" bestFit="1" customWidth="1"/>
    <col min="4" max="6" width="12.85546875" style="1" customWidth="1"/>
    <col min="7" max="7" width="0.85546875" style="1" customWidth="1"/>
    <col min="8" max="8" width="0.28515625" style="1" customWidth="1"/>
    <col min="9" max="9" width="0.85546875" style="1" customWidth="1"/>
    <col min="10" max="10" width="24.42578125" style="1" bestFit="1" customWidth="1"/>
    <col min="11" max="11" width="12.140625" style="1" bestFit="1" customWidth="1"/>
    <col min="12" max="12" width="14.140625" style="1" bestFit="1" customWidth="1"/>
    <col min="13" max="13" width="8.5703125" style="1" bestFit="1" customWidth="1"/>
    <col min="14" max="14" width="9.7109375" style="1" bestFit="1" customWidth="1"/>
    <col min="15" max="15" width="8.28515625" style="1" bestFit="1" customWidth="1"/>
    <col min="16" max="16" width="0.85546875" style="1" customWidth="1"/>
    <col min="17" max="17" width="0.28515625" style="1" customWidth="1"/>
    <col min="18" max="18" width="0.85546875" style="1" customWidth="1"/>
    <col min="19" max="19" width="10.28515625" style="1" bestFit="1" customWidth="1"/>
    <col min="20" max="22" width="9.5703125" style="1" customWidth="1"/>
    <col min="23" max="23" width="0.7109375" style="1" customWidth="1"/>
    <col min="24" max="24" width="0.7109375" style="1" hidden="1" customWidth="1"/>
    <col min="25" max="25" width="12.140625" style="1" hidden="1" customWidth="1"/>
    <col min="26" max="27" width="4" style="1" hidden="1" customWidth="1"/>
    <col min="28" max="16384" width="9.140625" style="1" hidden="1"/>
  </cols>
  <sheetData>
    <row r="1" spans="2:23" ht="26.25" x14ac:dyDescent="0.4">
      <c r="C1" s="61">
        <f>DATE(YEAR(Mo.4!C1),MONTH(Mo.4!C1)+1,DAY(Mo.4!C1))</f>
        <v>41640</v>
      </c>
      <c r="D1" s="61"/>
      <c r="E1" s="61"/>
      <c r="F1" s="61"/>
      <c r="R1" s="45" t="s">
        <v>0</v>
      </c>
      <c r="S1" s="45" t="s">
        <v>1</v>
      </c>
      <c r="T1" s="45" t="s">
        <v>2</v>
      </c>
      <c r="U1" s="45" t="s">
        <v>16</v>
      </c>
      <c r="V1" s="45" t="s">
        <v>45</v>
      </c>
    </row>
    <row r="2" spans="2:23" x14ac:dyDescent="0.2">
      <c r="D2" s="18" t="s">
        <v>1</v>
      </c>
      <c r="E2" s="19" t="s">
        <v>2</v>
      </c>
      <c r="F2" s="19" t="s">
        <v>14</v>
      </c>
      <c r="R2" s="45" t="str">
        <f>Table13655[[#Headers],[Income]]</f>
        <v>Income</v>
      </c>
      <c r="S2" s="45">
        <f>SUM(Table13655[Budget])</f>
        <v>0</v>
      </c>
      <c r="T2" s="45">
        <f>SUM(Table13655[Actual])</f>
        <v>0</v>
      </c>
      <c r="U2" s="45" t="s">
        <v>19</v>
      </c>
      <c r="V2" s="45">
        <f>AVERAGE(V12:V42)</f>
        <v>1156.7400000000005</v>
      </c>
    </row>
    <row r="3" spans="2:23" x14ac:dyDescent="0.2">
      <c r="C3" s="17" t="s">
        <v>35</v>
      </c>
      <c r="D3" s="5">
        <f>Mo.4!D6</f>
        <v>1156.74</v>
      </c>
      <c r="E3" s="14">
        <f>Mo.4!E6</f>
        <v>1156.74</v>
      </c>
      <c r="F3" s="14">
        <f>E3-D3</f>
        <v>0</v>
      </c>
      <c r="R3" s="45" t="str">
        <f>Table152[[#Headers],[Housing]]</f>
        <v>Housing</v>
      </c>
      <c r="S3" s="45">
        <f>SUM(Table152[Budget])</f>
        <v>0</v>
      </c>
      <c r="T3" s="45">
        <f>SUM(Table152[Actual])</f>
        <v>0</v>
      </c>
      <c r="U3" s="45" t="s">
        <v>17</v>
      </c>
      <c r="V3" s="45"/>
    </row>
    <row r="4" spans="2:23" x14ac:dyDescent="0.2">
      <c r="C4" s="17" t="s">
        <v>32</v>
      </c>
      <c r="D4" s="5">
        <f>Table13655[[#Totals],[Budget]]</f>
        <v>0</v>
      </c>
      <c r="E4" s="5">
        <f>Table13655[[#Totals],[Actual]]</f>
        <v>0</v>
      </c>
      <c r="F4" s="5">
        <f>E4-D4</f>
        <v>0</v>
      </c>
      <c r="R4" s="45" t="str">
        <f>Table1353[[#Headers],[Transportation]]</f>
        <v>Transportation</v>
      </c>
      <c r="S4" s="45">
        <f>SUM(Table1353[Budget])</f>
        <v>0</v>
      </c>
      <c r="T4" s="45">
        <f>SUM(Table1353[Actual])</f>
        <v>0</v>
      </c>
      <c r="U4" s="45" t="s">
        <v>18</v>
      </c>
      <c r="V4" s="45"/>
    </row>
    <row r="5" spans="2:23" x14ac:dyDescent="0.2">
      <c r="C5" s="17" t="s">
        <v>33</v>
      </c>
      <c r="D5" s="5">
        <f>Table152[[#Totals],[Budget]]+Table1353[[#Totals],[Budget]]+Table1391059[[#Totals],[Budget]]+Table13756[[#Totals],[Budget]]+Table13857[[#Totals],[Budget]]+Table13958[[#Totals],[Budget]]</f>
        <v>0</v>
      </c>
      <c r="E5" s="5">
        <f>Table152[[#Totals],[Actual]]+Table1353[[#Totals],[Actual]]+Table1391059[[#Totals],[Actual]]+Table13756[[#Totals],[Actual]]+Table13857[[#Totals],[Actual]]+Table13958[[#Totals],[Actual]]</f>
        <v>0</v>
      </c>
      <c r="F5" s="5">
        <f>E5-D5</f>
        <v>0</v>
      </c>
      <c r="R5" s="45" t="str">
        <f>Table1391059[[#Headers],[Bills]]</f>
        <v>Bills</v>
      </c>
      <c r="S5" s="45">
        <f>SUM(Table1391059[Budget])</f>
        <v>0</v>
      </c>
      <c r="T5" s="45">
        <f>SUM(Table1391059[Actual])</f>
        <v>0</v>
      </c>
      <c r="U5" s="45"/>
      <c r="V5" s="45"/>
    </row>
    <row r="6" spans="2:23" x14ac:dyDescent="0.2">
      <c r="C6" s="15" t="s">
        <v>34</v>
      </c>
      <c r="D6" s="16">
        <f>D3+D4-D5</f>
        <v>1156.74</v>
      </c>
      <c r="E6" s="16">
        <f>E3+E4-E5</f>
        <v>1156.74</v>
      </c>
      <c r="F6" s="16">
        <f>F3+F4-F5</f>
        <v>0</v>
      </c>
      <c r="R6" s="45" t="str">
        <f>Table13756[[#Headers],[Living]]</f>
        <v>Living</v>
      </c>
      <c r="S6" s="45">
        <f>SUM(Table13756[Budget])</f>
        <v>0</v>
      </c>
      <c r="T6" s="45">
        <f>SUM(Table13756[Actual])</f>
        <v>0</v>
      </c>
      <c r="U6" s="45"/>
      <c r="V6" s="45"/>
    </row>
    <row r="7" spans="2:23" ht="3.75" customHeight="1" x14ac:dyDescent="0.2">
      <c r="D7" s="2"/>
      <c r="R7" s="45" t="str">
        <f>Table13857[[#Headers],[Entertainment]]</f>
        <v>Entertainment</v>
      </c>
      <c r="S7" s="45">
        <f>SUM(Table13857[Budget])</f>
        <v>0</v>
      </c>
      <c r="T7" s="45">
        <f>SUM(Table13857[Actual])</f>
        <v>0</v>
      </c>
      <c r="U7" s="45"/>
      <c r="V7" s="45"/>
    </row>
    <row r="8" spans="2:23" ht="1.5" customHeight="1" x14ac:dyDescent="0.2">
      <c r="C8" s="42"/>
      <c r="D8" s="43"/>
      <c r="E8" s="42"/>
      <c r="F8" s="42"/>
      <c r="G8" s="42"/>
      <c r="H8" s="42"/>
      <c r="I8" s="42"/>
      <c r="J8" s="42"/>
      <c r="K8" s="42"/>
      <c r="L8" s="42"/>
      <c r="M8" s="42"/>
      <c r="N8" s="42"/>
      <c r="O8" s="42"/>
      <c r="P8" s="42"/>
      <c r="Q8" s="42"/>
      <c r="R8" s="44" t="str">
        <f>Table13958[[#Headers],[Misc.]]</f>
        <v>Misc.</v>
      </c>
      <c r="S8" s="44">
        <f>SUM(Table13958[Budget])</f>
        <v>0</v>
      </c>
      <c r="T8" s="44">
        <f>SUM(Table13958[Actual])</f>
        <v>0</v>
      </c>
      <c r="U8" s="44"/>
      <c r="V8" s="44"/>
    </row>
    <row r="9" spans="2:23" ht="3.75" customHeight="1" x14ac:dyDescent="0.2">
      <c r="D9" s="2"/>
      <c r="H9" s="42"/>
      <c r="Q9" s="42"/>
    </row>
    <row r="10" spans="2:23" s="25" customFormat="1" x14ac:dyDescent="0.2">
      <c r="B10" s="35"/>
      <c r="C10" s="37" t="str">
        <f>CONCATENATE(Table13655[[#Headers],[Income]]," - Budget &amp; Tracking")</f>
        <v>Income - Budget &amp; Tracking</v>
      </c>
      <c r="D10" s="38"/>
      <c r="E10" s="38"/>
      <c r="F10" s="39"/>
      <c r="G10" s="35"/>
      <c r="H10" s="41"/>
      <c r="J10" s="37" t="s">
        <v>42</v>
      </c>
      <c r="K10" s="38"/>
      <c r="L10" s="38"/>
      <c r="M10" s="38"/>
      <c r="N10" s="38"/>
      <c r="O10" s="39"/>
      <c r="Q10" s="41"/>
      <c r="S10" s="37" t="s">
        <v>40</v>
      </c>
      <c r="T10" s="38"/>
      <c r="U10" s="38"/>
      <c r="V10" s="39"/>
    </row>
    <row r="11" spans="2:23" ht="12.75" thickBot="1" x14ac:dyDescent="0.25">
      <c r="B11" s="32"/>
      <c r="C11" s="31" t="s">
        <v>15</v>
      </c>
      <c r="D11" s="31" t="s">
        <v>1</v>
      </c>
      <c r="E11" s="31" t="s">
        <v>2</v>
      </c>
      <c r="F11" s="31" t="s">
        <v>14</v>
      </c>
      <c r="G11" s="32"/>
      <c r="H11" s="42"/>
      <c r="J11" s="31" t="s">
        <v>9</v>
      </c>
      <c r="K11" s="31" t="s">
        <v>0</v>
      </c>
      <c r="L11" s="31" t="s">
        <v>13</v>
      </c>
      <c r="M11" s="31" t="s">
        <v>10</v>
      </c>
      <c r="N11" s="31" t="s">
        <v>11</v>
      </c>
      <c r="O11" s="31" t="s">
        <v>16</v>
      </c>
      <c r="Q11" s="42"/>
      <c r="S11" s="40" t="s">
        <v>10</v>
      </c>
      <c r="T11" s="40" t="s">
        <v>22</v>
      </c>
      <c r="U11" s="40" t="s">
        <v>21</v>
      </c>
      <c r="V11" s="40" t="s">
        <v>23</v>
      </c>
    </row>
    <row r="12" spans="2:23" x14ac:dyDescent="0.2">
      <c r="B12" s="32"/>
      <c r="D12" s="2"/>
      <c r="E12" s="2">
        <f>SUMIFS(Table442061[Amount],Table442061[Category],Table13655[[#Headers],[Income]],Table442061[Sub-Category],Table13655[[#This Row],[Income]])+SUMIFS(Table4460[Amount],Table4460[Category],Table13655[[#Headers],[Income]],Table4460[Sub-Category],Table13655[[#This Row],[Income]])</f>
        <v>0</v>
      </c>
      <c r="F12" s="3">
        <f>Table13655[[#This Row],[Actual]]-Table13655[[#This Row],[Budget]]</f>
        <v>0</v>
      </c>
      <c r="G12" s="32"/>
      <c r="H12" s="42"/>
      <c r="M12" s="4"/>
      <c r="N12" s="2"/>
      <c r="Q12" s="42"/>
      <c r="S12" s="27">
        <f>C1</f>
        <v>41640</v>
      </c>
      <c r="T12" s="29">
        <f>SUMIFS(Table442061[Amount],Table442061[Date],S12,Table442061[Category],Table13655[[#Headers],[Income]])+SUMIFS(Table4460[Amount],Table4460[Date],S12,Table4460[Category],Table13655[[#Headers],[Income]])</f>
        <v>0</v>
      </c>
      <c r="U12" s="29">
        <f>SUMIFS(Table454[Amount],Table454[Date],S12,Table454[Category],"&lt;&gt;"&amp;Table13655[[#Headers],[Income]])+SUMIFS(Table4460[Amount],Table4460[Date],S12,Table4460[Category],"&lt;&gt;"&amp;Table13655[[#Headers],[Income]])</f>
        <v>0</v>
      </c>
      <c r="V12" s="29">
        <f>E3+T12-U12</f>
        <v>1156.74</v>
      </c>
      <c r="W12" s="1">
        <f>V2</f>
        <v>1156.7400000000005</v>
      </c>
    </row>
    <row r="13" spans="2:23" x14ac:dyDescent="0.2">
      <c r="B13" s="32"/>
      <c r="D13" s="2"/>
      <c r="E13" s="2">
        <f>SUMIFS(Table442061[Amount],Table442061[Category],Table13655[[#Headers],[Income]],Table442061[Sub-Category],Table13655[[#This Row],[Income]])+SUMIFS(Table4460[Amount],Table4460[Category],Table13655[[#Headers],[Income]],Table4460[Sub-Category],Table13655[[#This Row],[Income]])</f>
        <v>0</v>
      </c>
      <c r="F13" s="3">
        <f>Table13655[[#This Row],[Actual]]-Table13655[[#This Row],[Budget]]</f>
        <v>0</v>
      </c>
      <c r="G13" s="32"/>
      <c r="H13" s="42"/>
      <c r="M13" s="4"/>
      <c r="N13" s="2"/>
      <c r="Q13" s="42"/>
      <c r="S13" s="30">
        <f t="shared" ref="S13:S42" si="0">S12+1</f>
        <v>41641</v>
      </c>
      <c r="T13" s="28">
        <f>SUMIFS(Table442061[Amount],Table442061[Date],S13,Table442061[Category],Table13655[[#Headers],[Income]])+SUMIFS(Table4460[Amount],Table4460[Date],S13,Table4460[Category],Table13655[[#Headers],[Income]])</f>
        <v>0</v>
      </c>
      <c r="U13" s="28">
        <f>SUMIFS(Table454[Amount],Table454[Date],S13,Table454[Category],"&lt;&gt;"&amp;Table13655[[#Headers],[Income]])+SUMIFS(Table4460[Amount],Table4460[Date],S13,Table4460[Category],"&lt;&gt;"&amp;Table13655[[#Headers],[Income]])</f>
        <v>0</v>
      </c>
      <c r="V13" s="28">
        <f>V12+T13-U13</f>
        <v>1156.74</v>
      </c>
      <c r="W13" s="1">
        <f>W12</f>
        <v>1156.7400000000005</v>
      </c>
    </row>
    <row r="14" spans="2:23" x14ac:dyDescent="0.2">
      <c r="B14" s="32"/>
      <c r="D14" s="12"/>
      <c r="E14" s="12">
        <f>SUMIFS(Table442061[Amount],Table442061[Category],Table13655[[#Headers],[Income]],Table442061[Sub-Category],Table13655[[#This Row],[Income]])+SUMIFS(Table4460[Amount],Table4460[Category],Table13655[[#Headers],[Income]],Table4460[Sub-Category],Table13655[[#This Row],[Income]])</f>
        <v>0</v>
      </c>
      <c r="F14" s="2">
        <f>Table13655[[#This Row],[Actual]]-Table13655[[#This Row],[Budget]]</f>
        <v>0</v>
      </c>
      <c r="G14" s="32"/>
      <c r="H14" s="42"/>
      <c r="M14" s="4"/>
      <c r="N14" s="2"/>
      <c r="Q14" s="42"/>
      <c r="S14" s="27">
        <f t="shared" si="0"/>
        <v>41642</v>
      </c>
      <c r="T14" s="29">
        <f>SUMIFS(Table442061[Amount],Table442061[Date],S14,Table442061[Category],Table13655[[#Headers],[Income]])+SUMIFS(Table4460[Amount],Table4460[Date],S14,Table4460[Category],Table13655[[#Headers],[Income]])</f>
        <v>0</v>
      </c>
      <c r="U14" s="29">
        <f>SUMIFS(Table454[Amount],Table454[Date],S14,Table454[Category],"&lt;&gt;"&amp;Table13655[[#Headers],[Income]])+SUMIFS(Table4460[Amount],Table4460[Date],S14,Table4460[Category],"&lt;&gt;"&amp;Table13655[[#Headers],[Income]])</f>
        <v>0</v>
      </c>
      <c r="V14" s="29">
        <f t="shared" ref="V14:V42" si="1">V13+T14-U14</f>
        <v>1156.74</v>
      </c>
      <c r="W14" s="1">
        <f t="shared" ref="W14:W42" si="2">W13</f>
        <v>1156.7400000000005</v>
      </c>
    </row>
    <row r="15" spans="2:23" x14ac:dyDescent="0.2">
      <c r="B15" s="32"/>
      <c r="D15" s="2"/>
      <c r="E15" s="3">
        <f>SUMIFS(Table442061[Amount],Table442061[Category],Table13655[[#Headers],[Income]],Table442061[Sub-Category],Table13655[[#This Row],[Income]])+SUMIFS(Table4460[Amount],Table4460[Category],Table13655[[#Headers],[Income]],Table4460[Sub-Category],Table13655[[#This Row],[Income]])</f>
        <v>0</v>
      </c>
      <c r="F15" s="3">
        <f>Table13655[[#This Row],[Actual]]-Table13655[[#This Row],[Budget]]</f>
        <v>0</v>
      </c>
      <c r="G15" s="32"/>
      <c r="H15" s="42"/>
      <c r="J15" s="11"/>
      <c r="K15" s="11"/>
      <c r="L15" s="11"/>
      <c r="M15" s="24"/>
      <c r="N15" s="12"/>
      <c r="O15" s="11"/>
      <c r="Q15" s="42"/>
      <c r="S15" s="30">
        <f t="shared" si="0"/>
        <v>41643</v>
      </c>
      <c r="T15" s="28">
        <f>SUMIFS(Table442061[Amount],Table442061[Date],S15,Table442061[Category],Table13655[[#Headers],[Income]])+SUMIFS(Table4460[Amount],Table4460[Date],S15,Table4460[Category],Table13655[[#Headers],[Income]])</f>
        <v>0</v>
      </c>
      <c r="U15" s="28">
        <f>SUMIFS(Table454[Amount],Table454[Date],S15,Table454[Category],"&lt;&gt;"&amp;Table13655[[#Headers],[Income]])+SUMIFS(Table4460[Amount],Table4460[Date],S15,Table4460[Category],"&lt;&gt;"&amp;Table13655[[#Headers],[Income]])</f>
        <v>0</v>
      </c>
      <c r="V15" s="28">
        <f t="shared" si="1"/>
        <v>1156.74</v>
      </c>
      <c r="W15" s="1">
        <f t="shared" si="2"/>
        <v>1156.7400000000005</v>
      </c>
    </row>
    <row r="16" spans="2:23" x14ac:dyDescent="0.2">
      <c r="B16" s="32"/>
      <c r="C16" s="6" t="s">
        <v>20</v>
      </c>
      <c r="D16" s="7">
        <f>SUBTOTAL(109,Table13655[Budget])</f>
        <v>0</v>
      </c>
      <c r="E16" s="7">
        <f>SUBTOTAL(109,Table13655[Actual])</f>
        <v>0</v>
      </c>
      <c r="F16" s="7">
        <f>SUBTOTAL(109,Table13655[Variance])</f>
        <v>0</v>
      </c>
      <c r="G16" s="36"/>
      <c r="H16" s="43"/>
      <c r="I16" s="2"/>
      <c r="M16" s="4"/>
      <c r="N16" s="2"/>
      <c r="Q16" s="43"/>
      <c r="S16" s="27">
        <f t="shared" si="0"/>
        <v>41644</v>
      </c>
      <c r="T16" s="29">
        <f>SUMIFS(Table442061[Amount],Table442061[Date],S16,Table442061[Category],Table13655[[#Headers],[Income]])+SUMIFS(Table4460[Amount],Table4460[Date],S16,Table4460[Category],Table13655[[#Headers],[Income]])</f>
        <v>0</v>
      </c>
      <c r="U16" s="29">
        <f>SUMIFS(Table454[Amount],Table454[Date],S16,Table454[Category],"&lt;&gt;"&amp;Table13655[[#Headers],[Income]])+SUMIFS(Table4460[Amount],Table4460[Date],S16,Table4460[Category],"&lt;&gt;"&amp;Table13655[[#Headers],[Income]])</f>
        <v>0</v>
      </c>
      <c r="V16" s="29">
        <f t="shared" si="1"/>
        <v>1156.74</v>
      </c>
      <c r="W16" s="1">
        <f t="shared" si="2"/>
        <v>1156.7400000000005</v>
      </c>
    </row>
    <row r="17" spans="2:23" x14ac:dyDescent="0.2">
      <c r="B17" s="32"/>
      <c r="C17" s="20"/>
      <c r="D17" s="21"/>
      <c r="E17" s="21"/>
      <c r="F17" s="21"/>
      <c r="G17" s="36"/>
      <c r="H17" s="43"/>
      <c r="I17" s="2"/>
      <c r="J17" s="37" t="s">
        <v>43</v>
      </c>
      <c r="K17" s="38"/>
      <c r="L17" s="38"/>
      <c r="M17" s="38"/>
      <c r="N17" s="38"/>
      <c r="O17" s="39"/>
      <c r="Q17" s="43"/>
      <c r="S17" s="30">
        <f t="shared" si="0"/>
        <v>41645</v>
      </c>
      <c r="T17" s="28">
        <f>SUMIFS(Table442061[Amount],Table442061[Date],S17,Table442061[Category],Table13655[[#Headers],[Income]])+SUMIFS(Table4460[Amount],Table4460[Date],S17,Table4460[Category],Table13655[[#Headers],[Income]])</f>
        <v>0</v>
      </c>
      <c r="U17" s="28">
        <f>SUMIFS(Table454[Amount],Table454[Date],S17,Table454[Category],"&lt;&gt;"&amp;Table13655[[#Headers],[Income]])+SUMIFS(Table4460[Amount],Table4460[Date],S17,Table4460[Category],"&lt;&gt;"&amp;Table13655[[#Headers],[Income]])</f>
        <v>0</v>
      </c>
      <c r="V17" s="28">
        <f t="shared" si="1"/>
        <v>1156.74</v>
      </c>
      <c r="W17" s="1">
        <f t="shared" si="2"/>
        <v>1156.7400000000005</v>
      </c>
    </row>
    <row r="18" spans="2:23" x14ac:dyDescent="0.2">
      <c r="B18" s="32"/>
      <c r="C18" s="37" t="str">
        <f>CONCATENATE(Table152[[#Headers],[Housing]]," - Budget &amp; Tracking")</f>
        <v>Housing - Budget &amp; Tracking</v>
      </c>
      <c r="D18" s="38"/>
      <c r="E18" s="38"/>
      <c r="F18" s="39"/>
      <c r="G18" s="36"/>
      <c r="H18" s="43"/>
      <c r="I18" s="2"/>
      <c r="J18" s="31" t="s">
        <v>9</v>
      </c>
      <c r="K18" s="31" t="s">
        <v>0</v>
      </c>
      <c r="L18" s="31" t="s">
        <v>13</v>
      </c>
      <c r="M18" s="31" t="s">
        <v>10</v>
      </c>
      <c r="N18" s="31" t="s">
        <v>11</v>
      </c>
      <c r="O18" s="31" t="s">
        <v>16</v>
      </c>
      <c r="Q18" s="43"/>
      <c r="S18" s="27">
        <f t="shared" si="0"/>
        <v>41646</v>
      </c>
      <c r="T18" s="29">
        <f>SUMIFS(Table442061[Amount],Table442061[Date],S18,Table442061[Category],Table13655[[#Headers],[Income]])+SUMIFS(Table4460[Amount],Table4460[Date],S18,Table4460[Category],Table13655[[#Headers],[Income]])</f>
        <v>0</v>
      </c>
      <c r="U18" s="29">
        <f>SUMIFS(Table454[Amount],Table454[Date],S18,Table454[Category],"&lt;&gt;"&amp;Table13655[[#Headers],[Income]])+SUMIFS(Table4460[Amount],Table4460[Date],S18,Table4460[Category],"&lt;&gt;"&amp;Table13655[[#Headers],[Income]])</f>
        <v>0</v>
      </c>
      <c r="V18" s="29">
        <f t="shared" si="1"/>
        <v>1156.74</v>
      </c>
      <c r="W18" s="1">
        <f t="shared" si="2"/>
        <v>1156.7400000000005</v>
      </c>
    </row>
    <row r="19" spans="2:23" x14ac:dyDescent="0.2">
      <c r="B19" s="32"/>
      <c r="C19" s="31" t="s">
        <v>8</v>
      </c>
      <c r="D19" s="31" t="s">
        <v>1</v>
      </c>
      <c r="E19" s="31" t="s">
        <v>2</v>
      </c>
      <c r="F19" s="31" t="s">
        <v>14</v>
      </c>
      <c r="G19" s="36"/>
      <c r="H19" s="43"/>
      <c r="I19" s="2"/>
      <c r="M19" s="4"/>
      <c r="N19" s="2"/>
      <c r="Q19" s="43"/>
      <c r="S19" s="30">
        <f t="shared" si="0"/>
        <v>41647</v>
      </c>
      <c r="T19" s="28">
        <f>SUMIFS(Table442061[Amount],Table442061[Date],S19,Table442061[Category],Table13655[[#Headers],[Income]])+SUMIFS(Table4460[Amount],Table4460[Date],S19,Table4460[Category],Table13655[[#Headers],[Income]])</f>
        <v>0</v>
      </c>
      <c r="U19" s="28">
        <f>SUMIFS(Table454[Amount],Table454[Date],S19,Table454[Category],"&lt;&gt;"&amp;Table13655[[#Headers],[Income]])+SUMIFS(Table4460[Amount],Table4460[Date],S19,Table4460[Category],"&lt;&gt;"&amp;Table13655[[#Headers],[Income]])</f>
        <v>0</v>
      </c>
      <c r="V19" s="28">
        <f t="shared" si="1"/>
        <v>1156.74</v>
      </c>
      <c r="W19" s="1">
        <f t="shared" si="2"/>
        <v>1156.7400000000005</v>
      </c>
    </row>
    <row r="20" spans="2:23" x14ac:dyDescent="0.2">
      <c r="B20" s="32"/>
      <c r="D20" s="2"/>
      <c r="E20" s="2">
        <f>SUMIFS(Table454[Amount],Table454[Category],Table152[[#Headers],[Housing]],Table454[Sub-Category],Table152[[#This Row],[Housing]])+SUMIFS(Table4460[Amount],Table4460[Category],Table152[[#Headers],[Housing]],Table4460[Sub-Category],Table152[[#This Row],[Housing]])</f>
        <v>0</v>
      </c>
      <c r="F20" s="3">
        <f>Table152[[#This Row],[Budget]]-Table152[[#This Row],[Actual]]</f>
        <v>0</v>
      </c>
      <c r="G20" s="36"/>
      <c r="H20" s="43"/>
      <c r="I20" s="2"/>
      <c r="J20" s="11"/>
      <c r="K20" s="11"/>
      <c r="L20" s="11"/>
      <c r="M20" s="24"/>
      <c r="N20" s="12"/>
      <c r="O20" s="11"/>
      <c r="Q20" s="43"/>
      <c r="S20" s="27">
        <f t="shared" si="0"/>
        <v>41648</v>
      </c>
      <c r="T20" s="29">
        <f>SUMIFS(Table442061[Amount],Table442061[Date],S20,Table442061[Category],Table13655[[#Headers],[Income]])+SUMIFS(Table4460[Amount],Table4460[Date],S20,Table4460[Category],Table13655[[#Headers],[Income]])</f>
        <v>0</v>
      </c>
      <c r="U20" s="29">
        <f>SUMIFS(Table454[Amount],Table454[Date],S20,Table454[Category],"&lt;&gt;"&amp;Table13655[[#Headers],[Income]])+SUMIFS(Table4460[Amount],Table4460[Date],S20,Table4460[Category],"&lt;&gt;"&amp;Table13655[[#Headers],[Income]])</f>
        <v>0</v>
      </c>
      <c r="V20" s="29">
        <f t="shared" si="1"/>
        <v>1156.74</v>
      </c>
      <c r="W20" s="1">
        <f t="shared" si="2"/>
        <v>1156.7400000000005</v>
      </c>
    </row>
    <row r="21" spans="2:23" x14ac:dyDescent="0.2">
      <c r="B21" s="32"/>
      <c r="D21" s="2"/>
      <c r="E21" s="2">
        <f>SUMIFS(Table454[Amount],Table454[Category],Table152[[#Headers],[Housing]],Table454[Sub-Category],Table152[[#This Row],[Housing]])+SUMIFS(Table4460[Amount],Table4460[Category],Table152[[#Headers],[Housing]],Table4460[Sub-Category],Table152[[#This Row],[Housing]])</f>
        <v>0</v>
      </c>
      <c r="F21" s="3">
        <f>Table152[[#This Row],[Budget]]-Table152[[#This Row],[Actual]]</f>
        <v>0</v>
      </c>
      <c r="G21" s="36"/>
      <c r="H21" s="43"/>
      <c r="I21" s="2"/>
      <c r="J21" s="11"/>
      <c r="K21" s="11"/>
      <c r="L21" s="11"/>
      <c r="M21" s="24"/>
      <c r="N21" s="12"/>
      <c r="O21" s="11"/>
      <c r="Q21" s="43"/>
      <c r="S21" s="30">
        <f t="shared" si="0"/>
        <v>41649</v>
      </c>
      <c r="T21" s="28">
        <f>SUMIFS(Table442061[Amount],Table442061[Date],S21,Table442061[Category],Table13655[[#Headers],[Income]])+SUMIFS(Table4460[Amount],Table4460[Date],S21,Table4460[Category],Table13655[[#Headers],[Income]])</f>
        <v>0</v>
      </c>
      <c r="U21" s="28">
        <f>SUMIFS(Table454[Amount],Table454[Date],S21,Table454[Category],"&lt;&gt;"&amp;Table13655[[#Headers],[Income]])+SUMIFS(Table4460[Amount],Table4460[Date],S21,Table4460[Category],"&lt;&gt;"&amp;Table13655[[#Headers],[Income]])</f>
        <v>0</v>
      </c>
      <c r="V21" s="28">
        <f t="shared" si="1"/>
        <v>1156.74</v>
      </c>
      <c r="W21" s="1">
        <f t="shared" si="2"/>
        <v>1156.7400000000005</v>
      </c>
    </row>
    <row r="22" spans="2:23" x14ac:dyDescent="0.2">
      <c r="B22" s="32"/>
      <c r="D22" s="2"/>
      <c r="E22" s="2">
        <f>SUMIFS(Table454[Amount],Table454[Category],Table152[[#Headers],[Housing]],Table454[Sub-Category],Table152[[#This Row],[Housing]])+SUMIFS(Table4460[Amount],Table4460[Category],Table152[[#Headers],[Housing]],Table4460[Sub-Category],Table152[[#This Row],[Housing]])</f>
        <v>0</v>
      </c>
      <c r="F22" s="3">
        <f>Table152[[#This Row],[Budget]]-Table152[[#This Row],[Actual]]</f>
        <v>0</v>
      </c>
      <c r="G22" s="36"/>
      <c r="H22" s="43"/>
      <c r="I22" s="2"/>
      <c r="J22" s="11"/>
      <c r="K22" s="11"/>
      <c r="L22" s="11"/>
      <c r="M22" s="24"/>
      <c r="N22" s="12"/>
      <c r="O22" s="11"/>
      <c r="Q22" s="43"/>
      <c r="S22" s="27">
        <f t="shared" si="0"/>
        <v>41650</v>
      </c>
      <c r="T22" s="29">
        <f>SUMIFS(Table442061[Amount],Table442061[Date],S22,Table442061[Category],Table13655[[#Headers],[Income]])+SUMIFS(Table4460[Amount],Table4460[Date],S22,Table4460[Category],Table13655[[#Headers],[Income]])</f>
        <v>0</v>
      </c>
      <c r="U22" s="29">
        <f>SUMIFS(Table454[Amount],Table454[Date],S22,Table454[Category],"&lt;&gt;"&amp;Table13655[[#Headers],[Income]])+SUMIFS(Table4460[Amount],Table4460[Date],S22,Table4460[Category],"&lt;&gt;"&amp;Table13655[[#Headers],[Income]])</f>
        <v>0</v>
      </c>
      <c r="V22" s="29">
        <f t="shared" si="1"/>
        <v>1156.74</v>
      </c>
      <c r="W22" s="1">
        <f t="shared" si="2"/>
        <v>1156.7400000000005</v>
      </c>
    </row>
    <row r="23" spans="2:23" x14ac:dyDescent="0.2">
      <c r="B23" s="32"/>
      <c r="D23" s="2"/>
      <c r="E23" s="2">
        <f>SUMIFS(Table454[Amount],Table454[Category],Table152[[#Headers],[Housing]],Table454[Sub-Category],Table152[[#This Row],[Housing]])+SUMIFS(Table4460[Amount],Table4460[Category],Table152[[#Headers],[Housing]],Table4460[Sub-Category],Table152[[#This Row],[Housing]])</f>
        <v>0</v>
      </c>
      <c r="F23" s="3">
        <f>Table152[[#This Row],[Budget]]-Table152[[#This Row],[Actual]]</f>
        <v>0</v>
      </c>
      <c r="G23" s="36"/>
      <c r="H23" s="43"/>
      <c r="I23" s="2"/>
      <c r="J23" s="11"/>
      <c r="K23" s="11"/>
      <c r="L23" s="11"/>
      <c r="M23" s="24"/>
      <c r="N23" s="12"/>
      <c r="O23" s="11"/>
      <c r="Q23" s="43"/>
      <c r="S23" s="30">
        <f t="shared" si="0"/>
        <v>41651</v>
      </c>
      <c r="T23" s="28">
        <f>SUMIFS(Table442061[Amount],Table442061[Date],S23,Table442061[Category],Table13655[[#Headers],[Income]])+SUMIFS(Table4460[Amount],Table4460[Date],S23,Table4460[Category],Table13655[[#Headers],[Income]])</f>
        <v>0</v>
      </c>
      <c r="U23" s="28">
        <f>SUMIFS(Table454[Amount],Table454[Date],S23,Table454[Category],"&lt;&gt;"&amp;Table13655[[#Headers],[Income]])+SUMIFS(Table4460[Amount],Table4460[Date],S23,Table4460[Category],"&lt;&gt;"&amp;Table13655[[#Headers],[Income]])</f>
        <v>0</v>
      </c>
      <c r="V23" s="28">
        <f t="shared" si="1"/>
        <v>1156.74</v>
      </c>
      <c r="W23" s="1">
        <f t="shared" si="2"/>
        <v>1156.7400000000005</v>
      </c>
    </row>
    <row r="24" spans="2:23" x14ac:dyDescent="0.2">
      <c r="B24" s="32"/>
      <c r="D24" s="2"/>
      <c r="E24" s="2">
        <f>SUMIFS(Table454[Amount],Table454[Category],Table152[[#Headers],[Housing]],Table454[Sub-Category],Table152[[#This Row],[Housing]])+SUMIFS(Table4460[Amount],Table4460[Category],Table152[[#Headers],[Housing]],Table4460[Sub-Category],Table152[[#This Row],[Housing]])</f>
        <v>0</v>
      </c>
      <c r="F24" s="3">
        <f>Table152[[#This Row],[Budget]]-Table152[[#This Row],[Actual]]</f>
        <v>0</v>
      </c>
      <c r="G24" s="36"/>
      <c r="H24" s="43"/>
      <c r="I24" s="2"/>
      <c r="J24" s="11"/>
      <c r="K24" s="11"/>
      <c r="L24" s="11"/>
      <c r="M24" s="24"/>
      <c r="N24" s="12"/>
      <c r="O24" s="11"/>
      <c r="Q24" s="43"/>
      <c r="S24" s="27">
        <f t="shared" si="0"/>
        <v>41652</v>
      </c>
      <c r="T24" s="29">
        <f>SUMIFS(Table442061[Amount],Table442061[Date],S24,Table442061[Category],Table13655[[#Headers],[Income]])+SUMIFS(Table4460[Amount],Table4460[Date],S24,Table4460[Category],Table13655[[#Headers],[Income]])</f>
        <v>0</v>
      </c>
      <c r="U24" s="29">
        <f>SUMIFS(Table454[Amount],Table454[Date],S24,Table454[Category],"&lt;&gt;"&amp;Table13655[[#Headers],[Income]])+SUMIFS(Table4460[Amount],Table4460[Date],S24,Table4460[Category],"&lt;&gt;"&amp;Table13655[[#Headers],[Income]])</f>
        <v>0</v>
      </c>
      <c r="V24" s="29">
        <f t="shared" si="1"/>
        <v>1156.74</v>
      </c>
      <c r="W24" s="1">
        <f t="shared" si="2"/>
        <v>1156.7400000000005</v>
      </c>
    </row>
    <row r="25" spans="2:23" x14ac:dyDescent="0.2">
      <c r="B25" s="32"/>
      <c r="D25" s="2"/>
      <c r="E25" s="2">
        <f>SUMIFS(Table454[Amount],Table454[Category],Table152[[#Headers],[Housing]],Table454[Sub-Category],Table152[[#This Row],[Housing]])+SUMIFS(Table4460[Amount],Table4460[Category],Table152[[#Headers],[Housing]],Table4460[Sub-Category],Table152[[#This Row],[Housing]])</f>
        <v>0</v>
      </c>
      <c r="F25" s="3">
        <f>Table152[[#This Row],[Budget]]-Table152[[#This Row],[Actual]]</f>
        <v>0</v>
      </c>
      <c r="G25" s="32"/>
      <c r="H25" s="42"/>
      <c r="J25" s="11"/>
      <c r="K25" s="11"/>
      <c r="L25" s="11"/>
      <c r="M25" s="24"/>
      <c r="N25" s="12"/>
      <c r="O25" s="11"/>
      <c r="Q25" s="42"/>
      <c r="S25" s="30">
        <f t="shared" si="0"/>
        <v>41653</v>
      </c>
      <c r="T25" s="28">
        <f>SUMIFS(Table442061[Amount],Table442061[Date],S25,Table442061[Category],Table13655[[#Headers],[Income]])+SUMIFS(Table4460[Amount],Table4460[Date],S25,Table4460[Category],Table13655[[#Headers],[Income]])</f>
        <v>0</v>
      </c>
      <c r="U25" s="28">
        <f>SUMIFS(Table454[Amount],Table454[Date],S25,Table454[Category],"&lt;&gt;"&amp;Table13655[[#Headers],[Income]])+SUMIFS(Table4460[Amount],Table4460[Date],S25,Table4460[Category],"&lt;&gt;"&amp;Table13655[[#Headers],[Income]])</f>
        <v>0</v>
      </c>
      <c r="V25" s="28">
        <f t="shared" si="1"/>
        <v>1156.74</v>
      </c>
      <c r="W25" s="1">
        <f t="shared" si="2"/>
        <v>1156.7400000000005</v>
      </c>
    </row>
    <row r="26" spans="2:23" x14ac:dyDescent="0.2">
      <c r="B26" s="32"/>
      <c r="D26" s="2"/>
      <c r="E26" s="2">
        <f>SUMIFS(Table454[Amount],Table454[Category],Table152[[#Headers],[Housing]],Table454[Sub-Category],Table152[[#This Row],[Housing]])+SUMIFS(Table4460[Amount],Table4460[Category],Table152[[#Headers],[Housing]],Table4460[Sub-Category],Table152[[#This Row],[Housing]])</f>
        <v>0</v>
      </c>
      <c r="F26" s="3">
        <f>Table152[[#This Row],[Budget]]-Table152[[#This Row],[Actual]]</f>
        <v>0</v>
      </c>
      <c r="G26" s="32"/>
      <c r="H26" s="42"/>
      <c r="J26" s="11"/>
      <c r="K26" s="11"/>
      <c r="L26" s="11"/>
      <c r="M26" s="24"/>
      <c r="N26" s="12"/>
      <c r="O26" s="11"/>
      <c r="Q26" s="42"/>
      <c r="S26" s="27">
        <f t="shared" si="0"/>
        <v>41654</v>
      </c>
      <c r="T26" s="29">
        <f>SUMIFS(Table442061[Amount],Table442061[Date],S26,Table442061[Category],Table13655[[#Headers],[Income]])+SUMIFS(Table4460[Amount],Table4460[Date],S26,Table4460[Category],Table13655[[#Headers],[Income]])</f>
        <v>0</v>
      </c>
      <c r="U26" s="29">
        <f>SUMIFS(Table454[Amount],Table454[Date],S26,Table454[Category],"&lt;&gt;"&amp;Table13655[[#Headers],[Income]])+SUMIFS(Table4460[Amount],Table4460[Date],S26,Table4460[Category],"&lt;&gt;"&amp;Table13655[[#Headers],[Income]])</f>
        <v>0</v>
      </c>
      <c r="V26" s="29">
        <f t="shared" si="1"/>
        <v>1156.74</v>
      </c>
      <c r="W26" s="1">
        <f t="shared" si="2"/>
        <v>1156.7400000000005</v>
      </c>
    </row>
    <row r="27" spans="2:23" x14ac:dyDescent="0.2">
      <c r="B27" s="32"/>
      <c r="D27" s="2"/>
      <c r="E27" s="2">
        <f>SUMIFS(Table454[Amount],Table454[Category],Table152[[#Headers],[Housing]],Table454[Sub-Category],Table152[[#This Row],[Housing]])+SUMIFS(Table4460[Amount],Table4460[Category],Table152[[#Headers],[Housing]],Table4460[Sub-Category],Table152[[#This Row],[Housing]])</f>
        <v>0</v>
      </c>
      <c r="F27" s="3">
        <f>Table152[[#This Row],[Budget]]-Table152[[#This Row],[Actual]]</f>
        <v>0</v>
      </c>
      <c r="G27" s="36"/>
      <c r="H27" s="43"/>
      <c r="I27" s="2"/>
      <c r="J27" s="11"/>
      <c r="K27" s="11"/>
      <c r="L27" s="11"/>
      <c r="M27" s="24"/>
      <c r="N27" s="12"/>
      <c r="O27" s="11"/>
      <c r="Q27" s="43"/>
      <c r="S27" s="30">
        <f t="shared" si="0"/>
        <v>41655</v>
      </c>
      <c r="T27" s="28">
        <f>SUMIFS(Table442061[Amount],Table442061[Date],S27,Table442061[Category],Table13655[[#Headers],[Income]])+SUMIFS(Table4460[Amount],Table4460[Date],S27,Table4460[Category],Table13655[[#Headers],[Income]])</f>
        <v>0</v>
      </c>
      <c r="U27" s="28">
        <f>SUMIFS(Table454[Amount],Table454[Date],S27,Table454[Category],"&lt;&gt;"&amp;Table13655[[#Headers],[Income]])+SUMIFS(Table4460[Amount],Table4460[Date],S27,Table4460[Category],"&lt;&gt;"&amp;Table13655[[#Headers],[Income]])</f>
        <v>0</v>
      </c>
      <c r="V27" s="28">
        <f t="shared" si="1"/>
        <v>1156.74</v>
      </c>
      <c r="W27" s="1">
        <f t="shared" si="2"/>
        <v>1156.7400000000005</v>
      </c>
    </row>
    <row r="28" spans="2:23" x14ac:dyDescent="0.2">
      <c r="B28" s="32"/>
      <c r="C28" s="11"/>
      <c r="D28" s="12"/>
      <c r="E28" s="13">
        <f>SUMIFS(Table454[Amount],Table454[Category],Table152[[#Headers],[Housing]],Table454[Sub-Category],Table152[[#This Row],[Housing]])+SUMIFS(Table4460[Amount],Table4460[Category],Table152[[#Headers],[Housing]],Table4460[Sub-Category],Table152[[#This Row],[Housing]])</f>
        <v>0</v>
      </c>
      <c r="F28" s="13">
        <f>Table152[[#This Row],[Budget]]-Table152[[#This Row],[Actual]]</f>
        <v>0</v>
      </c>
      <c r="G28" s="36"/>
      <c r="H28" s="43"/>
      <c r="I28" s="2"/>
      <c r="J28" s="11"/>
      <c r="K28" s="11"/>
      <c r="L28" s="11"/>
      <c r="M28" s="24"/>
      <c r="N28" s="12"/>
      <c r="O28" s="11"/>
      <c r="Q28" s="43"/>
      <c r="S28" s="27">
        <f t="shared" si="0"/>
        <v>41656</v>
      </c>
      <c r="T28" s="29">
        <f>SUMIFS(Table442061[Amount],Table442061[Date],S28,Table442061[Category],Table13655[[#Headers],[Income]])+SUMIFS(Table4460[Amount],Table4460[Date],S28,Table4460[Category],Table13655[[#Headers],[Income]])</f>
        <v>0</v>
      </c>
      <c r="U28" s="29">
        <f>SUMIFS(Table454[Amount],Table454[Date],S28,Table454[Category],"&lt;&gt;"&amp;Table13655[[#Headers],[Income]])+SUMIFS(Table4460[Amount],Table4460[Date],S28,Table4460[Category],"&lt;&gt;"&amp;Table13655[[#Headers],[Income]])</f>
        <v>0</v>
      </c>
      <c r="V28" s="29">
        <f t="shared" si="1"/>
        <v>1156.74</v>
      </c>
      <c r="W28" s="1">
        <f t="shared" si="2"/>
        <v>1156.7400000000005</v>
      </c>
    </row>
    <row r="29" spans="2:23" x14ac:dyDescent="0.2">
      <c r="B29" s="32"/>
      <c r="C29" s="9" t="s">
        <v>20</v>
      </c>
      <c r="D29" s="10">
        <f>SUBTOTAL(109,Table152[Budget])</f>
        <v>0</v>
      </c>
      <c r="E29" s="10">
        <f>SUBTOTAL(109,Table152[Actual])</f>
        <v>0</v>
      </c>
      <c r="F29" s="10">
        <f>SUBTOTAL(109,Table152[Variance])</f>
        <v>0</v>
      </c>
      <c r="G29" s="32"/>
      <c r="H29" s="42"/>
      <c r="J29" s="11"/>
      <c r="K29" s="11"/>
      <c r="L29" s="11"/>
      <c r="M29" s="24"/>
      <c r="N29" s="12"/>
      <c r="O29" s="11"/>
      <c r="Q29" s="42"/>
      <c r="S29" s="30">
        <f t="shared" si="0"/>
        <v>41657</v>
      </c>
      <c r="T29" s="28">
        <f>SUMIFS(Table442061[Amount],Table442061[Date],S29,Table442061[Category],Table13655[[#Headers],[Income]])+SUMIFS(Table4460[Amount],Table4460[Date],S29,Table4460[Category],Table13655[[#Headers],[Income]])</f>
        <v>0</v>
      </c>
      <c r="U29" s="28">
        <f>SUMIFS(Table454[Amount],Table454[Date],S29,Table454[Category],"&lt;&gt;"&amp;Table13655[[#Headers],[Income]])+SUMIFS(Table4460[Amount],Table4460[Date],S29,Table4460[Category],"&lt;&gt;"&amp;Table13655[[#Headers],[Income]])</f>
        <v>0</v>
      </c>
      <c r="V29" s="28">
        <f t="shared" si="1"/>
        <v>1156.74</v>
      </c>
      <c r="W29" s="1">
        <f t="shared" si="2"/>
        <v>1156.7400000000005</v>
      </c>
    </row>
    <row r="30" spans="2:23" x14ac:dyDescent="0.2">
      <c r="B30" s="32"/>
      <c r="C30" s="26"/>
      <c r="D30" s="23"/>
      <c r="E30" s="23"/>
      <c r="F30" s="23"/>
      <c r="G30" s="32"/>
      <c r="H30" s="42"/>
      <c r="J30" s="11"/>
      <c r="K30" s="11"/>
      <c r="L30" s="11"/>
      <c r="M30" s="24"/>
      <c r="N30" s="12"/>
      <c r="O30" s="11"/>
      <c r="Q30" s="42"/>
      <c r="S30" s="27">
        <f t="shared" si="0"/>
        <v>41658</v>
      </c>
      <c r="T30" s="29">
        <f>SUMIFS(Table442061[Amount],Table442061[Date],S30,Table442061[Category],Table13655[[#Headers],[Income]])+SUMIFS(Table4460[Amount],Table4460[Date],S30,Table4460[Category],Table13655[[#Headers],[Income]])</f>
        <v>0</v>
      </c>
      <c r="U30" s="29">
        <f>SUMIFS(Table454[Amount],Table454[Date],S30,Table454[Category],"&lt;&gt;"&amp;Table13655[[#Headers],[Income]])+SUMIFS(Table4460[Amount],Table4460[Date],S30,Table4460[Category],"&lt;&gt;"&amp;Table13655[[#Headers],[Income]])</f>
        <v>0</v>
      </c>
      <c r="V30" s="29">
        <f t="shared" si="1"/>
        <v>1156.74</v>
      </c>
      <c r="W30" s="1">
        <f t="shared" si="2"/>
        <v>1156.7400000000005</v>
      </c>
    </row>
    <row r="31" spans="2:23" x14ac:dyDescent="0.2">
      <c r="B31" s="32"/>
      <c r="C31" s="37" t="str">
        <f>CONCATENATE(Table1353[[#Headers],[Transportation]]," - Budget &amp; Tracking")</f>
        <v>Transportation - Budget &amp; Tracking</v>
      </c>
      <c r="D31" s="38"/>
      <c r="E31" s="38"/>
      <c r="F31" s="39"/>
      <c r="G31" s="32"/>
      <c r="H31" s="42"/>
      <c r="J31" s="11"/>
      <c r="K31" s="11"/>
      <c r="L31" s="11"/>
      <c r="M31" s="24"/>
      <c r="N31" s="12"/>
      <c r="O31" s="11"/>
      <c r="Q31" s="42"/>
      <c r="S31" s="30">
        <f t="shared" si="0"/>
        <v>41659</v>
      </c>
      <c r="T31" s="28">
        <f>SUMIFS(Table442061[Amount],Table442061[Date],S31,Table442061[Category],Table13655[[#Headers],[Income]])+SUMIFS(Table4460[Amount],Table4460[Date],S31,Table4460[Category],Table13655[[#Headers],[Income]])</f>
        <v>0</v>
      </c>
      <c r="U31" s="28">
        <f>SUMIFS(Table454[Amount],Table454[Date],S31,Table454[Category],"&lt;&gt;"&amp;Table13655[[#Headers],[Income]])+SUMIFS(Table4460[Amount],Table4460[Date],S31,Table4460[Category],"&lt;&gt;"&amp;Table13655[[#Headers],[Income]])</f>
        <v>0</v>
      </c>
      <c r="V31" s="28">
        <f t="shared" si="1"/>
        <v>1156.74</v>
      </c>
      <c r="W31" s="1">
        <f t="shared" si="2"/>
        <v>1156.7400000000005</v>
      </c>
    </row>
    <row r="32" spans="2:23" x14ac:dyDescent="0.2">
      <c r="B32" s="32"/>
      <c r="C32" s="31" t="s">
        <v>12</v>
      </c>
      <c r="D32" s="31" t="s">
        <v>1</v>
      </c>
      <c r="E32" s="31" t="s">
        <v>2</v>
      </c>
      <c r="F32" s="31" t="s">
        <v>14</v>
      </c>
      <c r="G32" s="32"/>
      <c r="H32" s="42"/>
      <c r="J32" s="11"/>
      <c r="K32" s="11"/>
      <c r="L32" s="11"/>
      <c r="M32" s="24"/>
      <c r="N32" s="12"/>
      <c r="O32" s="11"/>
      <c r="Q32" s="42"/>
      <c r="S32" s="27">
        <f t="shared" si="0"/>
        <v>41660</v>
      </c>
      <c r="T32" s="29">
        <f>SUMIFS(Table442061[Amount],Table442061[Date],S32,Table442061[Category],Table13655[[#Headers],[Income]])+SUMIFS(Table4460[Amount],Table4460[Date],S32,Table4460[Category],Table13655[[#Headers],[Income]])</f>
        <v>0</v>
      </c>
      <c r="U32" s="29">
        <f>SUMIFS(Table454[Amount],Table454[Date],S32,Table454[Category],"&lt;&gt;"&amp;Table13655[[#Headers],[Income]])+SUMIFS(Table4460[Amount],Table4460[Date],S32,Table4460[Category],"&lt;&gt;"&amp;Table13655[[#Headers],[Income]])</f>
        <v>0</v>
      </c>
      <c r="V32" s="29">
        <f t="shared" si="1"/>
        <v>1156.74</v>
      </c>
      <c r="W32" s="1">
        <f t="shared" si="2"/>
        <v>1156.7400000000005</v>
      </c>
    </row>
    <row r="33" spans="2:23" x14ac:dyDescent="0.2">
      <c r="B33" s="32"/>
      <c r="D33" s="2"/>
      <c r="E33" s="2">
        <f>SUMIFS(Table454[Amount],Table454[Category],Table1353[[#Headers],[Transportation]],Table454[Sub-Category],Table1353[[#This Row],[Transportation]])+SUMIFS(Table4460[Amount],Table4460[Category],Table1353[[#Headers],[Transportation]],Table4460[Sub-Category],Table1353[[#This Row],[Transportation]])</f>
        <v>0</v>
      </c>
      <c r="F33" s="3">
        <f>Table1353[[#This Row],[Budget]]-Table1353[[#This Row],[Actual]]</f>
        <v>0</v>
      </c>
      <c r="G33" s="32"/>
      <c r="H33" s="42"/>
      <c r="J33" s="37" t="s">
        <v>44</v>
      </c>
      <c r="K33" s="38"/>
      <c r="L33" s="38"/>
      <c r="M33" s="38"/>
      <c r="N33" s="38"/>
      <c r="O33" s="39"/>
      <c r="Q33" s="42"/>
      <c r="S33" s="30">
        <f t="shared" si="0"/>
        <v>41661</v>
      </c>
      <c r="T33" s="28">
        <f>SUMIFS(Table442061[Amount],Table442061[Date],S33,Table442061[Category],Table13655[[#Headers],[Income]])+SUMIFS(Table4460[Amount],Table4460[Date],S33,Table4460[Category],Table13655[[#Headers],[Income]])</f>
        <v>0</v>
      </c>
      <c r="U33" s="28">
        <f>SUMIFS(Table454[Amount],Table454[Date],S33,Table454[Category],"&lt;&gt;"&amp;Table13655[[#Headers],[Income]])+SUMIFS(Table4460[Amount],Table4460[Date],S33,Table4460[Category],"&lt;&gt;"&amp;Table13655[[#Headers],[Income]])</f>
        <v>0</v>
      </c>
      <c r="V33" s="28">
        <f t="shared" si="1"/>
        <v>1156.74</v>
      </c>
      <c r="W33" s="1">
        <f t="shared" si="2"/>
        <v>1156.7400000000005</v>
      </c>
    </row>
    <row r="34" spans="2:23" x14ac:dyDescent="0.2">
      <c r="B34" s="32"/>
      <c r="D34" s="2"/>
      <c r="E34" s="2">
        <f>SUMIFS(Table454[Amount],Table454[Category],Table1353[[#Headers],[Transportation]],Table454[Sub-Category],Table1353[[#This Row],[Transportation]])+SUMIFS(Table4460[Amount],Table4460[Category],Table1353[[#Headers],[Transportation]],Table4460[Sub-Category],Table1353[[#This Row],[Transportation]])</f>
        <v>0</v>
      </c>
      <c r="F34" s="3">
        <f>Table1353[[#This Row],[Budget]]-Table1353[[#This Row],[Actual]]</f>
        <v>0</v>
      </c>
      <c r="G34" s="32"/>
      <c r="H34" s="42"/>
      <c r="J34" s="31" t="s">
        <v>9</v>
      </c>
      <c r="K34" s="31" t="s">
        <v>0</v>
      </c>
      <c r="L34" s="31" t="s">
        <v>13</v>
      </c>
      <c r="M34" s="31" t="s">
        <v>10</v>
      </c>
      <c r="N34" s="31" t="s">
        <v>11</v>
      </c>
      <c r="O34" s="31" t="s">
        <v>16</v>
      </c>
      <c r="Q34" s="42"/>
      <c r="S34" s="27">
        <f t="shared" si="0"/>
        <v>41662</v>
      </c>
      <c r="T34" s="29">
        <f>SUMIFS(Table442061[Amount],Table442061[Date],S34,Table442061[Category],Table13655[[#Headers],[Income]])+SUMIFS(Table4460[Amount],Table4460[Date],S34,Table4460[Category],Table13655[[#Headers],[Income]])</f>
        <v>0</v>
      </c>
      <c r="U34" s="29">
        <f>SUMIFS(Table454[Amount],Table454[Date],S34,Table454[Category],"&lt;&gt;"&amp;Table13655[[#Headers],[Income]])+SUMIFS(Table4460[Amount],Table4460[Date],S34,Table4460[Category],"&lt;&gt;"&amp;Table13655[[#Headers],[Income]])</f>
        <v>0</v>
      </c>
      <c r="V34" s="29">
        <f t="shared" si="1"/>
        <v>1156.74</v>
      </c>
      <c r="W34" s="1">
        <f t="shared" si="2"/>
        <v>1156.7400000000005</v>
      </c>
    </row>
    <row r="35" spans="2:23" x14ac:dyDescent="0.2">
      <c r="B35" s="32"/>
      <c r="C35" s="11"/>
      <c r="D35" s="12"/>
      <c r="E35" s="13">
        <f>SUMIFS(Table454[Amount],Table454[Category],Table1353[[#Headers],[Transportation]],Table454[Sub-Category],Table1353[[#This Row],[Transportation]])+SUMIFS(Table4460[Amount],Table4460[Category],Table1353[[#Headers],[Transportation]],Table4460[Sub-Category],Table1353[[#This Row],[Transportation]])</f>
        <v>0</v>
      </c>
      <c r="F35" s="13">
        <f>Table1353[[#This Row],[Budget]]-Table1353[[#This Row],[Actual]]</f>
        <v>0</v>
      </c>
      <c r="G35" s="32"/>
      <c r="H35" s="42"/>
      <c r="M35" s="4"/>
      <c r="N35" s="2"/>
      <c r="Q35" s="42"/>
      <c r="S35" s="30">
        <f t="shared" si="0"/>
        <v>41663</v>
      </c>
      <c r="T35" s="28">
        <f>SUMIFS(Table442061[Amount],Table442061[Date],S35,Table442061[Category],Table13655[[#Headers],[Income]])+SUMIFS(Table4460[Amount],Table4460[Date],S35,Table4460[Category],Table13655[[#Headers],[Income]])</f>
        <v>0</v>
      </c>
      <c r="U35" s="28">
        <f>SUMIFS(Table454[Amount],Table454[Date],S35,Table454[Category],"&lt;&gt;"&amp;Table13655[[#Headers],[Income]])+SUMIFS(Table4460[Amount],Table4460[Date],S35,Table4460[Category],"&lt;&gt;"&amp;Table13655[[#Headers],[Income]])</f>
        <v>0</v>
      </c>
      <c r="V35" s="28">
        <f t="shared" si="1"/>
        <v>1156.74</v>
      </c>
      <c r="W35" s="1">
        <f t="shared" si="2"/>
        <v>1156.7400000000005</v>
      </c>
    </row>
    <row r="36" spans="2:23" x14ac:dyDescent="0.2">
      <c r="B36" s="32"/>
      <c r="C36" s="11"/>
      <c r="D36" s="12"/>
      <c r="E36" s="13">
        <f>SUMIFS(Table454[Amount],Table454[Category],Table1353[[#Headers],[Transportation]],Table454[Sub-Category],Table1353[[#This Row],[Transportation]])+SUMIFS(Table4460[Amount],Table4460[Category],Table1353[[#Headers],[Transportation]],Table4460[Sub-Category],Table1353[[#This Row],[Transportation]])</f>
        <v>0</v>
      </c>
      <c r="F36" s="13">
        <f>Table1353[[#This Row],[Budget]]-Table1353[[#This Row],[Actual]]</f>
        <v>0</v>
      </c>
      <c r="G36" s="32"/>
      <c r="H36" s="42"/>
      <c r="M36" s="4"/>
      <c r="N36" s="2"/>
      <c r="Q36" s="42"/>
      <c r="S36" s="27">
        <f t="shared" si="0"/>
        <v>41664</v>
      </c>
      <c r="T36" s="29">
        <f>SUMIFS(Table442061[Amount],Table442061[Date],S36,Table442061[Category],Table13655[[#Headers],[Income]])+SUMIFS(Table4460[Amount],Table4460[Date],S36,Table4460[Category],Table13655[[#Headers],[Income]])</f>
        <v>0</v>
      </c>
      <c r="U36" s="29">
        <f>SUMIFS(Table454[Amount],Table454[Date],S36,Table454[Category],"&lt;&gt;"&amp;Table13655[[#Headers],[Income]])+SUMIFS(Table4460[Amount],Table4460[Date],S36,Table4460[Category],"&lt;&gt;"&amp;Table13655[[#Headers],[Income]])</f>
        <v>0</v>
      </c>
      <c r="V36" s="29">
        <f t="shared" si="1"/>
        <v>1156.74</v>
      </c>
      <c r="W36" s="1">
        <f t="shared" si="2"/>
        <v>1156.7400000000005</v>
      </c>
    </row>
    <row r="37" spans="2:23" x14ac:dyDescent="0.2">
      <c r="B37" s="32"/>
      <c r="C37" s="9" t="s">
        <v>20</v>
      </c>
      <c r="D37" s="10">
        <f>SUBTOTAL(109,Table1353[Budget])</f>
        <v>0</v>
      </c>
      <c r="E37" s="10">
        <f>SUBTOTAL(109,Table1353[Actual])</f>
        <v>0</v>
      </c>
      <c r="F37" s="10">
        <f>SUBTOTAL(109,Table1353[Variance])</f>
        <v>0</v>
      </c>
      <c r="G37" s="32"/>
      <c r="H37" s="42"/>
      <c r="M37" s="4"/>
      <c r="N37" s="2"/>
      <c r="Q37" s="42"/>
      <c r="S37" s="30">
        <f t="shared" si="0"/>
        <v>41665</v>
      </c>
      <c r="T37" s="28">
        <f>SUMIFS(Table442061[Amount],Table442061[Date],S37,Table442061[Category],Table13655[[#Headers],[Income]])+SUMIFS(Table4460[Amount],Table4460[Date],S37,Table4460[Category],Table13655[[#Headers],[Income]])</f>
        <v>0</v>
      </c>
      <c r="U37" s="28">
        <f>SUMIFS(Table454[Amount],Table454[Date],S37,Table454[Category],"&lt;&gt;"&amp;Table13655[[#Headers],[Income]])+SUMIFS(Table4460[Amount],Table4460[Date],S37,Table4460[Category],"&lt;&gt;"&amp;Table13655[[#Headers],[Income]])</f>
        <v>0</v>
      </c>
      <c r="V37" s="28">
        <f t="shared" si="1"/>
        <v>1156.74</v>
      </c>
      <c r="W37" s="1">
        <f t="shared" si="2"/>
        <v>1156.7400000000005</v>
      </c>
    </row>
    <row r="38" spans="2:23" x14ac:dyDescent="0.2">
      <c r="B38" s="32"/>
      <c r="C38" s="26"/>
      <c r="D38" s="23"/>
      <c r="E38" s="23"/>
      <c r="F38" s="23"/>
      <c r="G38" s="32"/>
      <c r="H38" s="42"/>
      <c r="J38" s="11"/>
      <c r="K38" s="11"/>
      <c r="L38" s="11"/>
      <c r="M38" s="24"/>
      <c r="N38" s="12"/>
      <c r="O38" s="11"/>
      <c r="Q38" s="42"/>
      <c r="S38" s="27">
        <f t="shared" si="0"/>
        <v>41666</v>
      </c>
      <c r="T38" s="29">
        <f>SUMIFS(Table442061[Amount],Table442061[Date],S38,Table442061[Category],Table13655[[#Headers],[Income]])+SUMIFS(Table4460[Amount],Table4460[Date],S38,Table4460[Category],Table13655[[#Headers],[Income]])</f>
        <v>0</v>
      </c>
      <c r="U38" s="29">
        <f>SUMIFS(Table454[Amount],Table454[Date],S38,Table454[Category],"&lt;&gt;"&amp;Table13655[[#Headers],[Income]])+SUMIFS(Table4460[Amount],Table4460[Date],S38,Table4460[Category],"&lt;&gt;"&amp;Table13655[[#Headers],[Income]])</f>
        <v>0</v>
      </c>
      <c r="V38" s="29">
        <f t="shared" si="1"/>
        <v>1156.74</v>
      </c>
      <c r="W38" s="1">
        <f t="shared" si="2"/>
        <v>1156.7400000000005</v>
      </c>
    </row>
    <row r="39" spans="2:23" x14ac:dyDescent="0.2">
      <c r="B39" s="32"/>
      <c r="C39" s="37" t="str">
        <f>CONCATENATE(Table1391059[[#Headers],[Bills]]," - Budget &amp; Tracking")</f>
        <v>Bills - Budget &amp; Tracking</v>
      </c>
      <c r="D39" s="38"/>
      <c r="E39" s="38"/>
      <c r="F39" s="39"/>
      <c r="G39" s="32"/>
      <c r="H39" s="42"/>
      <c r="J39" s="11"/>
      <c r="K39" s="11"/>
      <c r="L39" s="11"/>
      <c r="M39" s="24"/>
      <c r="N39" s="12"/>
      <c r="O39" s="11"/>
      <c r="Q39" s="42"/>
      <c r="S39" s="30">
        <f t="shared" si="0"/>
        <v>41667</v>
      </c>
      <c r="T39" s="28">
        <f>SUMIFS(Table442061[Amount],Table442061[Date],S39,Table442061[Category],Table13655[[#Headers],[Income]])+SUMIFS(Table4460[Amount],Table4460[Date],S39,Table4460[Category],Table13655[[#Headers],[Income]])</f>
        <v>0</v>
      </c>
      <c r="U39" s="28">
        <f>SUMIFS(Table454[Amount],Table454[Date],S39,Table454[Category],"&lt;&gt;"&amp;Table13655[[#Headers],[Income]])+SUMIFS(Table4460[Amount],Table4460[Date],S39,Table4460[Category],"&lt;&gt;"&amp;Table13655[[#Headers],[Income]])</f>
        <v>0</v>
      </c>
      <c r="V39" s="28">
        <f t="shared" si="1"/>
        <v>1156.74</v>
      </c>
      <c r="W39" s="1">
        <f t="shared" si="2"/>
        <v>1156.7400000000005</v>
      </c>
    </row>
    <row r="40" spans="2:23" x14ac:dyDescent="0.2">
      <c r="B40" s="32"/>
      <c r="C40" s="31" t="s">
        <v>30</v>
      </c>
      <c r="D40" s="31" t="s">
        <v>1</v>
      </c>
      <c r="E40" s="31" t="s">
        <v>2</v>
      </c>
      <c r="F40" s="31" t="s">
        <v>14</v>
      </c>
      <c r="G40" s="32"/>
      <c r="H40" s="42"/>
      <c r="J40" s="11"/>
      <c r="K40" s="11"/>
      <c r="L40" s="11"/>
      <c r="M40" s="24"/>
      <c r="N40" s="12"/>
      <c r="O40" s="11"/>
      <c r="Q40" s="42"/>
      <c r="S40" s="27">
        <f t="shared" si="0"/>
        <v>41668</v>
      </c>
      <c r="T40" s="29">
        <f>SUMIFS(Table442061[Amount],Table442061[Date],S40,Table442061[Category],Table13655[[#Headers],[Income]])+SUMIFS(Table4460[Amount],Table4460[Date],S40,Table4460[Category],Table13655[[#Headers],[Income]])</f>
        <v>0</v>
      </c>
      <c r="U40" s="29">
        <f>SUMIFS(Table454[Amount],Table454[Date],S40,Table454[Category],"&lt;&gt;"&amp;Table13655[[#Headers],[Income]])+SUMIFS(Table4460[Amount],Table4460[Date],S40,Table4460[Category],"&lt;&gt;"&amp;Table13655[[#Headers],[Income]])</f>
        <v>0</v>
      </c>
      <c r="V40" s="29">
        <f t="shared" si="1"/>
        <v>1156.74</v>
      </c>
      <c r="W40" s="1">
        <f t="shared" si="2"/>
        <v>1156.7400000000005</v>
      </c>
    </row>
    <row r="41" spans="2:23" x14ac:dyDescent="0.2">
      <c r="B41" s="32"/>
      <c r="D41" s="2"/>
      <c r="E41" s="2">
        <f>SUMIFS(Table454[Amount],Table454[Category],Table1391059[[#Headers],[Bills]],Table454[Sub-Category],Table1391059[[#This Row],[Bills]])+SUMIFS(Table4460[Amount],Table4460[Category],Table1391059[[#Headers],[Bills]],Table4460[Sub-Category],Table1391059[[#This Row],[Bills]])</f>
        <v>0</v>
      </c>
      <c r="F41" s="3">
        <f>Table1391059[[#This Row],[Budget]]-Table1391059[[#This Row],[Actual]]</f>
        <v>0</v>
      </c>
      <c r="G41" s="32"/>
      <c r="H41" s="42"/>
      <c r="Q41" s="42"/>
      <c r="S41" s="30">
        <f t="shared" si="0"/>
        <v>41669</v>
      </c>
      <c r="T41" s="28">
        <f>SUMIFS(Table442061[Amount],Table442061[Date],S41,Table442061[Category],Table13655[[#Headers],[Income]])+SUMIFS(Table4460[Amount],Table4460[Date],S41,Table4460[Category],Table13655[[#Headers],[Income]])</f>
        <v>0</v>
      </c>
      <c r="U41" s="28">
        <f>SUMIFS(Table454[Amount],Table454[Date],S41,Table454[Category],"&lt;&gt;"&amp;Table13655[[#Headers],[Income]])+SUMIFS(Table4460[Amount],Table4460[Date],S41,Table4460[Category],"&lt;&gt;"&amp;Table13655[[#Headers],[Income]])</f>
        <v>0</v>
      </c>
      <c r="V41" s="28">
        <f t="shared" si="1"/>
        <v>1156.74</v>
      </c>
      <c r="W41" s="1">
        <f t="shared" si="2"/>
        <v>1156.7400000000005</v>
      </c>
    </row>
    <row r="42" spans="2:23" x14ac:dyDescent="0.2">
      <c r="B42" s="32"/>
      <c r="D42" s="2"/>
      <c r="E42" s="2">
        <f>SUMIFS(Table454[Amount],Table454[Category],Table1391059[[#Headers],[Bills]],Table454[Sub-Category],Table1391059[[#This Row],[Bills]])+SUMIFS(Table4460[Amount],Table4460[Category],Table1391059[[#Headers],[Bills]],Table4460[Sub-Category],Table1391059[[#This Row],[Bills]])</f>
        <v>0</v>
      </c>
      <c r="F42" s="3">
        <f>Table1391059[[#This Row],[Budget]]-Table1391059[[#This Row],[Actual]]</f>
        <v>0</v>
      </c>
      <c r="G42" s="32"/>
      <c r="H42" s="42"/>
      <c r="Q42" s="42"/>
      <c r="S42" s="27">
        <f t="shared" si="0"/>
        <v>41670</v>
      </c>
      <c r="T42" s="29">
        <f>SUMIFS(Table442061[Amount],Table442061[Date],S42,Table442061[Category],Table13655[[#Headers],[Income]])+SUMIFS(Table4460[Amount],Table4460[Date],S42,Table4460[Category],Table13655[[#Headers],[Income]])</f>
        <v>0</v>
      </c>
      <c r="U42" s="29">
        <f>SUMIFS(Table454[Amount],Table454[Date],S42,Table454[Category],"&lt;&gt;"&amp;Table13655[[#Headers],[Income]])+SUMIFS(Table4460[Amount],Table4460[Date],S42,Table4460[Category],"&lt;&gt;"&amp;Table13655[[#Headers],[Income]])</f>
        <v>0</v>
      </c>
      <c r="V42" s="29">
        <f t="shared" si="1"/>
        <v>1156.74</v>
      </c>
      <c r="W42" s="1">
        <f t="shared" si="2"/>
        <v>1156.7400000000005</v>
      </c>
    </row>
    <row r="43" spans="2:23" x14ac:dyDescent="0.2">
      <c r="B43" s="32"/>
      <c r="C43" s="11"/>
      <c r="D43" s="12"/>
      <c r="E43" s="13">
        <f>SUMIFS(Table454[Amount],Table454[Category],Table1391059[[#Headers],[Bills]],Table454[Sub-Category],Table1391059[[#This Row],[Bills]])+SUMIFS(Table4460[Amount],Table4460[Category],Table1391059[[#Headers],[Bills]],Table4460[Sub-Category],Table1391059[[#This Row],[Bills]])</f>
        <v>0</v>
      </c>
      <c r="F43" s="13">
        <f>Table1391059[[#This Row],[Budget]]-Table1391059[[#This Row],[Actual]]</f>
        <v>0</v>
      </c>
      <c r="G43" s="32"/>
      <c r="H43" s="42"/>
      <c r="Q43" s="42"/>
      <c r="S43" s="8"/>
    </row>
    <row r="44" spans="2:23" x14ac:dyDescent="0.2">
      <c r="B44" s="32"/>
      <c r="C44" s="11"/>
      <c r="D44" s="12"/>
      <c r="E44" s="13">
        <f>SUMIFS(Table454[Amount],Table454[Category],Table1391059[[#Headers],[Bills]],Table454[Sub-Category],Table1391059[[#This Row],[Bills]])+SUMIFS(Table4460[Amount],Table4460[Category],Table1391059[[#Headers],[Bills]],Table4460[Sub-Category],Table1391059[[#This Row],[Bills]])</f>
        <v>0</v>
      </c>
      <c r="F44" s="13">
        <f>Table1391059[[#This Row],[Budget]]-Table1391059[[#This Row],[Actual]]</f>
        <v>0</v>
      </c>
      <c r="G44" s="32"/>
      <c r="H44" s="42"/>
      <c r="Q44" s="42"/>
      <c r="S44" s="8"/>
    </row>
    <row r="45" spans="2:23" x14ac:dyDescent="0.2">
      <c r="B45" s="32"/>
      <c r="C45" s="11"/>
      <c r="D45" s="12"/>
      <c r="E45" s="13">
        <f>SUMIFS(Table454[Amount],Table454[Category],Table1391059[[#Headers],[Bills]],Table454[Sub-Category],Table1391059[[#This Row],[Bills]])+SUMIFS(Table4460[Amount],Table4460[Category],Table1391059[[#Headers],[Bills]],Table4460[Sub-Category],Table1391059[[#This Row],[Bills]])</f>
        <v>0</v>
      </c>
      <c r="F45" s="13">
        <f>Table1391059[[#This Row],[Budget]]-Table1391059[[#This Row],[Actual]]</f>
        <v>0</v>
      </c>
      <c r="G45" s="32"/>
      <c r="H45" s="42"/>
      <c r="Q45" s="42"/>
    </row>
    <row r="46" spans="2:23" x14ac:dyDescent="0.2">
      <c r="B46" s="32"/>
      <c r="C46" s="9" t="s">
        <v>20</v>
      </c>
      <c r="D46" s="10">
        <f>SUBTOTAL(109,Table1391059[Budget])</f>
        <v>0</v>
      </c>
      <c r="E46" s="10">
        <f>SUBTOTAL(109,Table1391059[Actual])</f>
        <v>0</v>
      </c>
      <c r="F46" s="10">
        <f>SUBTOTAL(109,Table1391059[Variance])</f>
        <v>0</v>
      </c>
      <c r="G46" s="32"/>
      <c r="H46" s="42"/>
      <c r="Q46" s="42"/>
    </row>
    <row r="47" spans="2:23" x14ac:dyDescent="0.2">
      <c r="B47" s="32"/>
      <c r="C47" s="20"/>
      <c r="D47" s="21"/>
      <c r="E47" s="21"/>
      <c r="F47" s="22"/>
      <c r="G47" s="32"/>
      <c r="H47" s="42"/>
      <c r="Q47" s="42"/>
    </row>
    <row r="48" spans="2:23" x14ac:dyDescent="0.2">
      <c r="B48" s="32"/>
      <c r="C48" s="37" t="str">
        <f>CONCATENATE(Table13756[[#Headers],[Living]]," - Budget &amp; Tracking")</f>
        <v>Living - Budget &amp; Tracking</v>
      </c>
      <c r="D48" s="38"/>
      <c r="E48" s="38"/>
      <c r="F48" s="39"/>
      <c r="G48" s="32"/>
      <c r="H48" s="42"/>
      <c r="Q48" s="42"/>
    </row>
    <row r="49" spans="2:17" x14ac:dyDescent="0.2">
      <c r="B49" s="32"/>
      <c r="C49" s="31" t="s">
        <v>25</v>
      </c>
      <c r="D49" s="31" t="s">
        <v>1</v>
      </c>
      <c r="E49" s="31" t="s">
        <v>2</v>
      </c>
      <c r="F49" s="31" t="s">
        <v>14</v>
      </c>
      <c r="G49" s="32"/>
      <c r="H49" s="42"/>
      <c r="Q49" s="42"/>
    </row>
    <row r="50" spans="2:17" x14ac:dyDescent="0.2">
      <c r="B50" s="32"/>
      <c r="D50" s="2"/>
      <c r="E50" s="2">
        <f>SUMIFS(Table454[Amount],Table454[Category],Table13756[[#Headers],[Living]],Table454[Sub-Category],Table13756[[#This Row],[Living]])+SUMIFS(Table4460[Amount],Table4460[Category],Table13756[[#Headers],[Living]],Table4460[Sub-Category],Table13756[[#This Row],[Living]])</f>
        <v>0</v>
      </c>
      <c r="F50" s="3">
        <f>Table13756[[#This Row],[Budget]]-Table13756[[#This Row],[Actual]]</f>
        <v>0</v>
      </c>
      <c r="G50" s="32"/>
      <c r="H50" s="42"/>
      <c r="Q50" s="42"/>
    </row>
    <row r="51" spans="2:17" x14ac:dyDescent="0.2">
      <c r="B51" s="32"/>
      <c r="D51" s="2"/>
      <c r="E51" s="2">
        <f>SUMIFS(Table454[Amount],Table454[Category],Table13756[[#Headers],[Living]],Table454[Sub-Category],Table13756[[#This Row],[Living]])+SUMIFS(Table4460[Amount],Table4460[Category],Table13756[[#Headers],[Living]],Table4460[Sub-Category],Table13756[[#This Row],[Living]])</f>
        <v>0</v>
      </c>
      <c r="F51" s="3">
        <f>Table13756[[#This Row],[Budget]]-Table13756[[#This Row],[Actual]]</f>
        <v>0</v>
      </c>
      <c r="G51" s="32"/>
      <c r="H51" s="42"/>
      <c r="Q51" s="42"/>
    </row>
    <row r="52" spans="2:17" x14ac:dyDescent="0.2">
      <c r="B52" s="32"/>
      <c r="C52" s="11"/>
      <c r="D52" s="12"/>
      <c r="E52" s="13">
        <f>SUMIFS(Table454[Amount],Table454[Category],Table13756[[#Headers],[Living]],Table454[Sub-Category],Table13756[[#This Row],[Living]])+SUMIFS(Table4460[Amount],Table4460[Category],Table13756[[#Headers],[Living]],Table4460[Sub-Category],Table13756[[#This Row],[Living]])</f>
        <v>0</v>
      </c>
      <c r="F52" s="13">
        <f>Table13756[[#This Row],[Budget]]-Table13756[[#This Row],[Actual]]</f>
        <v>0</v>
      </c>
      <c r="G52" s="32"/>
      <c r="H52" s="42"/>
      <c r="Q52" s="42"/>
    </row>
    <row r="53" spans="2:17" x14ac:dyDescent="0.2">
      <c r="B53" s="32"/>
      <c r="C53" s="11"/>
      <c r="D53" s="12"/>
      <c r="E53" s="13">
        <f>SUMIFS(Table454[Amount],Table454[Category],Table13756[[#Headers],[Living]],Table454[Sub-Category],Table13756[[#This Row],[Living]])+SUMIFS(Table4460[Amount],Table4460[Category],Table13756[[#Headers],[Living]],Table4460[Sub-Category],Table13756[[#This Row],[Living]])</f>
        <v>0</v>
      </c>
      <c r="F53" s="13">
        <f>Table13756[[#This Row],[Budget]]-Table13756[[#This Row],[Actual]]</f>
        <v>0</v>
      </c>
      <c r="G53" s="32"/>
      <c r="H53" s="42"/>
      <c r="Q53" s="42"/>
    </row>
    <row r="54" spans="2:17" x14ac:dyDescent="0.2">
      <c r="B54" s="32"/>
      <c r="C54" s="9" t="s">
        <v>20</v>
      </c>
      <c r="D54" s="10">
        <f>SUBTOTAL(109,Table13756[Budget])</f>
        <v>0</v>
      </c>
      <c r="E54" s="10">
        <f>SUBTOTAL(109,Table13756[Actual])</f>
        <v>0</v>
      </c>
      <c r="F54" s="10">
        <f>SUBTOTAL(109,Table13756[Variance])</f>
        <v>0</v>
      </c>
      <c r="G54" s="32"/>
      <c r="H54" s="42"/>
      <c r="Q54" s="42"/>
    </row>
    <row r="55" spans="2:17" x14ac:dyDescent="0.2">
      <c r="B55" s="32"/>
      <c r="C55" s="20"/>
      <c r="D55" s="21"/>
      <c r="E55" s="21"/>
      <c r="F55" s="22"/>
      <c r="G55" s="32"/>
      <c r="H55" s="42"/>
      <c r="Q55" s="42"/>
    </row>
    <row r="56" spans="2:17" x14ac:dyDescent="0.2">
      <c r="B56" s="32"/>
      <c r="C56" s="37" t="str">
        <f>CONCATENATE(Table13857[[#Headers],[Entertainment]]," - Budget &amp; Tracking")</f>
        <v>Entertainment - Budget &amp; Tracking</v>
      </c>
      <c r="D56" s="38"/>
      <c r="E56" s="38"/>
      <c r="F56" s="39"/>
      <c r="G56" s="32"/>
      <c r="H56" s="42"/>
      <c r="Q56" s="42"/>
    </row>
    <row r="57" spans="2:17" x14ac:dyDescent="0.2">
      <c r="B57" s="32"/>
      <c r="C57" s="31" t="s">
        <v>24</v>
      </c>
      <c r="D57" s="31" t="s">
        <v>1</v>
      </c>
      <c r="E57" s="31" t="s">
        <v>2</v>
      </c>
      <c r="F57" s="31" t="s">
        <v>14</v>
      </c>
      <c r="G57" s="32"/>
      <c r="H57" s="42"/>
      <c r="Q57" s="42"/>
    </row>
    <row r="58" spans="2:17" x14ac:dyDescent="0.2">
      <c r="B58" s="32"/>
      <c r="D58" s="2"/>
      <c r="E58" s="2">
        <f>SUMIFS(Table454[Amount],Table454[Category],Table13857[[#Headers],[Entertainment]],Table454[Sub-Category],Table13857[[#This Row],[Entertainment]])+SUMIFS(Table4460[Amount],Table4460[Category],Table13857[[#Headers],[Entertainment]],Table4460[Sub-Category],Table13857[[#This Row],[Entertainment]])</f>
        <v>0</v>
      </c>
      <c r="F58" s="3">
        <f>Table13857[[#This Row],[Budget]]-Table13857[[#This Row],[Actual]]</f>
        <v>0</v>
      </c>
      <c r="G58" s="32"/>
      <c r="H58" s="42"/>
      <c r="Q58" s="42"/>
    </row>
    <row r="59" spans="2:17" x14ac:dyDescent="0.2">
      <c r="B59" s="33"/>
      <c r="D59" s="2"/>
      <c r="E59" s="2">
        <f>SUMIFS(Table454[Amount],Table454[Category],Table13857[[#Headers],[Entertainment]],Table454[Sub-Category],Table13857[[#This Row],[Entertainment]])+SUMIFS(Table4460[Amount],Table4460[Category],Table13857[[#Headers],[Entertainment]],Table4460[Sub-Category],Table13857[[#This Row],[Entertainment]])</f>
        <v>0</v>
      </c>
      <c r="F59" s="3">
        <f>Table13857[[#This Row],[Budget]]-Table13857[[#This Row],[Actual]]</f>
        <v>0</v>
      </c>
      <c r="G59" s="33"/>
      <c r="H59" s="42"/>
      <c r="Q59" s="42"/>
    </row>
    <row r="60" spans="2:17" x14ac:dyDescent="0.2">
      <c r="C60" s="9" t="s">
        <v>20</v>
      </c>
      <c r="D60" s="10">
        <f>SUBTOTAL(109,Table13857[Budget])</f>
        <v>0</v>
      </c>
      <c r="E60" s="10">
        <f>SUBTOTAL(109,Table13857[Actual])</f>
        <v>0</v>
      </c>
      <c r="F60" s="10">
        <f>SUBTOTAL(109,Table13857[Variance])</f>
        <v>0</v>
      </c>
      <c r="H60" s="42"/>
      <c r="Q60" s="42"/>
    </row>
    <row r="61" spans="2:17" x14ac:dyDescent="0.2">
      <c r="C61" s="26"/>
      <c r="D61" s="23"/>
      <c r="E61" s="23"/>
      <c r="F61" s="23"/>
      <c r="H61" s="42"/>
      <c r="Q61" s="42"/>
    </row>
    <row r="62" spans="2:17" x14ac:dyDescent="0.2">
      <c r="C62" s="37" t="str">
        <f>CONCATENATE(Table13958[[#Headers],[Misc.]]," - Budget &amp; Tracking")</f>
        <v>Misc. - Budget &amp; Tracking</v>
      </c>
      <c r="D62" s="38"/>
      <c r="E62" s="38"/>
      <c r="F62" s="39"/>
      <c r="H62" s="42"/>
      <c r="Q62" s="42"/>
    </row>
    <row r="63" spans="2:17" x14ac:dyDescent="0.2">
      <c r="C63" s="31" t="s">
        <v>27</v>
      </c>
      <c r="D63" s="31" t="s">
        <v>1</v>
      </c>
      <c r="E63" s="31" t="s">
        <v>2</v>
      </c>
      <c r="F63" s="31" t="s">
        <v>14</v>
      </c>
      <c r="H63" s="42"/>
      <c r="Q63" s="42"/>
    </row>
    <row r="64" spans="2:17" x14ac:dyDescent="0.2">
      <c r="C64" s="11"/>
      <c r="D64" s="12"/>
      <c r="E64" s="13">
        <f>SUMIFS(Table454[Amount],Table454[Category],Table13958[[#Headers],[Misc.]],Table454[Sub-Category],Table13958[[#This Row],[Misc.]])+SUMIFS(Table4460[Amount],Table4460[Category],Table13958[[#Headers],[Misc.]],Table4460[Sub-Category],Table13958[[#This Row],[Misc.]])</f>
        <v>0</v>
      </c>
      <c r="F64" s="13">
        <f>Table13958[[#This Row],[Budget]]-Table13958[[#This Row],[Actual]]</f>
        <v>0</v>
      </c>
      <c r="H64" s="42"/>
      <c r="Q64" s="42"/>
    </row>
    <row r="65" spans="3:17" x14ac:dyDescent="0.2">
      <c r="C65" s="11"/>
      <c r="D65" s="12"/>
      <c r="E65" s="13">
        <f>SUMIFS(Table454[Amount],Table454[Category],Table13958[[#Headers],[Misc.]],Table454[Sub-Category],Table13958[[#This Row],[Misc.]])+SUMIFS(Table4460[Amount],Table4460[Category],Table13958[[#Headers],[Misc.]],Table4460[Sub-Category],Table13958[[#This Row],[Misc.]])</f>
        <v>0</v>
      </c>
      <c r="F65" s="13">
        <f>Table13958[[#This Row],[Budget]]-Table13958[[#This Row],[Actual]]</f>
        <v>0</v>
      </c>
      <c r="H65" s="42"/>
      <c r="Q65" s="42"/>
    </row>
    <row r="66" spans="3:17" x14ac:dyDescent="0.2">
      <c r="C66" s="9" t="s">
        <v>20</v>
      </c>
      <c r="D66" s="10">
        <f>SUBTOTAL(109,Table13958[Budget])</f>
        <v>0</v>
      </c>
      <c r="E66" s="10">
        <f>SUBTOTAL(109,Table13958[Actual])</f>
        <v>0</v>
      </c>
      <c r="F66" s="10">
        <f>SUBTOTAL(109,Table13958[Variance])</f>
        <v>0</v>
      </c>
      <c r="H66" s="42"/>
      <c r="Q66" s="42"/>
    </row>
    <row r="67" spans="3:17" x14ac:dyDescent="0.2">
      <c r="C67" s="26"/>
      <c r="D67" s="23"/>
      <c r="E67" s="23"/>
      <c r="F67" s="23"/>
    </row>
    <row r="68" spans="3:17" x14ac:dyDescent="0.2">
      <c r="C68" s="33"/>
      <c r="D68" s="34"/>
      <c r="E68" s="34"/>
      <c r="F68" s="34"/>
    </row>
  </sheetData>
  <mergeCells count="1">
    <mergeCell ref="C1:F1"/>
  </mergeCells>
  <conditionalFormatting sqref="F33:F36">
    <cfRule type="iconSet" priority="23">
      <iconSet iconSet="3Symbols">
        <cfvo type="percent" val="0"/>
        <cfvo type="num" val="0"/>
        <cfvo type="num" val="10"/>
      </iconSet>
    </cfRule>
  </conditionalFormatting>
  <conditionalFormatting sqref="F50:F53">
    <cfRule type="iconSet" priority="21">
      <iconSet iconSet="3Symbols">
        <cfvo type="percent" val="0"/>
        <cfvo type="num" val="0"/>
        <cfvo type="num" val="10"/>
      </iconSet>
    </cfRule>
  </conditionalFormatting>
  <conditionalFormatting sqref="F58:F59">
    <cfRule type="iconSet" priority="20">
      <iconSet iconSet="3Symbols">
        <cfvo type="percent" val="0"/>
        <cfvo type="num" val="0"/>
        <cfvo type="num" val="10"/>
      </iconSet>
    </cfRule>
  </conditionalFormatting>
  <conditionalFormatting sqref="F41:F45">
    <cfRule type="iconSet" priority="19">
      <iconSet iconSet="3Symbols">
        <cfvo type="percent" val="0"/>
        <cfvo type="num" val="0"/>
        <cfvo type="num" val="10"/>
      </iconSet>
    </cfRule>
  </conditionalFormatting>
  <conditionalFormatting sqref="D6:E6">
    <cfRule type="iconSet" priority="18">
      <iconSet iconSet="3Symbols">
        <cfvo type="percent" val="0"/>
        <cfvo type="num" val="0" gte="0"/>
        <cfvo type="num" val="10"/>
      </iconSet>
    </cfRule>
  </conditionalFormatting>
  <conditionalFormatting sqref="F3:F6">
    <cfRule type="iconSet" priority="17">
      <iconSet iconSet="3Arrows">
        <cfvo type="percent" val="0"/>
        <cfvo type="num" val="-50"/>
        <cfvo type="num" val="0" gte="0"/>
      </iconSet>
    </cfRule>
  </conditionalFormatting>
  <conditionalFormatting sqref="F20:F28">
    <cfRule type="iconSet" priority="24">
      <iconSet iconSet="3Symbols">
        <cfvo type="percent" val="0"/>
        <cfvo type="num" val="0"/>
        <cfvo type="num" val="10"/>
      </iconSet>
    </cfRule>
  </conditionalFormatting>
  <conditionalFormatting sqref="S12">
    <cfRule type="cellIs" dxfId="127" priority="16" operator="equal">
      <formula>TODAY()</formula>
    </cfRule>
  </conditionalFormatting>
  <conditionalFormatting sqref="T12 T20:U42">
    <cfRule type="expression" dxfId="126" priority="15">
      <formula>IF($S12=TODAY(),TRUE)</formula>
    </cfRule>
  </conditionalFormatting>
  <conditionalFormatting sqref="U12">
    <cfRule type="expression" dxfId="125" priority="14">
      <formula>IF($S12=TODAY(),TRUE)</formula>
    </cfRule>
  </conditionalFormatting>
  <conditionalFormatting sqref="V12 V20:V42">
    <cfRule type="expression" dxfId="124" priority="13">
      <formula>IF($S12=TODAY(),TRUE)</formula>
    </cfRule>
  </conditionalFormatting>
  <conditionalFormatting sqref="S13:S15">
    <cfRule type="cellIs" dxfId="123" priority="12" operator="equal">
      <formula>TODAY()</formula>
    </cfRule>
  </conditionalFormatting>
  <conditionalFormatting sqref="T13:T15">
    <cfRule type="expression" dxfId="122" priority="11">
      <formula>IF($S13=TODAY(),TRUE)</formula>
    </cfRule>
  </conditionalFormatting>
  <conditionalFormatting sqref="U13:U15">
    <cfRule type="expression" dxfId="121" priority="10">
      <formula>IF($S13=TODAY(),TRUE)</formula>
    </cfRule>
  </conditionalFormatting>
  <conditionalFormatting sqref="V13:V15">
    <cfRule type="expression" dxfId="120" priority="9">
      <formula>IF($S13=TODAY(),TRUE)</formula>
    </cfRule>
  </conditionalFormatting>
  <conditionalFormatting sqref="S16 S20 S24 S28 S32 S36 S40">
    <cfRule type="cellIs" dxfId="119" priority="8" operator="equal">
      <formula>TODAY()</formula>
    </cfRule>
  </conditionalFormatting>
  <conditionalFormatting sqref="T16">
    <cfRule type="expression" dxfId="118" priority="7">
      <formula>IF($S16=TODAY(),TRUE)</formula>
    </cfRule>
  </conditionalFormatting>
  <conditionalFormatting sqref="U16">
    <cfRule type="expression" dxfId="117" priority="6">
      <formula>IF($S16=TODAY(),TRUE)</formula>
    </cfRule>
  </conditionalFormatting>
  <conditionalFormatting sqref="V16">
    <cfRule type="expression" dxfId="116" priority="5">
      <formula>IF($S16=TODAY(),TRUE)</formula>
    </cfRule>
  </conditionalFormatting>
  <conditionalFormatting sqref="S17:S19 S21:S23 S25:S27 S29:S31 S33:S35 S37:S39 S41:S42">
    <cfRule type="cellIs" dxfId="115" priority="4" operator="equal">
      <formula>TODAY()</formula>
    </cfRule>
  </conditionalFormatting>
  <conditionalFormatting sqref="T17:T19">
    <cfRule type="expression" dxfId="114" priority="3">
      <formula>IF($S17=TODAY(),TRUE)</formula>
    </cfRule>
  </conditionalFormatting>
  <conditionalFormatting sqref="U17:U19">
    <cfRule type="expression" dxfId="113" priority="2">
      <formula>IF($S17=TODAY(),TRUE)</formula>
    </cfRule>
  </conditionalFormatting>
  <conditionalFormatting sqref="V17:V19">
    <cfRule type="expression" dxfId="112" priority="1">
      <formula>IF($S17=TODAY(),TRUE)</formula>
    </cfRule>
  </conditionalFormatting>
  <conditionalFormatting sqref="F66:F68">
    <cfRule type="iconSet" priority="25">
      <iconSet iconSet="3Symbols">
        <cfvo type="percent" val="0"/>
        <cfvo type="num" val="0" gte="0"/>
        <cfvo type="num" val="10"/>
      </iconSet>
    </cfRule>
  </conditionalFormatting>
  <conditionalFormatting sqref="F60:F61">
    <cfRule type="iconSet" priority="26">
      <iconSet iconSet="3Symbols">
        <cfvo type="percent" val="0"/>
        <cfvo type="num" val="0" gte="0"/>
        <cfvo type="num" val="10"/>
      </iconSet>
    </cfRule>
  </conditionalFormatting>
  <conditionalFormatting sqref="F54:F55">
    <cfRule type="iconSet" priority="27">
      <iconSet iconSet="3Symbols">
        <cfvo type="percent" val="0"/>
        <cfvo type="num" val="0" gte="0"/>
        <cfvo type="num" val="10" gte="0"/>
      </iconSet>
    </cfRule>
  </conditionalFormatting>
  <conditionalFormatting sqref="F46:F47">
    <cfRule type="iconSet" priority="28">
      <iconSet iconSet="3Symbols">
        <cfvo type="percent" val="0"/>
        <cfvo type="num" val="0" gte="0"/>
        <cfvo type="num" val="10"/>
      </iconSet>
    </cfRule>
  </conditionalFormatting>
  <conditionalFormatting sqref="F37:F38">
    <cfRule type="iconSet" priority="29">
      <iconSet iconSet="3Symbols">
        <cfvo type="percent" val="0"/>
        <cfvo type="num" val="0" gte="0"/>
        <cfvo type="num" val="10"/>
      </iconSet>
    </cfRule>
  </conditionalFormatting>
  <conditionalFormatting sqref="F29:F30">
    <cfRule type="iconSet" priority="30">
      <iconSet iconSet="3Symbols">
        <cfvo type="percent" val="0"/>
        <cfvo type="num" val="0" gte="0"/>
        <cfvo type="num" val="10"/>
      </iconSet>
    </cfRule>
  </conditionalFormatting>
  <conditionalFormatting sqref="F64:F65">
    <cfRule type="iconSet" priority="32">
      <iconSet iconSet="3Symbols">
        <cfvo type="percent" val="0"/>
        <cfvo type="num" val="0"/>
        <cfvo type="num" val="10"/>
      </iconSet>
    </cfRule>
  </conditionalFormatting>
  <dataValidations count="3">
    <dataValidation type="list" allowBlank="1" showInputMessage="1" showErrorMessage="1" sqref="O35:O40 O19:O32 O12:O16">
      <formula1>$U$2:$U$4</formula1>
    </dataValidation>
    <dataValidation type="list" allowBlank="1" showInputMessage="1" showErrorMessage="1" sqref="K35:K40 K19:K32 K12:K16">
      <formula1>$R$2:$R$8</formula1>
    </dataValidation>
    <dataValidation type="list" allowBlank="1" showInputMessage="1" showErrorMessage="1" sqref="L35:L40 L12:L16 L19:L32">
      <formula1>INDIRECT(K12)</formula1>
    </dataValidation>
  </dataValidations>
  <printOptions horizontalCentered="1"/>
  <pageMargins left="0.2" right="0.2" top="0.25" bottom="0.25" header="0.3" footer="0.3"/>
  <pageSetup scale="76" orientation="landscape" r:id="rId1"/>
  <drawing r:id="rId2"/>
  <tableParts count="10">
    <tablePart r:id="rId3"/>
    <tablePart r:id="rId4"/>
    <tablePart r:id="rId5"/>
    <tablePart r:id="rId6"/>
    <tablePart r:id="rId7"/>
    <tablePart r:id="rId8"/>
    <tablePart r:id="rId9"/>
    <tablePart r:id="rId10"/>
    <tablePart r:id="rId11"/>
    <tablePart r:id="rId12"/>
  </tableParts>
  <extLst>
    <ext xmlns:x14="http://schemas.microsoft.com/office/spreadsheetml/2009/9/main" uri="{78C0D931-6437-407d-A8EE-F0AAD7539E65}">
      <x14:conditionalFormattings>
        <x14:conditionalFormatting xmlns:xm="http://schemas.microsoft.com/office/excel/2006/main">
          <x14:cfRule type="iconSet" priority="22" id="{090B20F4-6DBA-4B6A-A953-1475C8A81A09}">
            <x14:iconSet iconSet="3Symbols" custom="1">
              <x14:cfvo type="percent">
                <xm:f>0</xm:f>
              </x14:cfvo>
              <x14:cfvo type="num">
                <xm:f>0</xm:f>
              </x14:cfvo>
              <x14:cfvo type="num">
                <xm:f>10</xm:f>
              </x14:cfvo>
              <x14:cfIcon iconSet="3Symbols" iconId="0"/>
              <x14:cfIcon iconSet="3Symbols" iconId="1"/>
              <x14:cfIcon iconSet="3Symbols" iconId="2"/>
            </x14:iconSet>
          </x14:cfRule>
          <xm:sqref>F12:F15</xm:sqref>
        </x14:conditionalFormatting>
        <x14:conditionalFormatting xmlns:xm="http://schemas.microsoft.com/office/excel/2006/main">
          <x14:cfRule type="iconSet" priority="31" id="{6542BA14-51DB-407B-8E81-70B513A19480}">
            <x14:iconSet iconSet="3Symbols" custom="1">
              <x14:cfvo type="percent">
                <xm:f>0</xm:f>
              </x14:cfvo>
              <x14:cfvo type="num" gte="0">
                <xm:f>0</xm:f>
              </x14:cfvo>
              <x14:cfvo type="num">
                <xm:f>10</xm:f>
              </x14:cfvo>
              <x14:cfIcon iconSet="3Symbols" iconId="0"/>
              <x14:cfIcon iconSet="3Symbols" iconId="1"/>
              <x14:cfIcon iconSet="3Symbols" iconId="2"/>
            </x14:iconSet>
          </x14:cfRule>
          <xm:sqref>F16:F17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8"/>
  <sheetViews>
    <sheetView showGridLines="0" zoomScaleNormal="100" workbookViewId="0">
      <selection activeCell="C1" sqref="C1:F1"/>
    </sheetView>
  </sheetViews>
  <sheetFormatPr defaultColWidth="0" defaultRowHeight="12" x14ac:dyDescent="0.2"/>
  <cols>
    <col min="1" max="2" width="0.7109375" style="1" customWidth="1"/>
    <col min="3" max="3" width="15" style="1" bestFit="1" customWidth="1"/>
    <col min="4" max="6" width="12.85546875" style="1" customWidth="1"/>
    <col min="7" max="7" width="0.85546875" style="1" customWidth="1"/>
    <col min="8" max="8" width="0.28515625" style="1" customWidth="1"/>
    <col min="9" max="9" width="0.85546875" style="1" customWidth="1"/>
    <col min="10" max="10" width="24.42578125" style="1" bestFit="1" customWidth="1"/>
    <col min="11" max="11" width="12.140625" style="1" bestFit="1" customWidth="1"/>
    <col min="12" max="12" width="14.140625" style="1" bestFit="1" customWidth="1"/>
    <col min="13" max="13" width="8.5703125" style="1" bestFit="1" customWidth="1"/>
    <col min="14" max="14" width="9.7109375" style="1" bestFit="1" customWidth="1"/>
    <col min="15" max="15" width="8.28515625" style="1" bestFit="1" customWidth="1"/>
    <col min="16" max="16" width="0.85546875" style="1" customWidth="1"/>
    <col min="17" max="17" width="0.28515625" style="1" customWidth="1"/>
    <col min="18" max="18" width="0.85546875" style="1" customWidth="1"/>
    <col min="19" max="19" width="10.28515625" style="1" bestFit="1" customWidth="1"/>
    <col min="20" max="22" width="9.5703125" style="1" customWidth="1"/>
    <col min="23" max="23" width="0.7109375" style="1" customWidth="1"/>
    <col min="24" max="24" width="0.7109375" style="1" hidden="1" customWidth="1"/>
    <col min="25" max="25" width="12.140625" style="1" hidden="1" customWidth="1"/>
    <col min="26" max="27" width="4" style="1" hidden="1" customWidth="1"/>
    <col min="28" max="16384" width="9.140625" style="1" hidden="1"/>
  </cols>
  <sheetData>
    <row r="1" spans="2:23" ht="26.25" x14ac:dyDescent="0.4">
      <c r="C1" s="61">
        <f>DATE(YEAR(Mo.5!C1),MONTH(Mo.5!C1)+1,DAY(Mo.5!C1))</f>
        <v>41671</v>
      </c>
      <c r="D1" s="61"/>
      <c r="E1" s="61"/>
      <c r="F1" s="61"/>
      <c r="R1" s="45" t="s">
        <v>0</v>
      </c>
      <c r="S1" s="45" t="s">
        <v>1</v>
      </c>
      <c r="T1" s="45" t="s">
        <v>2</v>
      </c>
      <c r="U1" s="45" t="s">
        <v>16</v>
      </c>
      <c r="V1" s="45" t="s">
        <v>45</v>
      </c>
    </row>
    <row r="2" spans="2:23" x14ac:dyDescent="0.2">
      <c r="D2" s="18" t="s">
        <v>1</v>
      </c>
      <c r="E2" s="19" t="s">
        <v>2</v>
      </c>
      <c r="F2" s="19" t="s">
        <v>14</v>
      </c>
      <c r="R2" s="45" t="str">
        <f>Table13665[[#Headers],[Income]]</f>
        <v>Income</v>
      </c>
      <c r="S2" s="45">
        <f>SUM(Table13665[Budget])</f>
        <v>0</v>
      </c>
      <c r="T2" s="45">
        <f>SUM(Table13665[Actual])</f>
        <v>0</v>
      </c>
      <c r="U2" s="45" t="s">
        <v>19</v>
      </c>
      <c r="V2" s="45">
        <f>AVERAGE(V12:V42)</f>
        <v>1156.7400000000005</v>
      </c>
    </row>
    <row r="3" spans="2:23" x14ac:dyDescent="0.2">
      <c r="C3" s="17" t="s">
        <v>35</v>
      </c>
      <c r="D3" s="5">
        <f>Mo.5!D6</f>
        <v>1156.74</v>
      </c>
      <c r="E3" s="14">
        <f>Mo.5!E6</f>
        <v>1156.74</v>
      </c>
      <c r="F3" s="14">
        <f>E3-D3</f>
        <v>0</v>
      </c>
      <c r="R3" s="45" t="str">
        <f>Table162[[#Headers],[Housing]]</f>
        <v>Housing</v>
      </c>
      <c r="S3" s="45">
        <f>SUM(Table162[Budget])</f>
        <v>0</v>
      </c>
      <c r="T3" s="45">
        <f>SUM(Table162[Actual])</f>
        <v>0</v>
      </c>
      <c r="U3" s="45" t="s">
        <v>17</v>
      </c>
      <c r="V3" s="45"/>
    </row>
    <row r="4" spans="2:23" x14ac:dyDescent="0.2">
      <c r="C4" s="17" t="s">
        <v>32</v>
      </c>
      <c r="D4" s="5">
        <f>Table13665[[#Totals],[Budget]]</f>
        <v>0</v>
      </c>
      <c r="E4" s="5">
        <f>Table13665[[#Totals],[Actual]]</f>
        <v>0</v>
      </c>
      <c r="F4" s="5">
        <f>E4-D4</f>
        <v>0</v>
      </c>
      <c r="R4" s="45" t="str">
        <f>Table1363[[#Headers],[Transportation]]</f>
        <v>Transportation</v>
      </c>
      <c r="S4" s="45">
        <f>SUM(Table1363[Budget])</f>
        <v>0</v>
      </c>
      <c r="T4" s="45">
        <f>SUM(Table1363[Actual])</f>
        <v>0</v>
      </c>
      <c r="U4" s="45" t="s">
        <v>18</v>
      </c>
      <c r="V4" s="45"/>
    </row>
    <row r="5" spans="2:23" x14ac:dyDescent="0.2">
      <c r="C5" s="17" t="s">
        <v>33</v>
      </c>
      <c r="D5" s="5">
        <f>Table162[[#Totals],[Budget]]+Table1363[[#Totals],[Budget]]+Table1391069[[#Totals],[Budget]]+Table13766[[#Totals],[Budget]]+Table13867[[#Totals],[Budget]]+Table13968[[#Totals],[Budget]]</f>
        <v>0</v>
      </c>
      <c r="E5" s="5">
        <f>Table162[[#Totals],[Actual]]+Table1363[[#Totals],[Actual]]+Table1391069[[#Totals],[Actual]]+Table13766[[#Totals],[Actual]]+Table13867[[#Totals],[Actual]]+Table13968[[#Totals],[Actual]]</f>
        <v>0</v>
      </c>
      <c r="F5" s="5">
        <f>E5-D5</f>
        <v>0</v>
      </c>
      <c r="R5" s="45" t="str">
        <f>Table1391069[[#Headers],[Bills]]</f>
        <v>Bills</v>
      </c>
      <c r="S5" s="45">
        <f>SUM(Table1391069[Budget])</f>
        <v>0</v>
      </c>
      <c r="T5" s="45">
        <f>SUM(Table1391069[Actual])</f>
        <v>0</v>
      </c>
      <c r="U5" s="45"/>
      <c r="V5" s="45"/>
    </row>
    <row r="6" spans="2:23" x14ac:dyDescent="0.2">
      <c r="C6" s="15" t="s">
        <v>34</v>
      </c>
      <c r="D6" s="16">
        <f>D3+D4-D5</f>
        <v>1156.74</v>
      </c>
      <c r="E6" s="16">
        <f>E3+E4-E5</f>
        <v>1156.74</v>
      </c>
      <c r="F6" s="16">
        <f>F3+F4-F5</f>
        <v>0</v>
      </c>
      <c r="R6" s="45" t="str">
        <f>Table13766[[#Headers],[Living]]</f>
        <v>Living</v>
      </c>
      <c r="S6" s="45">
        <f>SUM(Table13766[Budget])</f>
        <v>0</v>
      </c>
      <c r="T6" s="45">
        <f>SUM(Table13766[Actual])</f>
        <v>0</v>
      </c>
      <c r="U6" s="45"/>
      <c r="V6" s="45"/>
    </row>
    <row r="7" spans="2:23" ht="3.75" customHeight="1" x14ac:dyDescent="0.2">
      <c r="D7" s="2"/>
      <c r="R7" s="45" t="str">
        <f>Table13867[[#Headers],[Entertainment]]</f>
        <v>Entertainment</v>
      </c>
      <c r="S7" s="45">
        <f>SUM(Table13867[Budget])</f>
        <v>0</v>
      </c>
      <c r="T7" s="45">
        <f>SUM(Table13867[Actual])</f>
        <v>0</v>
      </c>
      <c r="U7" s="45"/>
      <c r="V7" s="45"/>
    </row>
    <row r="8" spans="2:23" ht="1.5" customHeight="1" x14ac:dyDescent="0.2">
      <c r="C8" s="42"/>
      <c r="D8" s="43"/>
      <c r="E8" s="42"/>
      <c r="F8" s="42"/>
      <c r="G8" s="42"/>
      <c r="H8" s="42"/>
      <c r="I8" s="42"/>
      <c r="J8" s="42"/>
      <c r="K8" s="42"/>
      <c r="L8" s="42"/>
      <c r="M8" s="42"/>
      <c r="N8" s="42"/>
      <c r="O8" s="42"/>
      <c r="P8" s="42"/>
      <c r="Q8" s="42"/>
      <c r="R8" s="44" t="str">
        <f>Table13968[[#Headers],[Misc.]]</f>
        <v>Misc.</v>
      </c>
      <c r="S8" s="44">
        <f>SUM(Table13968[Budget])</f>
        <v>0</v>
      </c>
      <c r="T8" s="44">
        <f>SUM(Table13968[Actual])</f>
        <v>0</v>
      </c>
      <c r="U8" s="44"/>
      <c r="V8" s="44"/>
    </row>
    <row r="9" spans="2:23" ht="3.75" customHeight="1" x14ac:dyDescent="0.2">
      <c r="D9" s="2"/>
      <c r="H9" s="42"/>
      <c r="Q9" s="42"/>
    </row>
    <row r="10" spans="2:23" s="25" customFormat="1" x14ac:dyDescent="0.2">
      <c r="B10" s="35"/>
      <c r="C10" s="37" t="str">
        <f>CONCATENATE(Table13665[[#Headers],[Income]]," - Budget &amp; Tracking")</f>
        <v>Income - Budget &amp; Tracking</v>
      </c>
      <c r="D10" s="38"/>
      <c r="E10" s="38"/>
      <c r="F10" s="39"/>
      <c r="G10" s="35"/>
      <c r="H10" s="41"/>
      <c r="J10" s="37" t="s">
        <v>42</v>
      </c>
      <c r="K10" s="38"/>
      <c r="L10" s="38"/>
      <c r="M10" s="38"/>
      <c r="N10" s="38"/>
      <c r="O10" s="39"/>
      <c r="Q10" s="41"/>
      <c r="S10" s="37" t="s">
        <v>40</v>
      </c>
      <c r="T10" s="38"/>
      <c r="U10" s="38"/>
      <c r="V10" s="39"/>
    </row>
    <row r="11" spans="2:23" ht="12.75" thickBot="1" x14ac:dyDescent="0.25">
      <c r="B11" s="32"/>
      <c r="C11" s="31" t="s">
        <v>15</v>
      </c>
      <c r="D11" s="31" t="s">
        <v>1</v>
      </c>
      <c r="E11" s="31" t="s">
        <v>2</v>
      </c>
      <c r="F11" s="31" t="s">
        <v>14</v>
      </c>
      <c r="G11" s="32"/>
      <c r="H11" s="42"/>
      <c r="J11" s="31" t="s">
        <v>9</v>
      </c>
      <c r="K11" s="31" t="s">
        <v>0</v>
      </c>
      <c r="L11" s="31" t="s">
        <v>13</v>
      </c>
      <c r="M11" s="31" t="s">
        <v>10</v>
      </c>
      <c r="N11" s="31" t="s">
        <v>11</v>
      </c>
      <c r="O11" s="31" t="s">
        <v>16</v>
      </c>
      <c r="Q11" s="42"/>
      <c r="S11" s="40" t="s">
        <v>10</v>
      </c>
      <c r="T11" s="40" t="s">
        <v>22</v>
      </c>
      <c r="U11" s="40" t="s">
        <v>21</v>
      </c>
      <c r="V11" s="40" t="s">
        <v>23</v>
      </c>
    </row>
    <row r="12" spans="2:23" x14ac:dyDescent="0.2">
      <c r="B12" s="32"/>
      <c r="D12" s="2"/>
      <c r="E12" s="2">
        <f>SUMIFS(Table442071[Amount],Table442071[Category],Table13665[[#Headers],[Income]],Table442071[Sub-Category],Table13665[[#This Row],[Income]])+SUMIFS(Table4470[Amount],Table4470[Category],Table13665[[#Headers],[Income]],Table4470[Sub-Category],Table13665[[#This Row],[Income]])</f>
        <v>0</v>
      </c>
      <c r="F12" s="3">
        <f>Table13665[[#This Row],[Actual]]-Table13665[[#This Row],[Budget]]</f>
        <v>0</v>
      </c>
      <c r="G12" s="32"/>
      <c r="H12" s="42"/>
      <c r="M12" s="4"/>
      <c r="N12" s="2"/>
      <c r="Q12" s="42"/>
      <c r="S12" s="27">
        <f>C1</f>
        <v>41671</v>
      </c>
      <c r="T12" s="29">
        <f>SUMIFS(Table442071[Amount],Table442071[Date],S12,Table442071[Category],Table13665[[#Headers],[Income]])+SUMIFS(Table4470[Amount],Table4470[Date],S12,Table4470[Category],Table13665[[#Headers],[Income]])</f>
        <v>0</v>
      </c>
      <c r="U12" s="29">
        <f>SUMIFS(Table464[Amount],Table464[Date],S12,Table464[Category],"&lt;&gt;"&amp;Table13665[[#Headers],[Income]])+SUMIFS(Table4470[Amount],Table4470[Date],S12,Table4470[Category],"&lt;&gt;"&amp;Table13665[[#Headers],[Income]])</f>
        <v>0</v>
      </c>
      <c r="V12" s="29">
        <f>E3+T12-U12</f>
        <v>1156.74</v>
      </c>
      <c r="W12" s="1">
        <f>V2</f>
        <v>1156.7400000000005</v>
      </c>
    </row>
    <row r="13" spans="2:23" x14ac:dyDescent="0.2">
      <c r="B13" s="32"/>
      <c r="D13" s="2"/>
      <c r="E13" s="2">
        <f>SUMIFS(Table442071[Amount],Table442071[Category],Table13665[[#Headers],[Income]],Table442071[Sub-Category],Table13665[[#This Row],[Income]])+SUMIFS(Table4470[Amount],Table4470[Category],Table13665[[#Headers],[Income]],Table4470[Sub-Category],Table13665[[#This Row],[Income]])</f>
        <v>0</v>
      </c>
      <c r="F13" s="3">
        <f>Table13665[[#This Row],[Actual]]-Table13665[[#This Row],[Budget]]</f>
        <v>0</v>
      </c>
      <c r="G13" s="32"/>
      <c r="H13" s="42"/>
      <c r="M13" s="4"/>
      <c r="N13" s="2"/>
      <c r="Q13" s="42"/>
      <c r="S13" s="30">
        <f t="shared" ref="S13:S42" si="0">S12+1</f>
        <v>41672</v>
      </c>
      <c r="T13" s="28">
        <f>SUMIFS(Table442071[Amount],Table442071[Date],S13,Table442071[Category],Table13665[[#Headers],[Income]])+SUMIFS(Table4470[Amount],Table4470[Date],S13,Table4470[Category],Table13665[[#Headers],[Income]])</f>
        <v>0</v>
      </c>
      <c r="U13" s="28">
        <f>SUMIFS(Table464[Amount],Table464[Date],S13,Table464[Category],"&lt;&gt;"&amp;Table13665[[#Headers],[Income]])+SUMIFS(Table4470[Amount],Table4470[Date],S13,Table4470[Category],"&lt;&gt;"&amp;Table13665[[#Headers],[Income]])</f>
        <v>0</v>
      </c>
      <c r="V13" s="28">
        <f>V12+T13-U13</f>
        <v>1156.74</v>
      </c>
      <c r="W13" s="1">
        <f>W12</f>
        <v>1156.7400000000005</v>
      </c>
    </row>
    <row r="14" spans="2:23" x14ac:dyDescent="0.2">
      <c r="B14" s="32"/>
      <c r="D14" s="12"/>
      <c r="E14" s="12">
        <f>SUMIFS(Table442071[Amount],Table442071[Category],Table13665[[#Headers],[Income]],Table442071[Sub-Category],Table13665[[#This Row],[Income]])+SUMIFS(Table4470[Amount],Table4470[Category],Table13665[[#Headers],[Income]],Table4470[Sub-Category],Table13665[[#This Row],[Income]])</f>
        <v>0</v>
      </c>
      <c r="F14" s="2">
        <f>Table13665[[#This Row],[Actual]]-Table13665[[#This Row],[Budget]]</f>
        <v>0</v>
      </c>
      <c r="G14" s="32"/>
      <c r="H14" s="42"/>
      <c r="M14" s="4"/>
      <c r="N14" s="2"/>
      <c r="Q14" s="42"/>
      <c r="S14" s="27">
        <f t="shared" si="0"/>
        <v>41673</v>
      </c>
      <c r="T14" s="29">
        <f>SUMIFS(Table442071[Amount],Table442071[Date],S14,Table442071[Category],Table13665[[#Headers],[Income]])+SUMIFS(Table4470[Amount],Table4470[Date],S14,Table4470[Category],Table13665[[#Headers],[Income]])</f>
        <v>0</v>
      </c>
      <c r="U14" s="29">
        <f>SUMIFS(Table464[Amount],Table464[Date],S14,Table464[Category],"&lt;&gt;"&amp;Table13665[[#Headers],[Income]])+SUMIFS(Table4470[Amount],Table4470[Date],S14,Table4470[Category],"&lt;&gt;"&amp;Table13665[[#Headers],[Income]])</f>
        <v>0</v>
      </c>
      <c r="V14" s="29">
        <f t="shared" ref="V14:V42" si="1">V13+T14-U14</f>
        <v>1156.74</v>
      </c>
      <c r="W14" s="1">
        <f t="shared" ref="W14:W42" si="2">W13</f>
        <v>1156.7400000000005</v>
      </c>
    </row>
    <row r="15" spans="2:23" x14ac:dyDescent="0.2">
      <c r="B15" s="32"/>
      <c r="D15" s="2"/>
      <c r="E15" s="3">
        <f>SUMIFS(Table442071[Amount],Table442071[Category],Table13665[[#Headers],[Income]],Table442071[Sub-Category],Table13665[[#This Row],[Income]])+SUMIFS(Table4470[Amount],Table4470[Category],Table13665[[#Headers],[Income]],Table4470[Sub-Category],Table13665[[#This Row],[Income]])</f>
        <v>0</v>
      </c>
      <c r="F15" s="3">
        <f>Table13665[[#This Row],[Actual]]-Table13665[[#This Row],[Budget]]</f>
        <v>0</v>
      </c>
      <c r="G15" s="32"/>
      <c r="H15" s="42"/>
      <c r="J15" s="11"/>
      <c r="K15" s="11"/>
      <c r="L15" s="11"/>
      <c r="M15" s="24"/>
      <c r="N15" s="12"/>
      <c r="O15" s="11"/>
      <c r="Q15" s="42"/>
      <c r="S15" s="30">
        <f t="shared" si="0"/>
        <v>41674</v>
      </c>
      <c r="T15" s="28">
        <f>SUMIFS(Table442071[Amount],Table442071[Date],S15,Table442071[Category],Table13665[[#Headers],[Income]])+SUMIFS(Table4470[Amount],Table4470[Date],S15,Table4470[Category],Table13665[[#Headers],[Income]])</f>
        <v>0</v>
      </c>
      <c r="U15" s="28">
        <f>SUMIFS(Table464[Amount],Table464[Date],S15,Table464[Category],"&lt;&gt;"&amp;Table13665[[#Headers],[Income]])+SUMIFS(Table4470[Amount],Table4470[Date],S15,Table4470[Category],"&lt;&gt;"&amp;Table13665[[#Headers],[Income]])</f>
        <v>0</v>
      </c>
      <c r="V15" s="28">
        <f t="shared" si="1"/>
        <v>1156.74</v>
      </c>
      <c r="W15" s="1">
        <f t="shared" si="2"/>
        <v>1156.7400000000005</v>
      </c>
    </row>
    <row r="16" spans="2:23" x14ac:dyDescent="0.2">
      <c r="B16" s="32"/>
      <c r="C16" s="6" t="s">
        <v>20</v>
      </c>
      <c r="D16" s="7">
        <f>SUBTOTAL(109,Table13665[Budget])</f>
        <v>0</v>
      </c>
      <c r="E16" s="7">
        <f>SUBTOTAL(109,Table13665[Actual])</f>
        <v>0</v>
      </c>
      <c r="F16" s="7">
        <f>SUBTOTAL(109,Table13665[Variance])</f>
        <v>0</v>
      </c>
      <c r="G16" s="36"/>
      <c r="H16" s="43"/>
      <c r="I16" s="2"/>
      <c r="M16" s="4"/>
      <c r="N16" s="2"/>
      <c r="Q16" s="43"/>
      <c r="S16" s="27">
        <f t="shared" si="0"/>
        <v>41675</v>
      </c>
      <c r="T16" s="29">
        <f>SUMIFS(Table442071[Amount],Table442071[Date],S16,Table442071[Category],Table13665[[#Headers],[Income]])+SUMIFS(Table4470[Amount],Table4470[Date],S16,Table4470[Category],Table13665[[#Headers],[Income]])</f>
        <v>0</v>
      </c>
      <c r="U16" s="29">
        <f>SUMIFS(Table464[Amount],Table464[Date],S16,Table464[Category],"&lt;&gt;"&amp;Table13665[[#Headers],[Income]])+SUMIFS(Table4470[Amount],Table4470[Date],S16,Table4470[Category],"&lt;&gt;"&amp;Table13665[[#Headers],[Income]])</f>
        <v>0</v>
      </c>
      <c r="V16" s="29">
        <f t="shared" si="1"/>
        <v>1156.74</v>
      </c>
      <c r="W16" s="1">
        <f t="shared" si="2"/>
        <v>1156.7400000000005</v>
      </c>
    </row>
    <row r="17" spans="2:23" x14ac:dyDescent="0.2">
      <c r="B17" s="32"/>
      <c r="C17" s="20"/>
      <c r="D17" s="21"/>
      <c r="E17" s="21"/>
      <c r="F17" s="21"/>
      <c r="G17" s="36"/>
      <c r="H17" s="43"/>
      <c r="I17" s="2"/>
      <c r="J17" s="37" t="s">
        <v>43</v>
      </c>
      <c r="K17" s="38"/>
      <c r="L17" s="38"/>
      <c r="M17" s="38"/>
      <c r="N17" s="38"/>
      <c r="O17" s="39"/>
      <c r="Q17" s="43"/>
      <c r="S17" s="30">
        <f t="shared" si="0"/>
        <v>41676</v>
      </c>
      <c r="T17" s="28">
        <f>SUMIFS(Table442071[Amount],Table442071[Date],S17,Table442071[Category],Table13665[[#Headers],[Income]])+SUMIFS(Table4470[Amount],Table4470[Date],S17,Table4470[Category],Table13665[[#Headers],[Income]])</f>
        <v>0</v>
      </c>
      <c r="U17" s="28">
        <f>SUMIFS(Table464[Amount],Table464[Date],S17,Table464[Category],"&lt;&gt;"&amp;Table13665[[#Headers],[Income]])+SUMIFS(Table4470[Amount],Table4470[Date],S17,Table4470[Category],"&lt;&gt;"&amp;Table13665[[#Headers],[Income]])</f>
        <v>0</v>
      </c>
      <c r="V17" s="28">
        <f t="shared" si="1"/>
        <v>1156.74</v>
      </c>
      <c r="W17" s="1">
        <f t="shared" si="2"/>
        <v>1156.7400000000005</v>
      </c>
    </row>
    <row r="18" spans="2:23" x14ac:dyDescent="0.2">
      <c r="B18" s="32"/>
      <c r="C18" s="37" t="str">
        <f>CONCATENATE(Table162[[#Headers],[Housing]]," - Budget &amp; Tracking")</f>
        <v>Housing - Budget &amp; Tracking</v>
      </c>
      <c r="D18" s="38"/>
      <c r="E18" s="38"/>
      <c r="F18" s="39"/>
      <c r="G18" s="36"/>
      <c r="H18" s="43"/>
      <c r="I18" s="2"/>
      <c r="J18" s="31" t="s">
        <v>9</v>
      </c>
      <c r="K18" s="31" t="s">
        <v>0</v>
      </c>
      <c r="L18" s="31" t="s">
        <v>13</v>
      </c>
      <c r="M18" s="31" t="s">
        <v>10</v>
      </c>
      <c r="N18" s="31" t="s">
        <v>11</v>
      </c>
      <c r="O18" s="31" t="s">
        <v>16</v>
      </c>
      <c r="Q18" s="43"/>
      <c r="S18" s="27">
        <f t="shared" si="0"/>
        <v>41677</v>
      </c>
      <c r="T18" s="29">
        <f>SUMIFS(Table442071[Amount],Table442071[Date],S18,Table442071[Category],Table13665[[#Headers],[Income]])+SUMIFS(Table4470[Amount],Table4470[Date],S18,Table4470[Category],Table13665[[#Headers],[Income]])</f>
        <v>0</v>
      </c>
      <c r="U18" s="29">
        <f>SUMIFS(Table464[Amount],Table464[Date],S18,Table464[Category],"&lt;&gt;"&amp;Table13665[[#Headers],[Income]])+SUMIFS(Table4470[Amount],Table4470[Date],S18,Table4470[Category],"&lt;&gt;"&amp;Table13665[[#Headers],[Income]])</f>
        <v>0</v>
      </c>
      <c r="V18" s="29">
        <f t="shared" si="1"/>
        <v>1156.74</v>
      </c>
      <c r="W18" s="1">
        <f t="shared" si="2"/>
        <v>1156.7400000000005</v>
      </c>
    </row>
    <row r="19" spans="2:23" x14ac:dyDescent="0.2">
      <c r="B19" s="32"/>
      <c r="C19" s="31" t="s">
        <v>8</v>
      </c>
      <c r="D19" s="31" t="s">
        <v>1</v>
      </c>
      <c r="E19" s="31" t="s">
        <v>2</v>
      </c>
      <c r="F19" s="31" t="s">
        <v>14</v>
      </c>
      <c r="G19" s="36"/>
      <c r="H19" s="43"/>
      <c r="I19" s="2"/>
      <c r="M19" s="4"/>
      <c r="N19" s="2"/>
      <c r="Q19" s="43"/>
      <c r="S19" s="30">
        <f t="shared" si="0"/>
        <v>41678</v>
      </c>
      <c r="T19" s="28">
        <f>SUMIFS(Table442071[Amount],Table442071[Date],S19,Table442071[Category],Table13665[[#Headers],[Income]])+SUMIFS(Table4470[Amount],Table4470[Date],S19,Table4470[Category],Table13665[[#Headers],[Income]])</f>
        <v>0</v>
      </c>
      <c r="U19" s="28">
        <f>SUMIFS(Table464[Amount],Table464[Date],S19,Table464[Category],"&lt;&gt;"&amp;Table13665[[#Headers],[Income]])+SUMIFS(Table4470[Amount],Table4470[Date],S19,Table4470[Category],"&lt;&gt;"&amp;Table13665[[#Headers],[Income]])</f>
        <v>0</v>
      </c>
      <c r="V19" s="28">
        <f t="shared" si="1"/>
        <v>1156.74</v>
      </c>
      <c r="W19" s="1">
        <f t="shared" si="2"/>
        <v>1156.7400000000005</v>
      </c>
    </row>
    <row r="20" spans="2:23" x14ac:dyDescent="0.2">
      <c r="B20" s="32"/>
      <c r="D20" s="2"/>
      <c r="E20" s="2">
        <f>SUMIFS(Table464[Amount],Table464[Category],Table162[[#Headers],[Housing]],Table464[Sub-Category],Table162[[#This Row],[Housing]])+SUMIFS(Table4470[Amount],Table4470[Category],Table162[[#Headers],[Housing]],Table4470[Sub-Category],Table162[[#This Row],[Housing]])</f>
        <v>0</v>
      </c>
      <c r="F20" s="3">
        <f>Table162[[#This Row],[Budget]]-Table162[[#This Row],[Actual]]</f>
        <v>0</v>
      </c>
      <c r="G20" s="36"/>
      <c r="H20" s="43"/>
      <c r="I20" s="2"/>
      <c r="J20" s="11"/>
      <c r="K20" s="11"/>
      <c r="L20" s="11"/>
      <c r="M20" s="24"/>
      <c r="N20" s="12"/>
      <c r="O20" s="11"/>
      <c r="Q20" s="43"/>
      <c r="S20" s="27">
        <f t="shared" si="0"/>
        <v>41679</v>
      </c>
      <c r="T20" s="29">
        <f>SUMIFS(Table442071[Amount],Table442071[Date],S20,Table442071[Category],Table13665[[#Headers],[Income]])+SUMIFS(Table4470[Amount],Table4470[Date],S20,Table4470[Category],Table13665[[#Headers],[Income]])</f>
        <v>0</v>
      </c>
      <c r="U20" s="29">
        <f>SUMIFS(Table464[Amount],Table464[Date],S20,Table464[Category],"&lt;&gt;"&amp;Table13665[[#Headers],[Income]])+SUMIFS(Table4470[Amount],Table4470[Date],S20,Table4470[Category],"&lt;&gt;"&amp;Table13665[[#Headers],[Income]])</f>
        <v>0</v>
      </c>
      <c r="V20" s="29">
        <f t="shared" si="1"/>
        <v>1156.74</v>
      </c>
      <c r="W20" s="1">
        <f t="shared" si="2"/>
        <v>1156.7400000000005</v>
      </c>
    </row>
    <row r="21" spans="2:23" x14ac:dyDescent="0.2">
      <c r="B21" s="32"/>
      <c r="D21" s="2"/>
      <c r="E21" s="2">
        <f>SUMIFS(Table464[Amount],Table464[Category],Table162[[#Headers],[Housing]],Table464[Sub-Category],Table162[[#This Row],[Housing]])+SUMIFS(Table4470[Amount],Table4470[Category],Table162[[#Headers],[Housing]],Table4470[Sub-Category],Table162[[#This Row],[Housing]])</f>
        <v>0</v>
      </c>
      <c r="F21" s="3">
        <f>Table162[[#This Row],[Budget]]-Table162[[#This Row],[Actual]]</f>
        <v>0</v>
      </c>
      <c r="G21" s="36"/>
      <c r="H21" s="43"/>
      <c r="I21" s="2"/>
      <c r="J21" s="11"/>
      <c r="K21" s="11"/>
      <c r="L21" s="11"/>
      <c r="M21" s="24"/>
      <c r="N21" s="12"/>
      <c r="O21" s="11"/>
      <c r="Q21" s="43"/>
      <c r="S21" s="30">
        <f t="shared" si="0"/>
        <v>41680</v>
      </c>
      <c r="T21" s="28">
        <f>SUMIFS(Table442071[Amount],Table442071[Date],S21,Table442071[Category],Table13665[[#Headers],[Income]])+SUMIFS(Table4470[Amount],Table4470[Date],S21,Table4470[Category],Table13665[[#Headers],[Income]])</f>
        <v>0</v>
      </c>
      <c r="U21" s="28">
        <f>SUMIFS(Table464[Amount],Table464[Date],S21,Table464[Category],"&lt;&gt;"&amp;Table13665[[#Headers],[Income]])+SUMIFS(Table4470[Amount],Table4470[Date],S21,Table4470[Category],"&lt;&gt;"&amp;Table13665[[#Headers],[Income]])</f>
        <v>0</v>
      </c>
      <c r="V21" s="28">
        <f t="shared" si="1"/>
        <v>1156.74</v>
      </c>
      <c r="W21" s="1">
        <f t="shared" si="2"/>
        <v>1156.7400000000005</v>
      </c>
    </row>
    <row r="22" spans="2:23" x14ac:dyDescent="0.2">
      <c r="B22" s="32"/>
      <c r="D22" s="2"/>
      <c r="E22" s="2">
        <f>SUMIFS(Table464[Amount],Table464[Category],Table162[[#Headers],[Housing]],Table464[Sub-Category],Table162[[#This Row],[Housing]])+SUMIFS(Table4470[Amount],Table4470[Category],Table162[[#Headers],[Housing]],Table4470[Sub-Category],Table162[[#This Row],[Housing]])</f>
        <v>0</v>
      </c>
      <c r="F22" s="3">
        <f>Table162[[#This Row],[Budget]]-Table162[[#This Row],[Actual]]</f>
        <v>0</v>
      </c>
      <c r="G22" s="36"/>
      <c r="H22" s="43"/>
      <c r="I22" s="2"/>
      <c r="J22" s="11"/>
      <c r="K22" s="11"/>
      <c r="L22" s="11"/>
      <c r="M22" s="24"/>
      <c r="N22" s="12"/>
      <c r="O22" s="11"/>
      <c r="Q22" s="43"/>
      <c r="S22" s="27">
        <f t="shared" si="0"/>
        <v>41681</v>
      </c>
      <c r="T22" s="29">
        <f>SUMIFS(Table442071[Amount],Table442071[Date],S22,Table442071[Category],Table13665[[#Headers],[Income]])+SUMIFS(Table4470[Amount],Table4470[Date],S22,Table4470[Category],Table13665[[#Headers],[Income]])</f>
        <v>0</v>
      </c>
      <c r="U22" s="29">
        <f>SUMIFS(Table464[Amount],Table464[Date],S22,Table464[Category],"&lt;&gt;"&amp;Table13665[[#Headers],[Income]])+SUMIFS(Table4470[Amount],Table4470[Date],S22,Table4470[Category],"&lt;&gt;"&amp;Table13665[[#Headers],[Income]])</f>
        <v>0</v>
      </c>
      <c r="V22" s="29">
        <f t="shared" si="1"/>
        <v>1156.74</v>
      </c>
      <c r="W22" s="1">
        <f t="shared" si="2"/>
        <v>1156.7400000000005</v>
      </c>
    </row>
    <row r="23" spans="2:23" x14ac:dyDescent="0.2">
      <c r="B23" s="32"/>
      <c r="D23" s="2"/>
      <c r="E23" s="2">
        <f>SUMIFS(Table464[Amount],Table464[Category],Table162[[#Headers],[Housing]],Table464[Sub-Category],Table162[[#This Row],[Housing]])+SUMIFS(Table4470[Amount],Table4470[Category],Table162[[#Headers],[Housing]],Table4470[Sub-Category],Table162[[#This Row],[Housing]])</f>
        <v>0</v>
      </c>
      <c r="F23" s="3">
        <f>Table162[[#This Row],[Budget]]-Table162[[#This Row],[Actual]]</f>
        <v>0</v>
      </c>
      <c r="G23" s="36"/>
      <c r="H23" s="43"/>
      <c r="I23" s="2"/>
      <c r="J23" s="11"/>
      <c r="K23" s="11"/>
      <c r="L23" s="11"/>
      <c r="M23" s="24"/>
      <c r="N23" s="12"/>
      <c r="O23" s="11"/>
      <c r="Q23" s="43"/>
      <c r="S23" s="30">
        <f t="shared" si="0"/>
        <v>41682</v>
      </c>
      <c r="T23" s="28">
        <f>SUMIFS(Table442071[Amount],Table442071[Date],S23,Table442071[Category],Table13665[[#Headers],[Income]])+SUMIFS(Table4470[Amount],Table4470[Date],S23,Table4470[Category],Table13665[[#Headers],[Income]])</f>
        <v>0</v>
      </c>
      <c r="U23" s="28">
        <f>SUMIFS(Table464[Amount],Table464[Date],S23,Table464[Category],"&lt;&gt;"&amp;Table13665[[#Headers],[Income]])+SUMIFS(Table4470[Amount],Table4470[Date],S23,Table4470[Category],"&lt;&gt;"&amp;Table13665[[#Headers],[Income]])</f>
        <v>0</v>
      </c>
      <c r="V23" s="28">
        <f t="shared" si="1"/>
        <v>1156.74</v>
      </c>
      <c r="W23" s="1">
        <f t="shared" si="2"/>
        <v>1156.7400000000005</v>
      </c>
    </row>
    <row r="24" spans="2:23" x14ac:dyDescent="0.2">
      <c r="B24" s="32"/>
      <c r="D24" s="2"/>
      <c r="E24" s="2">
        <f>SUMIFS(Table464[Amount],Table464[Category],Table162[[#Headers],[Housing]],Table464[Sub-Category],Table162[[#This Row],[Housing]])+SUMIFS(Table4470[Amount],Table4470[Category],Table162[[#Headers],[Housing]],Table4470[Sub-Category],Table162[[#This Row],[Housing]])</f>
        <v>0</v>
      </c>
      <c r="F24" s="3">
        <f>Table162[[#This Row],[Budget]]-Table162[[#This Row],[Actual]]</f>
        <v>0</v>
      </c>
      <c r="G24" s="36"/>
      <c r="H24" s="43"/>
      <c r="I24" s="2"/>
      <c r="J24" s="11"/>
      <c r="K24" s="11"/>
      <c r="L24" s="11"/>
      <c r="M24" s="24"/>
      <c r="N24" s="12"/>
      <c r="O24" s="11"/>
      <c r="Q24" s="43"/>
      <c r="S24" s="27">
        <f t="shared" si="0"/>
        <v>41683</v>
      </c>
      <c r="T24" s="29">
        <f>SUMIFS(Table442071[Amount],Table442071[Date],S24,Table442071[Category],Table13665[[#Headers],[Income]])+SUMIFS(Table4470[Amount],Table4470[Date],S24,Table4470[Category],Table13665[[#Headers],[Income]])</f>
        <v>0</v>
      </c>
      <c r="U24" s="29">
        <f>SUMIFS(Table464[Amount],Table464[Date],S24,Table464[Category],"&lt;&gt;"&amp;Table13665[[#Headers],[Income]])+SUMIFS(Table4470[Amount],Table4470[Date],S24,Table4470[Category],"&lt;&gt;"&amp;Table13665[[#Headers],[Income]])</f>
        <v>0</v>
      </c>
      <c r="V24" s="29">
        <f t="shared" si="1"/>
        <v>1156.74</v>
      </c>
      <c r="W24" s="1">
        <f t="shared" si="2"/>
        <v>1156.7400000000005</v>
      </c>
    </row>
    <row r="25" spans="2:23" x14ac:dyDescent="0.2">
      <c r="B25" s="32"/>
      <c r="D25" s="2"/>
      <c r="E25" s="2">
        <f>SUMIFS(Table464[Amount],Table464[Category],Table162[[#Headers],[Housing]],Table464[Sub-Category],Table162[[#This Row],[Housing]])+SUMIFS(Table4470[Amount],Table4470[Category],Table162[[#Headers],[Housing]],Table4470[Sub-Category],Table162[[#This Row],[Housing]])</f>
        <v>0</v>
      </c>
      <c r="F25" s="3">
        <f>Table162[[#This Row],[Budget]]-Table162[[#This Row],[Actual]]</f>
        <v>0</v>
      </c>
      <c r="G25" s="32"/>
      <c r="H25" s="42"/>
      <c r="J25" s="11"/>
      <c r="K25" s="11"/>
      <c r="L25" s="11"/>
      <c r="M25" s="24"/>
      <c r="N25" s="12"/>
      <c r="O25" s="11"/>
      <c r="Q25" s="42"/>
      <c r="S25" s="30">
        <f t="shared" si="0"/>
        <v>41684</v>
      </c>
      <c r="T25" s="28">
        <f>SUMIFS(Table442071[Amount],Table442071[Date],S25,Table442071[Category],Table13665[[#Headers],[Income]])+SUMIFS(Table4470[Amount],Table4470[Date],S25,Table4470[Category],Table13665[[#Headers],[Income]])</f>
        <v>0</v>
      </c>
      <c r="U25" s="28">
        <f>SUMIFS(Table464[Amount],Table464[Date],S25,Table464[Category],"&lt;&gt;"&amp;Table13665[[#Headers],[Income]])+SUMIFS(Table4470[Amount],Table4470[Date],S25,Table4470[Category],"&lt;&gt;"&amp;Table13665[[#Headers],[Income]])</f>
        <v>0</v>
      </c>
      <c r="V25" s="28">
        <f t="shared" si="1"/>
        <v>1156.74</v>
      </c>
      <c r="W25" s="1">
        <f t="shared" si="2"/>
        <v>1156.7400000000005</v>
      </c>
    </row>
    <row r="26" spans="2:23" x14ac:dyDescent="0.2">
      <c r="B26" s="32"/>
      <c r="D26" s="2"/>
      <c r="E26" s="2">
        <f>SUMIFS(Table464[Amount],Table464[Category],Table162[[#Headers],[Housing]],Table464[Sub-Category],Table162[[#This Row],[Housing]])+SUMIFS(Table4470[Amount],Table4470[Category],Table162[[#Headers],[Housing]],Table4470[Sub-Category],Table162[[#This Row],[Housing]])</f>
        <v>0</v>
      </c>
      <c r="F26" s="3">
        <f>Table162[[#This Row],[Budget]]-Table162[[#This Row],[Actual]]</f>
        <v>0</v>
      </c>
      <c r="G26" s="32"/>
      <c r="H26" s="42"/>
      <c r="J26" s="11"/>
      <c r="K26" s="11"/>
      <c r="L26" s="11"/>
      <c r="M26" s="24"/>
      <c r="N26" s="12"/>
      <c r="O26" s="11"/>
      <c r="Q26" s="42"/>
      <c r="S26" s="27">
        <f t="shared" si="0"/>
        <v>41685</v>
      </c>
      <c r="T26" s="29">
        <f>SUMIFS(Table442071[Amount],Table442071[Date],S26,Table442071[Category],Table13665[[#Headers],[Income]])+SUMIFS(Table4470[Amount],Table4470[Date],S26,Table4470[Category],Table13665[[#Headers],[Income]])</f>
        <v>0</v>
      </c>
      <c r="U26" s="29">
        <f>SUMIFS(Table464[Amount],Table464[Date],S26,Table464[Category],"&lt;&gt;"&amp;Table13665[[#Headers],[Income]])+SUMIFS(Table4470[Amount],Table4470[Date],S26,Table4470[Category],"&lt;&gt;"&amp;Table13665[[#Headers],[Income]])</f>
        <v>0</v>
      </c>
      <c r="V26" s="29">
        <f t="shared" si="1"/>
        <v>1156.74</v>
      </c>
      <c r="W26" s="1">
        <f t="shared" si="2"/>
        <v>1156.7400000000005</v>
      </c>
    </row>
    <row r="27" spans="2:23" x14ac:dyDescent="0.2">
      <c r="B27" s="32"/>
      <c r="D27" s="2"/>
      <c r="E27" s="2">
        <f>SUMIFS(Table464[Amount],Table464[Category],Table162[[#Headers],[Housing]],Table464[Sub-Category],Table162[[#This Row],[Housing]])+SUMIFS(Table4470[Amount],Table4470[Category],Table162[[#Headers],[Housing]],Table4470[Sub-Category],Table162[[#This Row],[Housing]])</f>
        <v>0</v>
      </c>
      <c r="F27" s="3">
        <f>Table162[[#This Row],[Budget]]-Table162[[#This Row],[Actual]]</f>
        <v>0</v>
      </c>
      <c r="G27" s="36"/>
      <c r="H27" s="43"/>
      <c r="I27" s="2"/>
      <c r="J27" s="11"/>
      <c r="K27" s="11"/>
      <c r="L27" s="11"/>
      <c r="M27" s="24"/>
      <c r="N27" s="12"/>
      <c r="O27" s="11"/>
      <c r="Q27" s="43"/>
      <c r="S27" s="30">
        <f t="shared" si="0"/>
        <v>41686</v>
      </c>
      <c r="T27" s="28">
        <f>SUMIFS(Table442071[Amount],Table442071[Date],S27,Table442071[Category],Table13665[[#Headers],[Income]])+SUMIFS(Table4470[Amount],Table4470[Date],S27,Table4470[Category],Table13665[[#Headers],[Income]])</f>
        <v>0</v>
      </c>
      <c r="U27" s="28">
        <f>SUMIFS(Table464[Amount],Table464[Date],S27,Table464[Category],"&lt;&gt;"&amp;Table13665[[#Headers],[Income]])+SUMIFS(Table4470[Amount],Table4470[Date],S27,Table4470[Category],"&lt;&gt;"&amp;Table13665[[#Headers],[Income]])</f>
        <v>0</v>
      </c>
      <c r="V27" s="28">
        <f t="shared" si="1"/>
        <v>1156.74</v>
      </c>
      <c r="W27" s="1">
        <f t="shared" si="2"/>
        <v>1156.7400000000005</v>
      </c>
    </row>
    <row r="28" spans="2:23" x14ac:dyDescent="0.2">
      <c r="B28" s="32"/>
      <c r="C28" s="11"/>
      <c r="D28" s="12"/>
      <c r="E28" s="13">
        <f>SUMIFS(Table464[Amount],Table464[Category],Table162[[#Headers],[Housing]],Table464[Sub-Category],Table162[[#This Row],[Housing]])+SUMIFS(Table4470[Amount],Table4470[Category],Table162[[#Headers],[Housing]],Table4470[Sub-Category],Table162[[#This Row],[Housing]])</f>
        <v>0</v>
      </c>
      <c r="F28" s="13">
        <f>Table162[[#This Row],[Budget]]-Table162[[#This Row],[Actual]]</f>
        <v>0</v>
      </c>
      <c r="G28" s="36"/>
      <c r="H28" s="43"/>
      <c r="I28" s="2"/>
      <c r="J28" s="11"/>
      <c r="K28" s="11"/>
      <c r="L28" s="11"/>
      <c r="M28" s="24"/>
      <c r="N28" s="12"/>
      <c r="O28" s="11"/>
      <c r="Q28" s="43"/>
      <c r="S28" s="27">
        <f t="shared" si="0"/>
        <v>41687</v>
      </c>
      <c r="T28" s="29">
        <f>SUMIFS(Table442071[Amount],Table442071[Date],S28,Table442071[Category],Table13665[[#Headers],[Income]])+SUMIFS(Table4470[Amount],Table4470[Date],S28,Table4470[Category],Table13665[[#Headers],[Income]])</f>
        <v>0</v>
      </c>
      <c r="U28" s="29">
        <f>SUMIFS(Table464[Amount],Table464[Date],S28,Table464[Category],"&lt;&gt;"&amp;Table13665[[#Headers],[Income]])+SUMIFS(Table4470[Amount],Table4470[Date],S28,Table4470[Category],"&lt;&gt;"&amp;Table13665[[#Headers],[Income]])</f>
        <v>0</v>
      </c>
      <c r="V28" s="29">
        <f t="shared" si="1"/>
        <v>1156.74</v>
      </c>
      <c r="W28" s="1">
        <f t="shared" si="2"/>
        <v>1156.7400000000005</v>
      </c>
    </row>
    <row r="29" spans="2:23" x14ac:dyDescent="0.2">
      <c r="B29" s="32"/>
      <c r="C29" s="9" t="s">
        <v>20</v>
      </c>
      <c r="D29" s="10">
        <f>SUBTOTAL(109,Table162[Budget])</f>
        <v>0</v>
      </c>
      <c r="E29" s="10">
        <f>SUBTOTAL(109,Table162[Actual])</f>
        <v>0</v>
      </c>
      <c r="F29" s="10">
        <f>SUBTOTAL(109,Table162[Variance])</f>
        <v>0</v>
      </c>
      <c r="G29" s="32"/>
      <c r="H29" s="42"/>
      <c r="J29" s="11"/>
      <c r="K29" s="11"/>
      <c r="L29" s="11"/>
      <c r="M29" s="24"/>
      <c r="N29" s="12"/>
      <c r="O29" s="11"/>
      <c r="Q29" s="42"/>
      <c r="S29" s="30">
        <f t="shared" si="0"/>
        <v>41688</v>
      </c>
      <c r="T29" s="28">
        <f>SUMIFS(Table442071[Amount],Table442071[Date],S29,Table442071[Category],Table13665[[#Headers],[Income]])+SUMIFS(Table4470[Amount],Table4470[Date],S29,Table4470[Category],Table13665[[#Headers],[Income]])</f>
        <v>0</v>
      </c>
      <c r="U29" s="28">
        <f>SUMIFS(Table464[Amount],Table464[Date],S29,Table464[Category],"&lt;&gt;"&amp;Table13665[[#Headers],[Income]])+SUMIFS(Table4470[Amount],Table4470[Date],S29,Table4470[Category],"&lt;&gt;"&amp;Table13665[[#Headers],[Income]])</f>
        <v>0</v>
      </c>
      <c r="V29" s="28">
        <f t="shared" si="1"/>
        <v>1156.74</v>
      </c>
      <c r="W29" s="1">
        <f t="shared" si="2"/>
        <v>1156.7400000000005</v>
      </c>
    </row>
    <row r="30" spans="2:23" x14ac:dyDescent="0.2">
      <c r="B30" s="32"/>
      <c r="C30" s="26"/>
      <c r="D30" s="23"/>
      <c r="E30" s="23"/>
      <c r="F30" s="23"/>
      <c r="G30" s="32"/>
      <c r="H30" s="42"/>
      <c r="J30" s="11"/>
      <c r="K30" s="11"/>
      <c r="L30" s="11"/>
      <c r="M30" s="24"/>
      <c r="N30" s="12"/>
      <c r="O30" s="11"/>
      <c r="Q30" s="42"/>
      <c r="S30" s="27">
        <f t="shared" si="0"/>
        <v>41689</v>
      </c>
      <c r="T30" s="29">
        <f>SUMIFS(Table442071[Amount],Table442071[Date],S30,Table442071[Category],Table13665[[#Headers],[Income]])+SUMIFS(Table4470[Amount],Table4470[Date],S30,Table4470[Category],Table13665[[#Headers],[Income]])</f>
        <v>0</v>
      </c>
      <c r="U30" s="29">
        <f>SUMIFS(Table464[Amount],Table464[Date],S30,Table464[Category],"&lt;&gt;"&amp;Table13665[[#Headers],[Income]])+SUMIFS(Table4470[Amount],Table4470[Date],S30,Table4470[Category],"&lt;&gt;"&amp;Table13665[[#Headers],[Income]])</f>
        <v>0</v>
      </c>
      <c r="V30" s="29">
        <f t="shared" si="1"/>
        <v>1156.74</v>
      </c>
      <c r="W30" s="1">
        <f t="shared" si="2"/>
        <v>1156.7400000000005</v>
      </c>
    </row>
    <row r="31" spans="2:23" x14ac:dyDescent="0.2">
      <c r="B31" s="32"/>
      <c r="C31" s="37" t="str">
        <f>CONCATENATE(Table1363[[#Headers],[Transportation]]," - Budget &amp; Tracking")</f>
        <v>Transportation - Budget &amp; Tracking</v>
      </c>
      <c r="D31" s="38"/>
      <c r="E31" s="38"/>
      <c r="F31" s="39"/>
      <c r="G31" s="32"/>
      <c r="H31" s="42"/>
      <c r="J31" s="11"/>
      <c r="K31" s="11"/>
      <c r="L31" s="11"/>
      <c r="M31" s="24"/>
      <c r="N31" s="12"/>
      <c r="O31" s="11"/>
      <c r="Q31" s="42"/>
      <c r="S31" s="30">
        <f t="shared" si="0"/>
        <v>41690</v>
      </c>
      <c r="T31" s="28">
        <f>SUMIFS(Table442071[Amount],Table442071[Date],S31,Table442071[Category],Table13665[[#Headers],[Income]])+SUMIFS(Table4470[Amount],Table4470[Date],S31,Table4470[Category],Table13665[[#Headers],[Income]])</f>
        <v>0</v>
      </c>
      <c r="U31" s="28">
        <f>SUMIFS(Table464[Amount],Table464[Date],S31,Table464[Category],"&lt;&gt;"&amp;Table13665[[#Headers],[Income]])+SUMIFS(Table4470[Amount],Table4470[Date],S31,Table4470[Category],"&lt;&gt;"&amp;Table13665[[#Headers],[Income]])</f>
        <v>0</v>
      </c>
      <c r="V31" s="28">
        <f t="shared" si="1"/>
        <v>1156.74</v>
      </c>
      <c r="W31" s="1">
        <f t="shared" si="2"/>
        <v>1156.7400000000005</v>
      </c>
    </row>
    <row r="32" spans="2:23" x14ac:dyDescent="0.2">
      <c r="B32" s="32"/>
      <c r="C32" s="31" t="s">
        <v>12</v>
      </c>
      <c r="D32" s="31" t="s">
        <v>1</v>
      </c>
      <c r="E32" s="31" t="s">
        <v>2</v>
      </c>
      <c r="F32" s="31" t="s">
        <v>14</v>
      </c>
      <c r="G32" s="32"/>
      <c r="H32" s="42"/>
      <c r="J32" s="11"/>
      <c r="K32" s="11"/>
      <c r="L32" s="11"/>
      <c r="M32" s="24"/>
      <c r="N32" s="12"/>
      <c r="O32" s="11"/>
      <c r="Q32" s="42"/>
      <c r="S32" s="27">
        <f t="shared" si="0"/>
        <v>41691</v>
      </c>
      <c r="T32" s="29">
        <f>SUMIFS(Table442071[Amount],Table442071[Date],S32,Table442071[Category],Table13665[[#Headers],[Income]])+SUMIFS(Table4470[Amount],Table4470[Date],S32,Table4470[Category],Table13665[[#Headers],[Income]])</f>
        <v>0</v>
      </c>
      <c r="U32" s="29">
        <f>SUMIFS(Table464[Amount],Table464[Date],S32,Table464[Category],"&lt;&gt;"&amp;Table13665[[#Headers],[Income]])+SUMIFS(Table4470[Amount],Table4470[Date],S32,Table4470[Category],"&lt;&gt;"&amp;Table13665[[#Headers],[Income]])</f>
        <v>0</v>
      </c>
      <c r="V32" s="29">
        <f t="shared" si="1"/>
        <v>1156.74</v>
      </c>
      <c r="W32" s="1">
        <f t="shared" si="2"/>
        <v>1156.7400000000005</v>
      </c>
    </row>
    <row r="33" spans="2:23" x14ac:dyDescent="0.2">
      <c r="B33" s="32"/>
      <c r="D33" s="2"/>
      <c r="E33" s="2">
        <f>SUMIFS(Table464[Amount],Table464[Category],Table1363[[#Headers],[Transportation]],Table464[Sub-Category],Table1363[[#This Row],[Transportation]])+SUMIFS(Table4470[Amount],Table4470[Category],Table1363[[#Headers],[Transportation]],Table4470[Sub-Category],Table1363[[#This Row],[Transportation]])</f>
        <v>0</v>
      </c>
      <c r="F33" s="3">
        <f>Table1363[[#This Row],[Budget]]-Table1363[[#This Row],[Actual]]</f>
        <v>0</v>
      </c>
      <c r="G33" s="32"/>
      <c r="H33" s="42"/>
      <c r="J33" s="37" t="s">
        <v>44</v>
      </c>
      <c r="K33" s="38"/>
      <c r="L33" s="38"/>
      <c r="M33" s="38"/>
      <c r="N33" s="38"/>
      <c r="O33" s="39"/>
      <c r="Q33" s="42"/>
      <c r="S33" s="30">
        <f t="shared" si="0"/>
        <v>41692</v>
      </c>
      <c r="T33" s="28">
        <f>SUMIFS(Table442071[Amount],Table442071[Date],S33,Table442071[Category],Table13665[[#Headers],[Income]])+SUMIFS(Table4470[Amount],Table4470[Date],S33,Table4470[Category],Table13665[[#Headers],[Income]])</f>
        <v>0</v>
      </c>
      <c r="U33" s="28">
        <f>SUMIFS(Table464[Amount],Table464[Date],S33,Table464[Category],"&lt;&gt;"&amp;Table13665[[#Headers],[Income]])+SUMIFS(Table4470[Amount],Table4470[Date],S33,Table4470[Category],"&lt;&gt;"&amp;Table13665[[#Headers],[Income]])</f>
        <v>0</v>
      </c>
      <c r="V33" s="28">
        <f t="shared" si="1"/>
        <v>1156.74</v>
      </c>
      <c r="W33" s="1">
        <f t="shared" si="2"/>
        <v>1156.7400000000005</v>
      </c>
    </row>
    <row r="34" spans="2:23" x14ac:dyDescent="0.2">
      <c r="B34" s="32"/>
      <c r="D34" s="2"/>
      <c r="E34" s="2">
        <f>SUMIFS(Table464[Amount],Table464[Category],Table1363[[#Headers],[Transportation]],Table464[Sub-Category],Table1363[[#This Row],[Transportation]])+SUMIFS(Table4470[Amount],Table4470[Category],Table1363[[#Headers],[Transportation]],Table4470[Sub-Category],Table1363[[#This Row],[Transportation]])</f>
        <v>0</v>
      </c>
      <c r="F34" s="3">
        <f>Table1363[[#This Row],[Budget]]-Table1363[[#This Row],[Actual]]</f>
        <v>0</v>
      </c>
      <c r="G34" s="32"/>
      <c r="H34" s="42"/>
      <c r="J34" s="31" t="s">
        <v>9</v>
      </c>
      <c r="K34" s="31" t="s">
        <v>0</v>
      </c>
      <c r="L34" s="31" t="s">
        <v>13</v>
      </c>
      <c r="M34" s="31" t="s">
        <v>10</v>
      </c>
      <c r="N34" s="31" t="s">
        <v>11</v>
      </c>
      <c r="O34" s="31" t="s">
        <v>16</v>
      </c>
      <c r="Q34" s="42"/>
      <c r="S34" s="27">
        <f t="shared" si="0"/>
        <v>41693</v>
      </c>
      <c r="T34" s="29">
        <f>SUMIFS(Table442071[Amount],Table442071[Date],S34,Table442071[Category],Table13665[[#Headers],[Income]])+SUMIFS(Table4470[Amount],Table4470[Date],S34,Table4470[Category],Table13665[[#Headers],[Income]])</f>
        <v>0</v>
      </c>
      <c r="U34" s="29">
        <f>SUMIFS(Table464[Amount],Table464[Date],S34,Table464[Category],"&lt;&gt;"&amp;Table13665[[#Headers],[Income]])+SUMIFS(Table4470[Amount],Table4470[Date],S34,Table4470[Category],"&lt;&gt;"&amp;Table13665[[#Headers],[Income]])</f>
        <v>0</v>
      </c>
      <c r="V34" s="29">
        <f t="shared" si="1"/>
        <v>1156.74</v>
      </c>
      <c r="W34" s="1">
        <f t="shared" si="2"/>
        <v>1156.7400000000005</v>
      </c>
    </row>
    <row r="35" spans="2:23" x14ac:dyDescent="0.2">
      <c r="B35" s="32"/>
      <c r="C35" s="11"/>
      <c r="D35" s="12"/>
      <c r="E35" s="13">
        <f>SUMIFS(Table464[Amount],Table464[Category],Table1363[[#Headers],[Transportation]],Table464[Sub-Category],Table1363[[#This Row],[Transportation]])+SUMIFS(Table4470[Amount],Table4470[Category],Table1363[[#Headers],[Transportation]],Table4470[Sub-Category],Table1363[[#This Row],[Transportation]])</f>
        <v>0</v>
      </c>
      <c r="F35" s="13">
        <f>Table1363[[#This Row],[Budget]]-Table1363[[#This Row],[Actual]]</f>
        <v>0</v>
      </c>
      <c r="G35" s="32"/>
      <c r="H35" s="42"/>
      <c r="M35" s="4"/>
      <c r="N35" s="2"/>
      <c r="Q35" s="42"/>
      <c r="S35" s="30">
        <f t="shared" si="0"/>
        <v>41694</v>
      </c>
      <c r="T35" s="28">
        <f>SUMIFS(Table442071[Amount],Table442071[Date],S35,Table442071[Category],Table13665[[#Headers],[Income]])+SUMIFS(Table4470[Amount],Table4470[Date],S35,Table4470[Category],Table13665[[#Headers],[Income]])</f>
        <v>0</v>
      </c>
      <c r="U35" s="28">
        <f>SUMIFS(Table464[Amount],Table464[Date],S35,Table464[Category],"&lt;&gt;"&amp;Table13665[[#Headers],[Income]])+SUMIFS(Table4470[Amount],Table4470[Date],S35,Table4470[Category],"&lt;&gt;"&amp;Table13665[[#Headers],[Income]])</f>
        <v>0</v>
      </c>
      <c r="V35" s="28">
        <f t="shared" si="1"/>
        <v>1156.74</v>
      </c>
      <c r="W35" s="1">
        <f t="shared" si="2"/>
        <v>1156.7400000000005</v>
      </c>
    </row>
    <row r="36" spans="2:23" x14ac:dyDescent="0.2">
      <c r="B36" s="32"/>
      <c r="C36" s="11"/>
      <c r="D36" s="12"/>
      <c r="E36" s="13">
        <f>SUMIFS(Table464[Amount],Table464[Category],Table1363[[#Headers],[Transportation]],Table464[Sub-Category],Table1363[[#This Row],[Transportation]])+SUMIFS(Table4470[Amount],Table4470[Category],Table1363[[#Headers],[Transportation]],Table4470[Sub-Category],Table1363[[#This Row],[Transportation]])</f>
        <v>0</v>
      </c>
      <c r="F36" s="13">
        <f>Table1363[[#This Row],[Budget]]-Table1363[[#This Row],[Actual]]</f>
        <v>0</v>
      </c>
      <c r="G36" s="32"/>
      <c r="H36" s="42"/>
      <c r="M36" s="4"/>
      <c r="N36" s="2"/>
      <c r="Q36" s="42"/>
      <c r="S36" s="27">
        <f t="shared" si="0"/>
        <v>41695</v>
      </c>
      <c r="T36" s="29">
        <f>SUMIFS(Table442071[Amount],Table442071[Date],S36,Table442071[Category],Table13665[[#Headers],[Income]])+SUMIFS(Table4470[Amount],Table4470[Date],S36,Table4470[Category],Table13665[[#Headers],[Income]])</f>
        <v>0</v>
      </c>
      <c r="U36" s="29">
        <f>SUMIFS(Table464[Amount],Table464[Date],S36,Table464[Category],"&lt;&gt;"&amp;Table13665[[#Headers],[Income]])+SUMIFS(Table4470[Amount],Table4470[Date],S36,Table4470[Category],"&lt;&gt;"&amp;Table13665[[#Headers],[Income]])</f>
        <v>0</v>
      </c>
      <c r="V36" s="29">
        <f t="shared" si="1"/>
        <v>1156.74</v>
      </c>
      <c r="W36" s="1">
        <f t="shared" si="2"/>
        <v>1156.7400000000005</v>
      </c>
    </row>
    <row r="37" spans="2:23" x14ac:dyDescent="0.2">
      <c r="B37" s="32"/>
      <c r="C37" s="9" t="s">
        <v>20</v>
      </c>
      <c r="D37" s="10">
        <f>SUBTOTAL(109,Table1363[Budget])</f>
        <v>0</v>
      </c>
      <c r="E37" s="10">
        <f>SUBTOTAL(109,Table1363[Actual])</f>
        <v>0</v>
      </c>
      <c r="F37" s="10">
        <f>SUBTOTAL(109,Table1363[Variance])</f>
        <v>0</v>
      </c>
      <c r="G37" s="32"/>
      <c r="H37" s="42"/>
      <c r="M37" s="4"/>
      <c r="N37" s="2"/>
      <c r="Q37" s="42"/>
      <c r="S37" s="30">
        <f t="shared" si="0"/>
        <v>41696</v>
      </c>
      <c r="T37" s="28">
        <f>SUMIFS(Table442071[Amount],Table442071[Date],S37,Table442071[Category],Table13665[[#Headers],[Income]])+SUMIFS(Table4470[Amount],Table4470[Date],S37,Table4470[Category],Table13665[[#Headers],[Income]])</f>
        <v>0</v>
      </c>
      <c r="U37" s="28">
        <f>SUMIFS(Table464[Amount],Table464[Date],S37,Table464[Category],"&lt;&gt;"&amp;Table13665[[#Headers],[Income]])+SUMIFS(Table4470[Amount],Table4470[Date],S37,Table4470[Category],"&lt;&gt;"&amp;Table13665[[#Headers],[Income]])</f>
        <v>0</v>
      </c>
      <c r="V37" s="28">
        <f t="shared" si="1"/>
        <v>1156.74</v>
      </c>
      <c r="W37" s="1">
        <f t="shared" si="2"/>
        <v>1156.7400000000005</v>
      </c>
    </row>
    <row r="38" spans="2:23" x14ac:dyDescent="0.2">
      <c r="B38" s="32"/>
      <c r="C38" s="26"/>
      <c r="D38" s="23"/>
      <c r="E38" s="23"/>
      <c r="F38" s="23"/>
      <c r="G38" s="32"/>
      <c r="H38" s="42"/>
      <c r="J38" s="11"/>
      <c r="K38" s="11"/>
      <c r="L38" s="11"/>
      <c r="M38" s="24"/>
      <c r="N38" s="12"/>
      <c r="O38" s="11"/>
      <c r="Q38" s="42"/>
      <c r="S38" s="27">
        <f t="shared" si="0"/>
        <v>41697</v>
      </c>
      <c r="T38" s="29">
        <f>SUMIFS(Table442071[Amount],Table442071[Date],S38,Table442071[Category],Table13665[[#Headers],[Income]])+SUMIFS(Table4470[Amount],Table4470[Date],S38,Table4470[Category],Table13665[[#Headers],[Income]])</f>
        <v>0</v>
      </c>
      <c r="U38" s="29">
        <f>SUMIFS(Table464[Amount],Table464[Date],S38,Table464[Category],"&lt;&gt;"&amp;Table13665[[#Headers],[Income]])+SUMIFS(Table4470[Amount],Table4470[Date],S38,Table4470[Category],"&lt;&gt;"&amp;Table13665[[#Headers],[Income]])</f>
        <v>0</v>
      </c>
      <c r="V38" s="29">
        <f t="shared" si="1"/>
        <v>1156.74</v>
      </c>
      <c r="W38" s="1">
        <f t="shared" si="2"/>
        <v>1156.7400000000005</v>
      </c>
    </row>
    <row r="39" spans="2:23" x14ac:dyDescent="0.2">
      <c r="B39" s="32"/>
      <c r="C39" s="37" t="str">
        <f>CONCATENATE(Table1391069[[#Headers],[Bills]]," - Budget &amp; Tracking")</f>
        <v>Bills - Budget &amp; Tracking</v>
      </c>
      <c r="D39" s="38"/>
      <c r="E39" s="38"/>
      <c r="F39" s="39"/>
      <c r="G39" s="32"/>
      <c r="H39" s="42"/>
      <c r="J39" s="11"/>
      <c r="K39" s="11"/>
      <c r="L39" s="11"/>
      <c r="M39" s="24"/>
      <c r="N39" s="12"/>
      <c r="O39" s="11"/>
      <c r="Q39" s="42"/>
      <c r="S39" s="30">
        <f t="shared" si="0"/>
        <v>41698</v>
      </c>
      <c r="T39" s="28">
        <f>SUMIFS(Table442071[Amount],Table442071[Date],S39,Table442071[Category],Table13665[[#Headers],[Income]])+SUMIFS(Table4470[Amount],Table4470[Date],S39,Table4470[Category],Table13665[[#Headers],[Income]])</f>
        <v>0</v>
      </c>
      <c r="U39" s="28">
        <f>SUMIFS(Table464[Amount],Table464[Date],S39,Table464[Category],"&lt;&gt;"&amp;Table13665[[#Headers],[Income]])+SUMIFS(Table4470[Amount],Table4470[Date],S39,Table4470[Category],"&lt;&gt;"&amp;Table13665[[#Headers],[Income]])</f>
        <v>0</v>
      </c>
      <c r="V39" s="28">
        <f t="shared" si="1"/>
        <v>1156.74</v>
      </c>
      <c r="W39" s="1">
        <f t="shared" si="2"/>
        <v>1156.7400000000005</v>
      </c>
    </row>
    <row r="40" spans="2:23" x14ac:dyDescent="0.2">
      <c r="B40" s="32"/>
      <c r="C40" s="31" t="s">
        <v>30</v>
      </c>
      <c r="D40" s="31" t="s">
        <v>1</v>
      </c>
      <c r="E40" s="31" t="s">
        <v>2</v>
      </c>
      <c r="F40" s="31" t="s">
        <v>14</v>
      </c>
      <c r="G40" s="32"/>
      <c r="H40" s="42"/>
      <c r="J40" s="11"/>
      <c r="K40" s="11"/>
      <c r="L40" s="11"/>
      <c r="M40" s="24"/>
      <c r="N40" s="12"/>
      <c r="O40" s="11"/>
      <c r="Q40" s="42"/>
      <c r="S40" s="27">
        <f t="shared" si="0"/>
        <v>41699</v>
      </c>
      <c r="T40" s="29">
        <f>SUMIFS(Table442071[Amount],Table442071[Date],S40,Table442071[Category],Table13665[[#Headers],[Income]])+SUMIFS(Table4470[Amount],Table4470[Date],S40,Table4470[Category],Table13665[[#Headers],[Income]])</f>
        <v>0</v>
      </c>
      <c r="U40" s="29">
        <f>SUMIFS(Table464[Amount],Table464[Date],S40,Table464[Category],"&lt;&gt;"&amp;Table13665[[#Headers],[Income]])+SUMIFS(Table4470[Amount],Table4470[Date],S40,Table4470[Category],"&lt;&gt;"&amp;Table13665[[#Headers],[Income]])</f>
        <v>0</v>
      </c>
      <c r="V40" s="29">
        <f t="shared" si="1"/>
        <v>1156.74</v>
      </c>
      <c r="W40" s="1">
        <f t="shared" si="2"/>
        <v>1156.7400000000005</v>
      </c>
    </row>
    <row r="41" spans="2:23" x14ac:dyDescent="0.2">
      <c r="B41" s="32"/>
      <c r="D41" s="2"/>
      <c r="E41" s="2">
        <f>SUMIFS(Table464[Amount],Table464[Category],Table1391069[[#Headers],[Bills]],Table464[Sub-Category],Table1391069[[#This Row],[Bills]])+SUMIFS(Table4470[Amount],Table4470[Category],Table1391069[[#Headers],[Bills]],Table4470[Sub-Category],Table1391069[[#This Row],[Bills]])</f>
        <v>0</v>
      </c>
      <c r="F41" s="3">
        <f>Table1391069[[#This Row],[Budget]]-Table1391069[[#This Row],[Actual]]</f>
        <v>0</v>
      </c>
      <c r="G41" s="32"/>
      <c r="H41" s="42"/>
      <c r="Q41" s="42"/>
      <c r="S41" s="30">
        <f t="shared" si="0"/>
        <v>41700</v>
      </c>
      <c r="T41" s="28">
        <f>SUMIFS(Table442071[Amount],Table442071[Date],S41,Table442071[Category],Table13665[[#Headers],[Income]])+SUMIFS(Table4470[Amount],Table4470[Date],S41,Table4470[Category],Table13665[[#Headers],[Income]])</f>
        <v>0</v>
      </c>
      <c r="U41" s="28">
        <f>SUMIFS(Table464[Amount],Table464[Date],S41,Table464[Category],"&lt;&gt;"&amp;Table13665[[#Headers],[Income]])+SUMIFS(Table4470[Amount],Table4470[Date],S41,Table4470[Category],"&lt;&gt;"&amp;Table13665[[#Headers],[Income]])</f>
        <v>0</v>
      </c>
      <c r="V41" s="28">
        <f t="shared" si="1"/>
        <v>1156.74</v>
      </c>
      <c r="W41" s="1">
        <f t="shared" si="2"/>
        <v>1156.7400000000005</v>
      </c>
    </row>
    <row r="42" spans="2:23" x14ac:dyDescent="0.2">
      <c r="B42" s="32"/>
      <c r="D42" s="2"/>
      <c r="E42" s="2">
        <f>SUMIFS(Table464[Amount],Table464[Category],Table1391069[[#Headers],[Bills]],Table464[Sub-Category],Table1391069[[#This Row],[Bills]])+SUMIFS(Table4470[Amount],Table4470[Category],Table1391069[[#Headers],[Bills]],Table4470[Sub-Category],Table1391069[[#This Row],[Bills]])</f>
        <v>0</v>
      </c>
      <c r="F42" s="3">
        <f>Table1391069[[#This Row],[Budget]]-Table1391069[[#This Row],[Actual]]</f>
        <v>0</v>
      </c>
      <c r="G42" s="32"/>
      <c r="H42" s="42"/>
      <c r="Q42" s="42"/>
      <c r="S42" s="27">
        <f t="shared" si="0"/>
        <v>41701</v>
      </c>
      <c r="T42" s="29">
        <f>SUMIFS(Table442071[Amount],Table442071[Date],S42,Table442071[Category],Table13665[[#Headers],[Income]])+SUMIFS(Table4470[Amount],Table4470[Date],S42,Table4470[Category],Table13665[[#Headers],[Income]])</f>
        <v>0</v>
      </c>
      <c r="U42" s="29">
        <f>SUMIFS(Table464[Amount],Table464[Date],S42,Table464[Category],"&lt;&gt;"&amp;Table13665[[#Headers],[Income]])+SUMIFS(Table4470[Amount],Table4470[Date],S42,Table4470[Category],"&lt;&gt;"&amp;Table13665[[#Headers],[Income]])</f>
        <v>0</v>
      </c>
      <c r="V42" s="29">
        <f t="shared" si="1"/>
        <v>1156.74</v>
      </c>
      <c r="W42" s="1">
        <f t="shared" si="2"/>
        <v>1156.7400000000005</v>
      </c>
    </row>
    <row r="43" spans="2:23" x14ac:dyDescent="0.2">
      <c r="B43" s="32"/>
      <c r="C43" s="11"/>
      <c r="D43" s="12"/>
      <c r="E43" s="13">
        <f>SUMIFS(Table464[Amount],Table464[Category],Table1391069[[#Headers],[Bills]],Table464[Sub-Category],Table1391069[[#This Row],[Bills]])+SUMIFS(Table4470[Amount],Table4470[Category],Table1391069[[#Headers],[Bills]],Table4470[Sub-Category],Table1391069[[#This Row],[Bills]])</f>
        <v>0</v>
      </c>
      <c r="F43" s="13">
        <f>Table1391069[[#This Row],[Budget]]-Table1391069[[#This Row],[Actual]]</f>
        <v>0</v>
      </c>
      <c r="G43" s="32"/>
      <c r="H43" s="42"/>
      <c r="Q43" s="42"/>
      <c r="S43" s="8"/>
    </row>
    <row r="44" spans="2:23" x14ac:dyDescent="0.2">
      <c r="B44" s="32"/>
      <c r="C44" s="11"/>
      <c r="D44" s="12"/>
      <c r="E44" s="13">
        <f>SUMIFS(Table464[Amount],Table464[Category],Table1391069[[#Headers],[Bills]],Table464[Sub-Category],Table1391069[[#This Row],[Bills]])+SUMIFS(Table4470[Amount],Table4470[Category],Table1391069[[#Headers],[Bills]],Table4470[Sub-Category],Table1391069[[#This Row],[Bills]])</f>
        <v>0</v>
      </c>
      <c r="F44" s="13">
        <f>Table1391069[[#This Row],[Budget]]-Table1391069[[#This Row],[Actual]]</f>
        <v>0</v>
      </c>
      <c r="G44" s="32"/>
      <c r="H44" s="42"/>
      <c r="Q44" s="42"/>
      <c r="S44" s="8"/>
    </row>
    <row r="45" spans="2:23" x14ac:dyDescent="0.2">
      <c r="B45" s="32"/>
      <c r="C45" s="11"/>
      <c r="D45" s="12"/>
      <c r="E45" s="13">
        <f>SUMIFS(Table464[Amount],Table464[Category],Table1391069[[#Headers],[Bills]],Table464[Sub-Category],Table1391069[[#This Row],[Bills]])+SUMIFS(Table4470[Amount],Table4470[Category],Table1391069[[#Headers],[Bills]],Table4470[Sub-Category],Table1391069[[#This Row],[Bills]])</f>
        <v>0</v>
      </c>
      <c r="F45" s="13">
        <f>Table1391069[[#This Row],[Budget]]-Table1391069[[#This Row],[Actual]]</f>
        <v>0</v>
      </c>
      <c r="G45" s="32"/>
      <c r="H45" s="42"/>
      <c r="Q45" s="42"/>
    </row>
    <row r="46" spans="2:23" x14ac:dyDescent="0.2">
      <c r="B46" s="32"/>
      <c r="C46" s="9" t="s">
        <v>20</v>
      </c>
      <c r="D46" s="10">
        <f>SUBTOTAL(109,Table1391069[Budget])</f>
        <v>0</v>
      </c>
      <c r="E46" s="10">
        <f>SUBTOTAL(109,Table1391069[Actual])</f>
        <v>0</v>
      </c>
      <c r="F46" s="10">
        <f>SUBTOTAL(109,Table1391069[Variance])</f>
        <v>0</v>
      </c>
      <c r="G46" s="32"/>
      <c r="H46" s="42"/>
      <c r="Q46" s="42"/>
    </row>
    <row r="47" spans="2:23" x14ac:dyDescent="0.2">
      <c r="B47" s="32"/>
      <c r="C47" s="20"/>
      <c r="D47" s="21"/>
      <c r="E47" s="21"/>
      <c r="F47" s="22"/>
      <c r="G47" s="32"/>
      <c r="H47" s="42"/>
      <c r="Q47" s="42"/>
    </row>
    <row r="48" spans="2:23" x14ac:dyDescent="0.2">
      <c r="B48" s="32"/>
      <c r="C48" s="37" t="str">
        <f>CONCATENATE(Table13766[[#Headers],[Living]]," - Budget &amp; Tracking")</f>
        <v>Living - Budget &amp; Tracking</v>
      </c>
      <c r="D48" s="38"/>
      <c r="E48" s="38"/>
      <c r="F48" s="39"/>
      <c r="G48" s="32"/>
      <c r="H48" s="42"/>
      <c r="Q48" s="42"/>
    </row>
    <row r="49" spans="2:17" x14ac:dyDescent="0.2">
      <c r="B49" s="32"/>
      <c r="C49" s="31" t="s">
        <v>25</v>
      </c>
      <c r="D49" s="31" t="s">
        <v>1</v>
      </c>
      <c r="E49" s="31" t="s">
        <v>2</v>
      </c>
      <c r="F49" s="31" t="s">
        <v>14</v>
      </c>
      <c r="G49" s="32"/>
      <c r="H49" s="42"/>
      <c r="Q49" s="42"/>
    </row>
    <row r="50" spans="2:17" x14ac:dyDescent="0.2">
      <c r="B50" s="32"/>
      <c r="D50" s="2"/>
      <c r="E50" s="2">
        <f>SUMIFS(Table464[Amount],Table464[Category],Table13766[[#Headers],[Living]],Table464[Sub-Category],Table13766[[#This Row],[Living]])+SUMIFS(Table4470[Amount],Table4470[Category],Table13766[[#Headers],[Living]],Table4470[Sub-Category],Table13766[[#This Row],[Living]])</f>
        <v>0</v>
      </c>
      <c r="F50" s="3">
        <f>Table13766[[#This Row],[Budget]]-Table13766[[#This Row],[Actual]]</f>
        <v>0</v>
      </c>
      <c r="G50" s="32"/>
      <c r="H50" s="42"/>
      <c r="Q50" s="42"/>
    </row>
    <row r="51" spans="2:17" x14ac:dyDescent="0.2">
      <c r="B51" s="32"/>
      <c r="D51" s="2"/>
      <c r="E51" s="2">
        <f>SUMIFS(Table464[Amount],Table464[Category],Table13766[[#Headers],[Living]],Table464[Sub-Category],Table13766[[#This Row],[Living]])+SUMIFS(Table4470[Amount],Table4470[Category],Table13766[[#Headers],[Living]],Table4470[Sub-Category],Table13766[[#This Row],[Living]])</f>
        <v>0</v>
      </c>
      <c r="F51" s="3">
        <f>Table13766[[#This Row],[Budget]]-Table13766[[#This Row],[Actual]]</f>
        <v>0</v>
      </c>
      <c r="G51" s="32"/>
      <c r="H51" s="42"/>
      <c r="Q51" s="42"/>
    </row>
    <row r="52" spans="2:17" x14ac:dyDescent="0.2">
      <c r="B52" s="32"/>
      <c r="C52" s="11"/>
      <c r="D52" s="12"/>
      <c r="E52" s="13">
        <f>SUMIFS(Table464[Amount],Table464[Category],Table13766[[#Headers],[Living]],Table464[Sub-Category],Table13766[[#This Row],[Living]])+SUMIFS(Table4470[Amount],Table4470[Category],Table13766[[#Headers],[Living]],Table4470[Sub-Category],Table13766[[#This Row],[Living]])</f>
        <v>0</v>
      </c>
      <c r="F52" s="13">
        <f>Table13766[[#This Row],[Budget]]-Table13766[[#This Row],[Actual]]</f>
        <v>0</v>
      </c>
      <c r="G52" s="32"/>
      <c r="H52" s="42"/>
      <c r="Q52" s="42"/>
    </row>
    <row r="53" spans="2:17" x14ac:dyDescent="0.2">
      <c r="B53" s="32"/>
      <c r="C53" s="11"/>
      <c r="D53" s="12"/>
      <c r="E53" s="13">
        <f>SUMIFS(Table464[Amount],Table464[Category],Table13766[[#Headers],[Living]],Table464[Sub-Category],Table13766[[#This Row],[Living]])+SUMIFS(Table4470[Amount],Table4470[Category],Table13766[[#Headers],[Living]],Table4470[Sub-Category],Table13766[[#This Row],[Living]])</f>
        <v>0</v>
      </c>
      <c r="F53" s="13">
        <f>Table13766[[#This Row],[Budget]]-Table13766[[#This Row],[Actual]]</f>
        <v>0</v>
      </c>
      <c r="G53" s="32"/>
      <c r="H53" s="42"/>
      <c r="Q53" s="42"/>
    </row>
    <row r="54" spans="2:17" x14ac:dyDescent="0.2">
      <c r="B54" s="32"/>
      <c r="C54" s="9" t="s">
        <v>20</v>
      </c>
      <c r="D54" s="10">
        <f>SUBTOTAL(109,Table13766[Budget])</f>
        <v>0</v>
      </c>
      <c r="E54" s="10">
        <f>SUBTOTAL(109,Table13766[Actual])</f>
        <v>0</v>
      </c>
      <c r="F54" s="10">
        <f>SUBTOTAL(109,Table13766[Variance])</f>
        <v>0</v>
      </c>
      <c r="G54" s="32"/>
      <c r="H54" s="42"/>
      <c r="Q54" s="42"/>
    </row>
    <row r="55" spans="2:17" x14ac:dyDescent="0.2">
      <c r="B55" s="32"/>
      <c r="C55" s="20"/>
      <c r="D55" s="21"/>
      <c r="E55" s="21"/>
      <c r="F55" s="22"/>
      <c r="G55" s="32"/>
      <c r="H55" s="42"/>
      <c r="Q55" s="42"/>
    </row>
    <row r="56" spans="2:17" x14ac:dyDescent="0.2">
      <c r="B56" s="32"/>
      <c r="C56" s="37" t="str">
        <f>CONCATENATE(Table13867[[#Headers],[Entertainment]]," - Budget &amp; Tracking")</f>
        <v>Entertainment - Budget &amp; Tracking</v>
      </c>
      <c r="D56" s="38"/>
      <c r="E56" s="38"/>
      <c r="F56" s="39"/>
      <c r="G56" s="32"/>
      <c r="H56" s="42"/>
      <c r="Q56" s="42"/>
    </row>
    <row r="57" spans="2:17" x14ac:dyDescent="0.2">
      <c r="B57" s="32"/>
      <c r="C57" s="31" t="s">
        <v>24</v>
      </c>
      <c r="D57" s="31" t="s">
        <v>1</v>
      </c>
      <c r="E57" s="31" t="s">
        <v>2</v>
      </c>
      <c r="F57" s="31" t="s">
        <v>14</v>
      </c>
      <c r="G57" s="32"/>
      <c r="H57" s="42"/>
      <c r="Q57" s="42"/>
    </row>
    <row r="58" spans="2:17" x14ac:dyDescent="0.2">
      <c r="B58" s="32"/>
      <c r="D58" s="2"/>
      <c r="E58" s="2">
        <f>SUMIFS(Table464[Amount],Table464[Category],Table13867[[#Headers],[Entertainment]],Table464[Sub-Category],Table13867[[#This Row],[Entertainment]])+SUMIFS(Table4470[Amount],Table4470[Category],Table13867[[#Headers],[Entertainment]],Table4470[Sub-Category],Table13867[[#This Row],[Entertainment]])</f>
        <v>0</v>
      </c>
      <c r="F58" s="3">
        <f>Table13867[[#This Row],[Budget]]-Table13867[[#This Row],[Actual]]</f>
        <v>0</v>
      </c>
      <c r="G58" s="32"/>
      <c r="H58" s="42"/>
      <c r="Q58" s="42"/>
    </row>
    <row r="59" spans="2:17" x14ac:dyDescent="0.2">
      <c r="B59" s="33"/>
      <c r="D59" s="2"/>
      <c r="E59" s="2">
        <f>SUMIFS(Table464[Amount],Table464[Category],Table13867[[#Headers],[Entertainment]],Table464[Sub-Category],Table13867[[#This Row],[Entertainment]])+SUMIFS(Table4470[Amount],Table4470[Category],Table13867[[#Headers],[Entertainment]],Table4470[Sub-Category],Table13867[[#This Row],[Entertainment]])</f>
        <v>0</v>
      </c>
      <c r="F59" s="3">
        <f>Table13867[[#This Row],[Budget]]-Table13867[[#This Row],[Actual]]</f>
        <v>0</v>
      </c>
      <c r="G59" s="33"/>
      <c r="H59" s="42"/>
      <c r="Q59" s="42"/>
    </row>
    <row r="60" spans="2:17" x14ac:dyDescent="0.2">
      <c r="C60" s="9" t="s">
        <v>20</v>
      </c>
      <c r="D60" s="10">
        <f>SUBTOTAL(109,Table13867[Budget])</f>
        <v>0</v>
      </c>
      <c r="E60" s="10">
        <f>SUBTOTAL(109,Table13867[Actual])</f>
        <v>0</v>
      </c>
      <c r="F60" s="10">
        <f>SUBTOTAL(109,Table13867[Variance])</f>
        <v>0</v>
      </c>
      <c r="H60" s="42"/>
      <c r="Q60" s="42"/>
    </row>
    <row r="61" spans="2:17" x14ac:dyDescent="0.2">
      <c r="C61" s="26"/>
      <c r="D61" s="23"/>
      <c r="E61" s="23"/>
      <c r="F61" s="23"/>
      <c r="H61" s="42"/>
      <c r="Q61" s="42"/>
    </row>
    <row r="62" spans="2:17" x14ac:dyDescent="0.2">
      <c r="C62" s="37" t="str">
        <f>CONCATENATE(Table13968[[#Headers],[Misc.]]," - Budget &amp; Tracking")</f>
        <v>Misc. - Budget &amp; Tracking</v>
      </c>
      <c r="D62" s="38"/>
      <c r="E62" s="38"/>
      <c r="F62" s="39"/>
      <c r="H62" s="42"/>
      <c r="Q62" s="42"/>
    </row>
    <row r="63" spans="2:17" x14ac:dyDescent="0.2">
      <c r="C63" s="31" t="s">
        <v>27</v>
      </c>
      <c r="D63" s="31" t="s">
        <v>1</v>
      </c>
      <c r="E63" s="31" t="s">
        <v>2</v>
      </c>
      <c r="F63" s="31" t="s">
        <v>14</v>
      </c>
      <c r="H63" s="42"/>
      <c r="Q63" s="42"/>
    </row>
    <row r="64" spans="2:17" x14ac:dyDescent="0.2">
      <c r="C64" s="11"/>
      <c r="D64" s="12"/>
      <c r="E64" s="13">
        <f>SUMIFS(Table464[Amount],Table464[Category],Table13968[[#Headers],[Misc.]],Table464[Sub-Category],Table13968[[#This Row],[Misc.]])+SUMIFS(Table4470[Amount],Table4470[Category],Table13968[[#Headers],[Misc.]],Table4470[Sub-Category],Table13968[[#This Row],[Misc.]])</f>
        <v>0</v>
      </c>
      <c r="F64" s="13">
        <f>Table13968[[#This Row],[Budget]]-Table13968[[#This Row],[Actual]]</f>
        <v>0</v>
      </c>
      <c r="H64" s="42"/>
      <c r="Q64" s="42"/>
    </row>
    <row r="65" spans="3:17" x14ac:dyDescent="0.2">
      <c r="C65" s="11"/>
      <c r="D65" s="12"/>
      <c r="E65" s="13">
        <f>SUMIFS(Table464[Amount],Table464[Category],Table13968[[#Headers],[Misc.]],Table464[Sub-Category],Table13968[[#This Row],[Misc.]])+SUMIFS(Table4470[Amount],Table4470[Category],Table13968[[#Headers],[Misc.]],Table4470[Sub-Category],Table13968[[#This Row],[Misc.]])</f>
        <v>0</v>
      </c>
      <c r="F65" s="13">
        <f>Table13968[[#This Row],[Budget]]-Table13968[[#This Row],[Actual]]</f>
        <v>0</v>
      </c>
      <c r="H65" s="42"/>
      <c r="Q65" s="42"/>
    </row>
    <row r="66" spans="3:17" x14ac:dyDescent="0.2">
      <c r="C66" s="9" t="s">
        <v>20</v>
      </c>
      <c r="D66" s="10">
        <f>SUBTOTAL(109,Table13968[Budget])</f>
        <v>0</v>
      </c>
      <c r="E66" s="10">
        <f>SUBTOTAL(109,Table13968[Actual])</f>
        <v>0</v>
      </c>
      <c r="F66" s="10">
        <f>SUBTOTAL(109,Table13968[Variance])</f>
        <v>0</v>
      </c>
      <c r="H66" s="42"/>
      <c r="Q66" s="42"/>
    </row>
    <row r="67" spans="3:17" x14ac:dyDescent="0.2">
      <c r="C67" s="26"/>
      <c r="D67" s="23"/>
      <c r="E67" s="23"/>
      <c r="F67" s="23"/>
    </row>
    <row r="68" spans="3:17" x14ac:dyDescent="0.2">
      <c r="C68" s="33"/>
      <c r="D68" s="34"/>
      <c r="E68" s="34"/>
      <c r="F68" s="34"/>
    </row>
  </sheetData>
  <mergeCells count="1">
    <mergeCell ref="C1:F1"/>
  </mergeCells>
  <conditionalFormatting sqref="F33:F36">
    <cfRule type="iconSet" priority="23">
      <iconSet iconSet="3Symbols">
        <cfvo type="percent" val="0"/>
        <cfvo type="num" val="0"/>
        <cfvo type="num" val="10"/>
      </iconSet>
    </cfRule>
  </conditionalFormatting>
  <conditionalFormatting sqref="F50:F53">
    <cfRule type="iconSet" priority="21">
      <iconSet iconSet="3Symbols">
        <cfvo type="percent" val="0"/>
        <cfvo type="num" val="0"/>
        <cfvo type="num" val="10"/>
      </iconSet>
    </cfRule>
  </conditionalFormatting>
  <conditionalFormatting sqref="F58:F59">
    <cfRule type="iconSet" priority="20">
      <iconSet iconSet="3Symbols">
        <cfvo type="percent" val="0"/>
        <cfvo type="num" val="0"/>
        <cfvo type="num" val="10"/>
      </iconSet>
    </cfRule>
  </conditionalFormatting>
  <conditionalFormatting sqref="F41:F45">
    <cfRule type="iconSet" priority="19">
      <iconSet iconSet="3Symbols">
        <cfvo type="percent" val="0"/>
        <cfvo type="num" val="0"/>
        <cfvo type="num" val="10"/>
      </iconSet>
    </cfRule>
  </conditionalFormatting>
  <conditionalFormatting sqref="D6:E6">
    <cfRule type="iconSet" priority="18">
      <iconSet iconSet="3Symbols">
        <cfvo type="percent" val="0"/>
        <cfvo type="num" val="0" gte="0"/>
        <cfvo type="num" val="10"/>
      </iconSet>
    </cfRule>
  </conditionalFormatting>
  <conditionalFormatting sqref="F3:F6">
    <cfRule type="iconSet" priority="17">
      <iconSet iconSet="3Arrows">
        <cfvo type="percent" val="0"/>
        <cfvo type="num" val="-50"/>
        <cfvo type="num" val="0" gte="0"/>
      </iconSet>
    </cfRule>
  </conditionalFormatting>
  <conditionalFormatting sqref="F20:F28">
    <cfRule type="iconSet" priority="24">
      <iconSet iconSet="3Symbols">
        <cfvo type="percent" val="0"/>
        <cfvo type="num" val="0"/>
        <cfvo type="num" val="10"/>
      </iconSet>
    </cfRule>
  </conditionalFormatting>
  <conditionalFormatting sqref="S12">
    <cfRule type="cellIs" dxfId="111" priority="16" operator="equal">
      <formula>TODAY()</formula>
    </cfRule>
  </conditionalFormatting>
  <conditionalFormatting sqref="T12 T20:U42">
    <cfRule type="expression" dxfId="110" priority="15">
      <formula>IF($S12=TODAY(),TRUE)</formula>
    </cfRule>
  </conditionalFormatting>
  <conditionalFormatting sqref="U12">
    <cfRule type="expression" dxfId="109" priority="14">
      <formula>IF($S12=TODAY(),TRUE)</formula>
    </cfRule>
  </conditionalFormatting>
  <conditionalFormatting sqref="V12 V20:V42">
    <cfRule type="expression" dxfId="108" priority="13">
      <formula>IF($S12=TODAY(),TRUE)</formula>
    </cfRule>
  </conditionalFormatting>
  <conditionalFormatting sqref="S13:S15">
    <cfRule type="cellIs" dxfId="107" priority="12" operator="equal">
      <formula>TODAY()</formula>
    </cfRule>
  </conditionalFormatting>
  <conditionalFormatting sqref="T13:T15">
    <cfRule type="expression" dxfId="106" priority="11">
      <formula>IF($S13=TODAY(),TRUE)</formula>
    </cfRule>
  </conditionalFormatting>
  <conditionalFormatting sqref="U13:U15">
    <cfRule type="expression" dxfId="105" priority="10">
      <formula>IF($S13=TODAY(),TRUE)</formula>
    </cfRule>
  </conditionalFormatting>
  <conditionalFormatting sqref="V13:V15">
    <cfRule type="expression" dxfId="104" priority="9">
      <formula>IF($S13=TODAY(),TRUE)</formula>
    </cfRule>
  </conditionalFormatting>
  <conditionalFormatting sqref="S16 S20 S24 S28 S32 S36 S40">
    <cfRule type="cellIs" dxfId="103" priority="8" operator="equal">
      <formula>TODAY()</formula>
    </cfRule>
  </conditionalFormatting>
  <conditionalFormatting sqref="T16">
    <cfRule type="expression" dxfId="102" priority="7">
      <formula>IF($S16=TODAY(),TRUE)</formula>
    </cfRule>
  </conditionalFormatting>
  <conditionalFormatting sqref="U16">
    <cfRule type="expression" dxfId="101" priority="6">
      <formula>IF($S16=TODAY(),TRUE)</formula>
    </cfRule>
  </conditionalFormatting>
  <conditionalFormatting sqref="V16">
    <cfRule type="expression" dxfId="100" priority="5">
      <formula>IF($S16=TODAY(),TRUE)</formula>
    </cfRule>
  </conditionalFormatting>
  <conditionalFormatting sqref="S17:S19 S21:S23 S25:S27 S29:S31 S33:S35 S37:S39 S41:S42">
    <cfRule type="cellIs" dxfId="99" priority="4" operator="equal">
      <formula>TODAY()</formula>
    </cfRule>
  </conditionalFormatting>
  <conditionalFormatting sqref="T17:T19">
    <cfRule type="expression" dxfId="98" priority="3">
      <formula>IF($S17=TODAY(),TRUE)</formula>
    </cfRule>
  </conditionalFormatting>
  <conditionalFormatting sqref="U17:U19">
    <cfRule type="expression" dxfId="97" priority="2">
      <formula>IF($S17=TODAY(),TRUE)</formula>
    </cfRule>
  </conditionalFormatting>
  <conditionalFormatting sqref="V17:V19">
    <cfRule type="expression" dxfId="96" priority="1">
      <formula>IF($S17=TODAY(),TRUE)</formula>
    </cfRule>
  </conditionalFormatting>
  <conditionalFormatting sqref="F66:F68">
    <cfRule type="iconSet" priority="25">
      <iconSet iconSet="3Symbols">
        <cfvo type="percent" val="0"/>
        <cfvo type="num" val="0" gte="0"/>
        <cfvo type="num" val="10"/>
      </iconSet>
    </cfRule>
  </conditionalFormatting>
  <conditionalFormatting sqref="F60:F61">
    <cfRule type="iconSet" priority="26">
      <iconSet iconSet="3Symbols">
        <cfvo type="percent" val="0"/>
        <cfvo type="num" val="0" gte="0"/>
        <cfvo type="num" val="10"/>
      </iconSet>
    </cfRule>
  </conditionalFormatting>
  <conditionalFormatting sqref="F54:F55">
    <cfRule type="iconSet" priority="27">
      <iconSet iconSet="3Symbols">
        <cfvo type="percent" val="0"/>
        <cfvo type="num" val="0" gte="0"/>
        <cfvo type="num" val="10" gte="0"/>
      </iconSet>
    </cfRule>
  </conditionalFormatting>
  <conditionalFormatting sqref="F46:F47">
    <cfRule type="iconSet" priority="28">
      <iconSet iconSet="3Symbols">
        <cfvo type="percent" val="0"/>
        <cfvo type="num" val="0" gte="0"/>
        <cfvo type="num" val="10"/>
      </iconSet>
    </cfRule>
  </conditionalFormatting>
  <conditionalFormatting sqref="F37:F38">
    <cfRule type="iconSet" priority="29">
      <iconSet iconSet="3Symbols">
        <cfvo type="percent" val="0"/>
        <cfvo type="num" val="0" gte="0"/>
        <cfvo type="num" val="10"/>
      </iconSet>
    </cfRule>
  </conditionalFormatting>
  <conditionalFormatting sqref="F29:F30">
    <cfRule type="iconSet" priority="30">
      <iconSet iconSet="3Symbols">
        <cfvo type="percent" val="0"/>
        <cfvo type="num" val="0" gte="0"/>
        <cfvo type="num" val="10"/>
      </iconSet>
    </cfRule>
  </conditionalFormatting>
  <conditionalFormatting sqref="F64:F65">
    <cfRule type="iconSet" priority="32">
      <iconSet iconSet="3Symbols">
        <cfvo type="percent" val="0"/>
        <cfvo type="num" val="0"/>
        <cfvo type="num" val="10"/>
      </iconSet>
    </cfRule>
  </conditionalFormatting>
  <dataValidations count="3">
    <dataValidation type="list" allowBlank="1" showInputMessage="1" showErrorMessage="1" sqref="O35:O40 O19:O32 O12:O16">
      <formula1>$U$2:$U$4</formula1>
    </dataValidation>
    <dataValidation type="list" allowBlank="1" showInputMessage="1" showErrorMessage="1" sqref="K35:K40 K19:K32 K12:K16">
      <formula1>$R$2:$R$8</formula1>
    </dataValidation>
    <dataValidation type="list" allowBlank="1" showInputMessage="1" showErrorMessage="1" sqref="L35:L40 L12:L16 L19:L32">
      <formula1>INDIRECT(K12)</formula1>
    </dataValidation>
  </dataValidations>
  <printOptions horizontalCentered="1"/>
  <pageMargins left="0.2" right="0.2" top="0.25" bottom="0.25" header="0.3" footer="0.3"/>
  <pageSetup scale="76" orientation="landscape" r:id="rId1"/>
  <drawing r:id="rId2"/>
  <tableParts count="10">
    <tablePart r:id="rId3"/>
    <tablePart r:id="rId4"/>
    <tablePart r:id="rId5"/>
    <tablePart r:id="rId6"/>
    <tablePart r:id="rId7"/>
    <tablePart r:id="rId8"/>
    <tablePart r:id="rId9"/>
    <tablePart r:id="rId10"/>
    <tablePart r:id="rId11"/>
    <tablePart r:id="rId12"/>
  </tableParts>
  <extLst>
    <ext xmlns:x14="http://schemas.microsoft.com/office/spreadsheetml/2009/9/main" uri="{78C0D931-6437-407d-A8EE-F0AAD7539E65}">
      <x14:conditionalFormattings>
        <x14:conditionalFormatting xmlns:xm="http://schemas.microsoft.com/office/excel/2006/main">
          <x14:cfRule type="iconSet" priority="22" id="{42AC7772-991E-45E4-90DC-3599203F6145}">
            <x14:iconSet iconSet="3Symbols" custom="1">
              <x14:cfvo type="percent">
                <xm:f>0</xm:f>
              </x14:cfvo>
              <x14:cfvo type="num">
                <xm:f>0</xm:f>
              </x14:cfvo>
              <x14:cfvo type="num">
                <xm:f>10</xm:f>
              </x14:cfvo>
              <x14:cfIcon iconSet="3Symbols" iconId="0"/>
              <x14:cfIcon iconSet="3Symbols" iconId="1"/>
              <x14:cfIcon iconSet="3Symbols" iconId="2"/>
            </x14:iconSet>
          </x14:cfRule>
          <xm:sqref>F12:F15</xm:sqref>
        </x14:conditionalFormatting>
        <x14:conditionalFormatting xmlns:xm="http://schemas.microsoft.com/office/excel/2006/main">
          <x14:cfRule type="iconSet" priority="31" id="{5C78DC7C-411F-41ED-A601-25C1A6493E39}">
            <x14:iconSet iconSet="3Symbols" custom="1">
              <x14:cfvo type="percent">
                <xm:f>0</xm:f>
              </x14:cfvo>
              <x14:cfvo type="num" gte="0">
                <xm:f>0</xm:f>
              </x14:cfvo>
              <x14:cfvo type="num">
                <xm:f>10</xm:f>
              </x14:cfvo>
              <x14:cfIcon iconSet="3Symbols" iconId="0"/>
              <x14:cfIcon iconSet="3Symbols" iconId="1"/>
              <x14:cfIcon iconSet="3Symbols" iconId="2"/>
            </x14:iconSet>
          </x14:cfRule>
          <xm:sqref>F16:F17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8"/>
  <sheetViews>
    <sheetView showGridLines="0" zoomScaleNormal="100" workbookViewId="0">
      <selection activeCell="C1" sqref="C1:F1"/>
    </sheetView>
  </sheetViews>
  <sheetFormatPr defaultColWidth="0" defaultRowHeight="12" x14ac:dyDescent="0.2"/>
  <cols>
    <col min="1" max="2" width="0.7109375" style="1" customWidth="1"/>
    <col min="3" max="3" width="15" style="1" bestFit="1" customWidth="1"/>
    <col min="4" max="6" width="12.85546875" style="1" customWidth="1"/>
    <col min="7" max="7" width="0.85546875" style="1" customWidth="1"/>
    <col min="8" max="8" width="0.28515625" style="1" customWidth="1"/>
    <col min="9" max="9" width="0.85546875" style="1" customWidth="1"/>
    <col min="10" max="10" width="24.42578125" style="1" bestFit="1" customWidth="1"/>
    <col min="11" max="11" width="12.140625" style="1" bestFit="1" customWidth="1"/>
    <col min="12" max="12" width="14.140625" style="1" bestFit="1" customWidth="1"/>
    <col min="13" max="13" width="8.5703125" style="1" bestFit="1" customWidth="1"/>
    <col min="14" max="14" width="9.7109375" style="1" bestFit="1" customWidth="1"/>
    <col min="15" max="15" width="8.28515625" style="1" bestFit="1" customWidth="1"/>
    <col min="16" max="16" width="0.85546875" style="1" customWidth="1"/>
    <col min="17" max="17" width="0.28515625" style="1" customWidth="1"/>
    <col min="18" max="18" width="0.85546875" style="1" customWidth="1"/>
    <col min="19" max="19" width="10.28515625" style="1" bestFit="1" customWidth="1"/>
    <col min="20" max="22" width="9.5703125" style="1" customWidth="1"/>
    <col min="23" max="23" width="0.7109375" style="1" customWidth="1"/>
    <col min="24" max="24" width="0.7109375" style="1" hidden="1" customWidth="1"/>
    <col min="25" max="25" width="12.140625" style="1" hidden="1" customWidth="1"/>
    <col min="26" max="27" width="4" style="1" hidden="1" customWidth="1"/>
    <col min="28" max="16384" width="9.140625" style="1" hidden="1"/>
  </cols>
  <sheetData>
    <row r="1" spans="2:23" ht="26.25" x14ac:dyDescent="0.4">
      <c r="C1" s="61">
        <f>DATE(YEAR(Mo.6!C1),MONTH(Mo.6!C1)+1,DAY(Mo.6!C1))</f>
        <v>41699</v>
      </c>
      <c r="D1" s="61"/>
      <c r="E1" s="61"/>
      <c r="F1" s="61"/>
      <c r="R1" s="45" t="s">
        <v>0</v>
      </c>
      <c r="S1" s="45" t="s">
        <v>1</v>
      </c>
      <c r="T1" s="45" t="s">
        <v>2</v>
      </c>
      <c r="U1" s="45" t="s">
        <v>16</v>
      </c>
      <c r="V1" s="45" t="s">
        <v>45</v>
      </c>
    </row>
    <row r="2" spans="2:23" x14ac:dyDescent="0.2">
      <c r="D2" s="18" t="s">
        <v>1</v>
      </c>
      <c r="E2" s="19" t="s">
        <v>2</v>
      </c>
      <c r="F2" s="19" t="s">
        <v>14</v>
      </c>
      <c r="R2" s="45" t="str">
        <f>Table13675[[#Headers],[Income]]</f>
        <v>Income</v>
      </c>
      <c r="S2" s="45">
        <f>SUM(Table13675[Budget])</f>
        <v>0</v>
      </c>
      <c r="T2" s="45">
        <f>SUM(Table13675[Actual])</f>
        <v>0</v>
      </c>
      <c r="U2" s="45" t="s">
        <v>19</v>
      </c>
      <c r="V2" s="45">
        <f>AVERAGE(V12:V42)</f>
        <v>1156.7400000000005</v>
      </c>
    </row>
    <row r="3" spans="2:23" x14ac:dyDescent="0.2">
      <c r="C3" s="17" t="s">
        <v>35</v>
      </c>
      <c r="D3" s="5">
        <f>Mo.6!D6</f>
        <v>1156.74</v>
      </c>
      <c r="E3" s="14">
        <f>Mo.6!E6</f>
        <v>1156.74</v>
      </c>
      <c r="F3" s="14">
        <f>E3-D3</f>
        <v>0</v>
      </c>
      <c r="R3" s="45" t="str">
        <f>Table172[[#Headers],[Housing]]</f>
        <v>Housing</v>
      </c>
      <c r="S3" s="45">
        <f>SUM(Table172[Budget])</f>
        <v>0</v>
      </c>
      <c r="T3" s="45">
        <f>SUM(Table172[Actual])</f>
        <v>0</v>
      </c>
      <c r="U3" s="45" t="s">
        <v>17</v>
      </c>
      <c r="V3" s="45"/>
    </row>
    <row r="4" spans="2:23" x14ac:dyDescent="0.2">
      <c r="C4" s="17" t="s">
        <v>32</v>
      </c>
      <c r="D4" s="5">
        <f>Table13675[[#Totals],[Budget]]</f>
        <v>0</v>
      </c>
      <c r="E4" s="5">
        <f>Table13675[[#Totals],[Actual]]</f>
        <v>0</v>
      </c>
      <c r="F4" s="5">
        <f>E4-D4</f>
        <v>0</v>
      </c>
      <c r="R4" s="45" t="str">
        <f>Table1373[[#Headers],[Transportation]]</f>
        <v>Transportation</v>
      </c>
      <c r="S4" s="45">
        <f>SUM(Table1373[Budget])</f>
        <v>0</v>
      </c>
      <c r="T4" s="45">
        <f>SUM(Table1373[Actual])</f>
        <v>0</v>
      </c>
      <c r="U4" s="45" t="s">
        <v>18</v>
      </c>
      <c r="V4" s="45"/>
    </row>
    <row r="5" spans="2:23" x14ac:dyDescent="0.2">
      <c r="C5" s="17" t="s">
        <v>33</v>
      </c>
      <c r="D5" s="5">
        <f>Table172[[#Totals],[Budget]]+Table1373[[#Totals],[Budget]]+Table1391079[[#Totals],[Budget]]+Table13776[[#Totals],[Budget]]+Table13877[[#Totals],[Budget]]+Table13978[[#Totals],[Budget]]</f>
        <v>0</v>
      </c>
      <c r="E5" s="5">
        <f>Table172[[#Totals],[Actual]]+Table1373[[#Totals],[Actual]]+Table1391079[[#Totals],[Actual]]+Table13776[[#Totals],[Actual]]+Table13877[[#Totals],[Actual]]+Table13978[[#Totals],[Actual]]</f>
        <v>0</v>
      </c>
      <c r="F5" s="5">
        <f>E5-D5</f>
        <v>0</v>
      </c>
      <c r="R5" s="45" t="str">
        <f>Table1391079[[#Headers],[Bills]]</f>
        <v>Bills</v>
      </c>
      <c r="S5" s="45">
        <f>SUM(Table1391079[Budget])</f>
        <v>0</v>
      </c>
      <c r="T5" s="45">
        <f>SUM(Table1391079[Actual])</f>
        <v>0</v>
      </c>
      <c r="U5" s="45"/>
      <c r="V5" s="45"/>
    </row>
    <row r="6" spans="2:23" x14ac:dyDescent="0.2">
      <c r="C6" s="15" t="s">
        <v>34</v>
      </c>
      <c r="D6" s="16">
        <f>D3+D4-D5</f>
        <v>1156.74</v>
      </c>
      <c r="E6" s="16">
        <f>E3+E4-E5</f>
        <v>1156.74</v>
      </c>
      <c r="F6" s="16">
        <f>F3+F4-F5</f>
        <v>0</v>
      </c>
      <c r="R6" s="45" t="str">
        <f>Table13776[[#Headers],[Living]]</f>
        <v>Living</v>
      </c>
      <c r="S6" s="45">
        <f>SUM(Table13776[Budget])</f>
        <v>0</v>
      </c>
      <c r="T6" s="45">
        <f>SUM(Table13776[Actual])</f>
        <v>0</v>
      </c>
      <c r="U6" s="45"/>
      <c r="V6" s="45"/>
    </row>
    <row r="7" spans="2:23" ht="3.75" customHeight="1" x14ac:dyDescent="0.2">
      <c r="D7" s="2"/>
      <c r="R7" s="45" t="str">
        <f>Table13877[[#Headers],[Entertainment]]</f>
        <v>Entertainment</v>
      </c>
      <c r="S7" s="45">
        <f>SUM(Table13877[Budget])</f>
        <v>0</v>
      </c>
      <c r="T7" s="45">
        <f>SUM(Table13877[Actual])</f>
        <v>0</v>
      </c>
      <c r="U7" s="45"/>
      <c r="V7" s="45"/>
    </row>
    <row r="8" spans="2:23" ht="1.5" customHeight="1" x14ac:dyDescent="0.2">
      <c r="C8" s="42"/>
      <c r="D8" s="43"/>
      <c r="E8" s="42"/>
      <c r="F8" s="42"/>
      <c r="G8" s="42"/>
      <c r="H8" s="42"/>
      <c r="I8" s="42"/>
      <c r="J8" s="42"/>
      <c r="K8" s="42"/>
      <c r="L8" s="42"/>
      <c r="M8" s="42"/>
      <c r="N8" s="42"/>
      <c r="O8" s="42"/>
      <c r="P8" s="42"/>
      <c r="Q8" s="42"/>
      <c r="R8" s="44" t="str">
        <f>Table13978[[#Headers],[Misc.]]</f>
        <v>Misc.</v>
      </c>
      <c r="S8" s="44">
        <f>SUM(Table13978[Budget])</f>
        <v>0</v>
      </c>
      <c r="T8" s="44">
        <f>SUM(Table13978[Actual])</f>
        <v>0</v>
      </c>
      <c r="U8" s="44"/>
      <c r="V8" s="44"/>
    </row>
    <row r="9" spans="2:23" ht="3.75" customHeight="1" x14ac:dyDescent="0.2">
      <c r="D9" s="2"/>
      <c r="H9" s="42"/>
      <c r="Q9" s="42"/>
    </row>
    <row r="10" spans="2:23" s="25" customFormat="1" x14ac:dyDescent="0.2">
      <c r="B10" s="35"/>
      <c r="C10" s="37" t="str">
        <f>CONCATENATE(Table13675[[#Headers],[Income]]," - Budget &amp; Tracking")</f>
        <v>Income - Budget &amp; Tracking</v>
      </c>
      <c r="D10" s="38"/>
      <c r="E10" s="38"/>
      <c r="F10" s="39"/>
      <c r="G10" s="35"/>
      <c r="H10" s="41"/>
      <c r="J10" s="37" t="s">
        <v>42</v>
      </c>
      <c r="K10" s="38"/>
      <c r="L10" s="38"/>
      <c r="M10" s="38"/>
      <c r="N10" s="38"/>
      <c r="O10" s="39"/>
      <c r="Q10" s="41"/>
      <c r="S10" s="37" t="s">
        <v>40</v>
      </c>
      <c r="T10" s="38"/>
      <c r="U10" s="38"/>
      <c r="V10" s="39"/>
    </row>
    <row r="11" spans="2:23" ht="12.75" thickBot="1" x14ac:dyDescent="0.25">
      <c r="B11" s="32"/>
      <c r="C11" s="31" t="s">
        <v>15</v>
      </c>
      <c r="D11" s="31" t="s">
        <v>1</v>
      </c>
      <c r="E11" s="31" t="s">
        <v>2</v>
      </c>
      <c r="F11" s="31" t="s">
        <v>14</v>
      </c>
      <c r="G11" s="32"/>
      <c r="H11" s="42"/>
      <c r="J11" s="31" t="s">
        <v>9</v>
      </c>
      <c r="K11" s="31" t="s">
        <v>0</v>
      </c>
      <c r="L11" s="31" t="s">
        <v>13</v>
      </c>
      <c r="M11" s="31" t="s">
        <v>10</v>
      </c>
      <c r="N11" s="31" t="s">
        <v>11</v>
      </c>
      <c r="O11" s="31" t="s">
        <v>16</v>
      </c>
      <c r="Q11" s="42"/>
      <c r="S11" s="40" t="s">
        <v>10</v>
      </c>
      <c r="T11" s="40" t="s">
        <v>22</v>
      </c>
      <c r="U11" s="40" t="s">
        <v>21</v>
      </c>
      <c r="V11" s="40" t="s">
        <v>23</v>
      </c>
    </row>
    <row r="12" spans="2:23" x14ac:dyDescent="0.2">
      <c r="B12" s="32"/>
      <c r="D12" s="2"/>
      <c r="E12" s="2">
        <f>SUMIFS(Table442081[Amount],Table442081[Category],Table13675[[#Headers],[Income]],Table442081[Sub-Category],Table13675[[#This Row],[Income]])+SUMIFS(Table4480[Amount],Table4480[Category],Table13675[[#Headers],[Income]],Table4480[Sub-Category],Table13675[[#This Row],[Income]])</f>
        <v>0</v>
      </c>
      <c r="F12" s="3">
        <f>Table13675[[#This Row],[Actual]]-Table13675[[#This Row],[Budget]]</f>
        <v>0</v>
      </c>
      <c r="G12" s="32"/>
      <c r="H12" s="42"/>
      <c r="M12" s="4"/>
      <c r="N12" s="2"/>
      <c r="Q12" s="42"/>
      <c r="S12" s="27">
        <f>C1</f>
        <v>41699</v>
      </c>
      <c r="T12" s="29">
        <f>SUMIFS(Table442081[Amount],Table442081[Date],S12,Table442081[Category],Table13675[[#Headers],[Income]])+SUMIFS(Table4480[Amount],Table4480[Date],S12,Table4480[Category],Table13675[[#Headers],[Income]])</f>
        <v>0</v>
      </c>
      <c r="U12" s="29">
        <f>SUMIFS(Table474[Amount],Table474[Date],S12,Table474[Category],"&lt;&gt;"&amp;Table13675[[#Headers],[Income]])+SUMIFS(Table4480[Amount],Table4480[Date],S12,Table4480[Category],"&lt;&gt;"&amp;Table13675[[#Headers],[Income]])</f>
        <v>0</v>
      </c>
      <c r="V12" s="29">
        <f>E3+T12-U12</f>
        <v>1156.74</v>
      </c>
      <c r="W12" s="1">
        <f>V2</f>
        <v>1156.7400000000005</v>
      </c>
    </row>
    <row r="13" spans="2:23" x14ac:dyDescent="0.2">
      <c r="B13" s="32"/>
      <c r="D13" s="2"/>
      <c r="E13" s="2">
        <f>SUMIFS(Table442081[Amount],Table442081[Category],Table13675[[#Headers],[Income]],Table442081[Sub-Category],Table13675[[#This Row],[Income]])+SUMIFS(Table4480[Amount],Table4480[Category],Table13675[[#Headers],[Income]],Table4480[Sub-Category],Table13675[[#This Row],[Income]])</f>
        <v>0</v>
      </c>
      <c r="F13" s="3">
        <f>Table13675[[#This Row],[Actual]]-Table13675[[#This Row],[Budget]]</f>
        <v>0</v>
      </c>
      <c r="G13" s="32"/>
      <c r="H13" s="42"/>
      <c r="M13" s="4"/>
      <c r="N13" s="2"/>
      <c r="Q13" s="42"/>
      <c r="S13" s="30">
        <f t="shared" ref="S13:S42" si="0">S12+1</f>
        <v>41700</v>
      </c>
      <c r="T13" s="28">
        <f>SUMIFS(Table442081[Amount],Table442081[Date],S13,Table442081[Category],Table13675[[#Headers],[Income]])+SUMIFS(Table4480[Amount],Table4480[Date],S13,Table4480[Category],Table13675[[#Headers],[Income]])</f>
        <v>0</v>
      </c>
      <c r="U13" s="28">
        <f>SUMIFS(Table474[Amount],Table474[Date],S13,Table474[Category],"&lt;&gt;"&amp;Table13675[[#Headers],[Income]])+SUMIFS(Table4480[Amount],Table4480[Date],S13,Table4480[Category],"&lt;&gt;"&amp;Table13675[[#Headers],[Income]])</f>
        <v>0</v>
      </c>
      <c r="V13" s="28">
        <f>V12+T13-U13</f>
        <v>1156.74</v>
      </c>
      <c r="W13" s="1">
        <f>W12</f>
        <v>1156.7400000000005</v>
      </c>
    </row>
    <row r="14" spans="2:23" x14ac:dyDescent="0.2">
      <c r="B14" s="32"/>
      <c r="D14" s="12"/>
      <c r="E14" s="12">
        <f>SUMIFS(Table442081[Amount],Table442081[Category],Table13675[[#Headers],[Income]],Table442081[Sub-Category],Table13675[[#This Row],[Income]])+SUMIFS(Table4480[Amount],Table4480[Category],Table13675[[#Headers],[Income]],Table4480[Sub-Category],Table13675[[#This Row],[Income]])</f>
        <v>0</v>
      </c>
      <c r="F14" s="2">
        <f>Table13675[[#This Row],[Actual]]-Table13675[[#This Row],[Budget]]</f>
        <v>0</v>
      </c>
      <c r="G14" s="32"/>
      <c r="H14" s="42"/>
      <c r="M14" s="4"/>
      <c r="N14" s="2"/>
      <c r="Q14" s="42"/>
      <c r="S14" s="27">
        <f t="shared" si="0"/>
        <v>41701</v>
      </c>
      <c r="T14" s="29">
        <f>SUMIFS(Table442081[Amount],Table442081[Date],S14,Table442081[Category],Table13675[[#Headers],[Income]])+SUMIFS(Table4480[Amount],Table4480[Date],S14,Table4480[Category],Table13675[[#Headers],[Income]])</f>
        <v>0</v>
      </c>
      <c r="U14" s="29">
        <f>SUMIFS(Table474[Amount],Table474[Date],S14,Table474[Category],"&lt;&gt;"&amp;Table13675[[#Headers],[Income]])+SUMIFS(Table4480[Amount],Table4480[Date],S14,Table4480[Category],"&lt;&gt;"&amp;Table13675[[#Headers],[Income]])</f>
        <v>0</v>
      </c>
      <c r="V14" s="29">
        <f t="shared" ref="V14:V42" si="1">V13+T14-U14</f>
        <v>1156.74</v>
      </c>
      <c r="W14" s="1">
        <f t="shared" ref="W14:W42" si="2">W13</f>
        <v>1156.7400000000005</v>
      </c>
    </row>
    <row r="15" spans="2:23" x14ac:dyDescent="0.2">
      <c r="B15" s="32"/>
      <c r="D15" s="2"/>
      <c r="E15" s="3">
        <f>SUMIFS(Table442081[Amount],Table442081[Category],Table13675[[#Headers],[Income]],Table442081[Sub-Category],Table13675[[#This Row],[Income]])+SUMIFS(Table4480[Amount],Table4480[Category],Table13675[[#Headers],[Income]],Table4480[Sub-Category],Table13675[[#This Row],[Income]])</f>
        <v>0</v>
      </c>
      <c r="F15" s="3">
        <f>Table13675[[#This Row],[Actual]]-Table13675[[#This Row],[Budget]]</f>
        <v>0</v>
      </c>
      <c r="G15" s="32"/>
      <c r="H15" s="42"/>
      <c r="J15" s="11"/>
      <c r="K15" s="11"/>
      <c r="L15" s="11"/>
      <c r="M15" s="24"/>
      <c r="N15" s="12"/>
      <c r="O15" s="11"/>
      <c r="Q15" s="42"/>
      <c r="S15" s="30">
        <f t="shared" si="0"/>
        <v>41702</v>
      </c>
      <c r="T15" s="28">
        <f>SUMIFS(Table442081[Amount],Table442081[Date],S15,Table442081[Category],Table13675[[#Headers],[Income]])+SUMIFS(Table4480[Amount],Table4480[Date],S15,Table4480[Category],Table13675[[#Headers],[Income]])</f>
        <v>0</v>
      </c>
      <c r="U15" s="28">
        <f>SUMIFS(Table474[Amount],Table474[Date],S15,Table474[Category],"&lt;&gt;"&amp;Table13675[[#Headers],[Income]])+SUMIFS(Table4480[Amount],Table4480[Date],S15,Table4480[Category],"&lt;&gt;"&amp;Table13675[[#Headers],[Income]])</f>
        <v>0</v>
      </c>
      <c r="V15" s="28">
        <f t="shared" si="1"/>
        <v>1156.74</v>
      </c>
      <c r="W15" s="1">
        <f t="shared" si="2"/>
        <v>1156.7400000000005</v>
      </c>
    </row>
    <row r="16" spans="2:23" x14ac:dyDescent="0.2">
      <c r="B16" s="32"/>
      <c r="C16" s="6" t="s">
        <v>20</v>
      </c>
      <c r="D16" s="7">
        <f>SUBTOTAL(109,Table13675[Budget])</f>
        <v>0</v>
      </c>
      <c r="E16" s="7">
        <f>SUBTOTAL(109,Table13675[Actual])</f>
        <v>0</v>
      </c>
      <c r="F16" s="7">
        <f>SUBTOTAL(109,Table13675[Variance])</f>
        <v>0</v>
      </c>
      <c r="G16" s="36"/>
      <c r="H16" s="43"/>
      <c r="I16" s="2"/>
      <c r="M16" s="4"/>
      <c r="N16" s="2"/>
      <c r="Q16" s="43"/>
      <c r="S16" s="27">
        <f t="shared" si="0"/>
        <v>41703</v>
      </c>
      <c r="T16" s="29">
        <f>SUMIFS(Table442081[Amount],Table442081[Date],S16,Table442081[Category],Table13675[[#Headers],[Income]])+SUMIFS(Table4480[Amount],Table4480[Date],S16,Table4480[Category],Table13675[[#Headers],[Income]])</f>
        <v>0</v>
      </c>
      <c r="U16" s="29">
        <f>SUMIFS(Table474[Amount],Table474[Date],S16,Table474[Category],"&lt;&gt;"&amp;Table13675[[#Headers],[Income]])+SUMIFS(Table4480[Amount],Table4480[Date],S16,Table4480[Category],"&lt;&gt;"&amp;Table13675[[#Headers],[Income]])</f>
        <v>0</v>
      </c>
      <c r="V16" s="29">
        <f t="shared" si="1"/>
        <v>1156.74</v>
      </c>
      <c r="W16" s="1">
        <f t="shared" si="2"/>
        <v>1156.7400000000005</v>
      </c>
    </row>
    <row r="17" spans="2:23" x14ac:dyDescent="0.2">
      <c r="B17" s="32"/>
      <c r="C17" s="20"/>
      <c r="D17" s="21"/>
      <c r="E17" s="21"/>
      <c r="F17" s="21"/>
      <c r="G17" s="36"/>
      <c r="H17" s="43"/>
      <c r="I17" s="2"/>
      <c r="J17" s="37" t="s">
        <v>43</v>
      </c>
      <c r="K17" s="38"/>
      <c r="L17" s="38"/>
      <c r="M17" s="38"/>
      <c r="N17" s="38"/>
      <c r="O17" s="39"/>
      <c r="Q17" s="43"/>
      <c r="S17" s="30">
        <f t="shared" si="0"/>
        <v>41704</v>
      </c>
      <c r="T17" s="28">
        <f>SUMIFS(Table442081[Amount],Table442081[Date],S17,Table442081[Category],Table13675[[#Headers],[Income]])+SUMIFS(Table4480[Amount],Table4480[Date],S17,Table4480[Category],Table13675[[#Headers],[Income]])</f>
        <v>0</v>
      </c>
      <c r="U17" s="28">
        <f>SUMIFS(Table474[Amount],Table474[Date],S17,Table474[Category],"&lt;&gt;"&amp;Table13675[[#Headers],[Income]])+SUMIFS(Table4480[Amount],Table4480[Date],S17,Table4480[Category],"&lt;&gt;"&amp;Table13675[[#Headers],[Income]])</f>
        <v>0</v>
      </c>
      <c r="V17" s="28">
        <f t="shared" si="1"/>
        <v>1156.74</v>
      </c>
      <c r="W17" s="1">
        <f t="shared" si="2"/>
        <v>1156.7400000000005</v>
      </c>
    </row>
    <row r="18" spans="2:23" x14ac:dyDescent="0.2">
      <c r="B18" s="32"/>
      <c r="C18" s="37" t="str">
        <f>CONCATENATE(Table172[[#Headers],[Housing]]," - Budget &amp; Tracking")</f>
        <v>Housing - Budget &amp; Tracking</v>
      </c>
      <c r="D18" s="38"/>
      <c r="E18" s="38"/>
      <c r="F18" s="39"/>
      <c r="G18" s="36"/>
      <c r="H18" s="43"/>
      <c r="I18" s="2"/>
      <c r="J18" s="31" t="s">
        <v>9</v>
      </c>
      <c r="K18" s="31" t="s">
        <v>0</v>
      </c>
      <c r="L18" s="31" t="s">
        <v>13</v>
      </c>
      <c r="M18" s="31" t="s">
        <v>10</v>
      </c>
      <c r="N18" s="31" t="s">
        <v>11</v>
      </c>
      <c r="O18" s="31" t="s">
        <v>16</v>
      </c>
      <c r="Q18" s="43"/>
      <c r="S18" s="27">
        <f t="shared" si="0"/>
        <v>41705</v>
      </c>
      <c r="T18" s="29">
        <f>SUMIFS(Table442081[Amount],Table442081[Date],S18,Table442081[Category],Table13675[[#Headers],[Income]])+SUMIFS(Table4480[Amount],Table4480[Date],S18,Table4480[Category],Table13675[[#Headers],[Income]])</f>
        <v>0</v>
      </c>
      <c r="U18" s="29">
        <f>SUMIFS(Table474[Amount],Table474[Date],S18,Table474[Category],"&lt;&gt;"&amp;Table13675[[#Headers],[Income]])+SUMIFS(Table4480[Amount],Table4480[Date],S18,Table4480[Category],"&lt;&gt;"&amp;Table13675[[#Headers],[Income]])</f>
        <v>0</v>
      </c>
      <c r="V18" s="29">
        <f t="shared" si="1"/>
        <v>1156.74</v>
      </c>
      <c r="W18" s="1">
        <f t="shared" si="2"/>
        <v>1156.7400000000005</v>
      </c>
    </row>
    <row r="19" spans="2:23" x14ac:dyDescent="0.2">
      <c r="B19" s="32"/>
      <c r="C19" s="31" t="s">
        <v>8</v>
      </c>
      <c r="D19" s="31" t="s">
        <v>1</v>
      </c>
      <c r="E19" s="31" t="s">
        <v>2</v>
      </c>
      <c r="F19" s="31" t="s">
        <v>14</v>
      </c>
      <c r="G19" s="36"/>
      <c r="H19" s="43"/>
      <c r="I19" s="2"/>
      <c r="M19" s="4"/>
      <c r="N19" s="2"/>
      <c r="Q19" s="43"/>
      <c r="S19" s="30">
        <f t="shared" si="0"/>
        <v>41706</v>
      </c>
      <c r="T19" s="28">
        <f>SUMIFS(Table442081[Amount],Table442081[Date],S19,Table442081[Category],Table13675[[#Headers],[Income]])+SUMIFS(Table4480[Amount],Table4480[Date],S19,Table4480[Category],Table13675[[#Headers],[Income]])</f>
        <v>0</v>
      </c>
      <c r="U19" s="28">
        <f>SUMIFS(Table474[Amount],Table474[Date],S19,Table474[Category],"&lt;&gt;"&amp;Table13675[[#Headers],[Income]])+SUMIFS(Table4480[Amount],Table4480[Date],S19,Table4480[Category],"&lt;&gt;"&amp;Table13675[[#Headers],[Income]])</f>
        <v>0</v>
      </c>
      <c r="V19" s="28">
        <f t="shared" si="1"/>
        <v>1156.74</v>
      </c>
      <c r="W19" s="1">
        <f t="shared" si="2"/>
        <v>1156.7400000000005</v>
      </c>
    </row>
    <row r="20" spans="2:23" x14ac:dyDescent="0.2">
      <c r="B20" s="32"/>
      <c r="D20" s="2"/>
      <c r="E20" s="2">
        <f>SUMIFS(Table474[Amount],Table474[Category],Table172[[#Headers],[Housing]],Table474[Sub-Category],Table172[[#This Row],[Housing]])+SUMIFS(Table4480[Amount],Table4480[Category],Table172[[#Headers],[Housing]],Table4480[Sub-Category],Table172[[#This Row],[Housing]])</f>
        <v>0</v>
      </c>
      <c r="F20" s="3">
        <f>Table172[[#This Row],[Budget]]-Table172[[#This Row],[Actual]]</f>
        <v>0</v>
      </c>
      <c r="G20" s="36"/>
      <c r="H20" s="43"/>
      <c r="I20" s="2"/>
      <c r="J20" s="11"/>
      <c r="K20" s="11"/>
      <c r="L20" s="11"/>
      <c r="M20" s="24"/>
      <c r="N20" s="12"/>
      <c r="O20" s="11"/>
      <c r="Q20" s="43"/>
      <c r="S20" s="27">
        <f t="shared" si="0"/>
        <v>41707</v>
      </c>
      <c r="T20" s="29">
        <f>SUMIFS(Table442081[Amount],Table442081[Date],S20,Table442081[Category],Table13675[[#Headers],[Income]])+SUMIFS(Table4480[Amount],Table4480[Date],S20,Table4480[Category],Table13675[[#Headers],[Income]])</f>
        <v>0</v>
      </c>
      <c r="U20" s="29">
        <f>SUMIFS(Table474[Amount],Table474[Date],S20,Table474[Category],"&lt;&gt;"&amp;Table13675[[#Headers],[Income]])+SUMIFS(Table4480[Amount],Table4480[Date],S20,Table4480[Category],"&lt;&gt;"&amp;Table13675[[#Headers],[Income]])</f>
        <v>0</v>
      </c>
      <c r="V20" s="29">
        <f t="shared" si="1"/>
        <v>1156.74</v>
      </c>
      <c r="W20" s="1">
        <f t="shared" si="2"/>
        <v>1156.7400000000005</v>
      </c>
    </row>
    <row r="21" spans="2:23" x14ac:dyDescent="0.2">
      <c r="B21" s="32"/>
      <c r="D21" s="2"/>
      <c r="E21" s="2">
        <f>SUMIFS(Table474[Amount],Table474[Category],Table172[[#Headers],[Housing]],Table474[Sub-Category],Table172[[#This Row],[Housing]])+SUMIFS(Table4480[Amount],Table4480[Category],Table172[[#Headers],[Housing]],Table4480[Sub-Category],Table172[[#This Row],[Housing]])</f>
        <v>0</v>
      </c>
      <c r="F21" s="3">
        <f>Table172[[#This Row],[Budget]]-Table172[[#This Row],[Actual]]</f>
        <v>0</v>
      </c>
      <c r="G21" s="36"/>
      <c r="H21" s="43"/>
      <c r="I21" s="2"/>
      <c r="J21" s="11"/>
      <c r="K21" s="11"/>
      <c r="L21" s="11"/>
      <c r="M21" s="24"/>
      <c r="N21" s="12"/>
      <c r="O21" s="11"/>
      <c r="Q21" s="43"/>
      <c r="S21" s="30">
        <f t="shared" si="0"/>
        <v>41708</v>
      </c>
      <c r="T21" s="28">
        <f>SUMIFS(Table442081[Amount],Table442081[Date],S21,Table442081[Category],Table13675[[#Headers],[Income]])+SUMIFS(Table4480[Amount],Table4480[Date],S21,Table4480[Category],Table13675[[#Headers],[Income]])</f>
        <v>0</v>
      </c>
      <c r="U21" s="28">
        <f>SUMIFS(Table474[Amount],Table474[Date],S21,Table474[Category],"&lt;&gt;"&amp;Table13675[[#Headers],[Income]])+SUMIFS(Table4480[Amount],Table4480[Date],S21,Table4480[Category],"&lt;&gt;"&amp;Table13675[[#Headers],[Income]])</f>
        <v>0</v>
      </c>
      <c r="V21" s="28">
        <f t="shared" si="1"/>
        <v>1156.74</v>
      </c>
      <c r="W21" s="1">
        <f t="shared" si="2"/>
        <v>1156.7400000000005</v>
      </c>
    </row>
    <row r="22" spans="2:23" x14ac:dyDescent="0.2">
      <c r="B22" s="32"/>
      <c r="D22" s="2"/>
      <c r="E22" s="2">
        <f>SUMIFS(Table474[Amount],Table474[Category],Table172[[#Headers],[Housing]],Table474[Sub-Category],Table172[[#This Row],[Housing]])+SUMIFS(Table4480[Amount],Table4480[Category],Table172[[#Headers],[Housing]],Table4480[Sub-Category],Table172[[#This Row],[Housing]])</f>
        <v>0</v>
      </c>
      <c r="F22" s="3">
        <f>Table172[[#This Row],[Budget]]-Table172[[#This Row],[Actual]]</f>
        <v>0</v>
      </c>
      <c r="G22" s="36"/>
      <c r="H22" s="43"/>
      <c r="I22" s="2"/>
      <c r="J22" s="11"/>
      <c r="K22" s="11"/>
      <c r="L22" s="11"/>
      <c r="M22" s="24"/>
      <c r="N22" s="12"/>
      <c r="O22" s="11"/>
      <c r="Q22" s="43"/>
      <c r="S22" s="27">
        <f t="shared" si="0"/>
        <v>41709</v>
      </c>
      <c r="T22" s="29">
        <f>SUMIFS(Table442081[Amount],Table442081[Date],S22,Table442081[Category],Table13675[[#Headers],[Income]])+SUMIFS(Table4480[Amount],Table4480[Date],S22,Table4480[Category],Table13675[[#Headers],[Income]])</f>
        <v>0</v>
      </c>
      <c r="U22" s="29">
        <f>SUMIFS(Table474[Amount],Table474[Date],S22,Table474[Category],"&lt;&gt;"&amp;Table13675[[#Headers],[Income]])+SUMIFS(Table4480[Amount],Table4480[Date],S22,Table4480[Category],"&lt;&gt;"&amp;Table13675[[#Headers],[Income]])</f>
        <v>0</v>
      </c>
      <c r="V22" s="29">
        <f t="shared" si="1"/>
        <v>1156.74</v>
      </c>
      <c r="W22" s="1">
        <f t="shared" si="2"/>
        <v>1156.7400000000005</v>
      </c>
    </row>
    <row r="23" spans="2:23" x14ac:dyDescent="0.2">
      <c r="B23" s="32"/>
      <c r="D23" s="2"/>
      <c r="E23" s="2">
        <f>SUMIFS(Table474[Amount],Table474[Category],Table172[[#Headers],[Housing]],Table474[Sub-Category],Table172[[#This Row],[Housing]])+SUMIFS(Table4480[Amount],Table4480[Category],Table172[[#Headers],[Housing]],Table4480[Sub-Category],Table172[[#This Row],[Housing]])</f>
        <v>0</v>
      </c>
      <c r="F23" s="3">
        <f>Table172[[#This Row],[Budget]]-Table172[[#This Row],[Actual]]</f>
        <v>0</v>
      </c>
      <c r="G23" s="36"/>
      <c r="H23" s="43"/>
      <c r="I23" s="2"/>
      <c r="J23" s="11"/>
      <c r="K23" s="11"/>
      <c r="L23" s="11"/>
      <c r="M23" s="24"/>
      <c r="N23" s="12"/>
      <c r="O23" s="11"/>
      <c r="Q23" s="43"/>
      <c r="S23" s="30">
        <f t="shared" si="0"/>
        <v>41710</v>
      </c>
      <c r="T23" s="28">
        <f>SUMIFS(Table442081[Amount],Table442081[Date],S23,Table442081[Category],Table13675[[#Headers],[Income]])+SUMIFS(Table4480[Amount],Table4480[Date],S23,Table4480[Category],Table13675[[#Headers],[Income]])</f>
        <v>0</v>
      </c>
      <c r="U23" s="28">
        <f>SUMIFS(Table474[Amount],Table474[Date],S23,Table474[Category],"&lt;&gt;"&amp;Table13675[[#Headers],[Income]])+SUMIFS(Table4480[Amount],Table4480[Date],S23,Table4480[Category],"&lt;&gt;"&amp;Table13675[[#Headers],[Income]])</f>
        <v>0</v>
      </c>
      <c r="V23" s="28">
        <f t="shared" si="1"/>
        <v>1156.74</v>
      </c>
      <c r="W23" s="1">
        <f t="shared" si="2"/>
        <v>1156.7400000000005</v>
      </c>
    </row>
    <row r="24" spans="2:23" x14ac:dyDescent="0.2">
      <c r="B24" s="32"/>
      <c r="D24" s="2"/>
      <c r="E24" s="2">
        <f>SUMIFS(Table474[Amount],Table474[Category],Table172[[#Headers],[Housing]],Table474[Sub-Category],Table172[[#This Row],[Housing]])+SUMIFS(Table4480[Amount],Table4480[Category],Table172[[#Headers],[Housing]],Table4480[Sub-Category],Table172[[#This Row],[Housing]])</f>
        <v>0</v>
      </c>
      <c r="F24" s="3">
        <f>Table172[[#This Row],[Budget]]-Table172[[#This Row],[Actual]]</f>
        <v>0</v>
      </c>
      <c r="G24" s="36"/>
      <c r="H24" s="43"/>
      <c r="I24" s="2"/>
      <c r="J24" s="11"/>
      <c r="K24" s="11"/>
      <c r="L24" s="11"/>
      <c r="M24" s="24"/>
      <c r="N24" s="12"/>
      <c r="O24" s="11"/>
      <c r="Q24" s="43"/>
      <c r="S24" s="27">
        <f t="shared" si="0"/>
        <v>41711</v>
      </c>
      <c r="T24" s="29">
        <f>SUMIFS(Table442081[Amount],Table442081[Date],S24,Table442081[Category],Table13675[[#Headers],[Income]])+SUMIFS(Table4480[Amount],Table4480[Date],S24,Table4480[Category],Table13675[[#Headers],[Income]])</f>
        <v>0</v>
      </c>
      <c r="U24" s="29">
        <f>SUMIFS(Table474[Amount],Table474[Date],S24,Table474[Category],"&lt;&gt;"&amp;Table13675[[#Headers],[Income]])+SUMIFS(Table4480[Amount],Table4480[Date],S24,Table4480[Category],"&lt;&gt;"&amp;Table13675[[#Headers],[Income]])</f>
        <v>0</v>
      </c>
      <c r="V24" s="29">
        <f t="shared" si="1"/>
        <v>1156.74</v>
      </c>
      <c r="W24" s="1">
        <f t="shared" si="2"/>
        <v>1156.7400000000005</v>
      </c>
    </row>
    <row r="25" spans="2:23" x14ac:dyDescent="0.2">
      <c r="B25" s="32"/>
      <c r="D25" s="2"/>
      <c r="E25" s="2">
        <f>SUMIFS(Table474[Amount],Table474[Category],Table172[[#Headers],[Housing]],Table474[Sub-Category],Table172[[#This Row],[Housing]])+SUMIFS(Table4480[Amount],Table4480[Category],Table172[[#Headers],[Housing]],Table4480[Sub-Category],Table172[[#This Row],[Housing]])</f>
        <v>0</v>
      </c>
      <c r="F25" s="3">
        <f>Table172[[#This Row],[Budget]]-Table172[[#This Row],[Actual]]</f>
        <v>0</v>
      </c>
      <c r="G25" s="32"/>
      <c r="H25" s="42"/>
      <c r="J25" s="11"/>
      <c r="K25" s="11"/>
      <c r="L25" s="11"/>
      <c r="M25" s="24"/>
      <c r="N25" s="12"/>
      <c r="O25" s="11"/>
      <c r="Q25" s="42"/>
      <c r="S25" s="30">
        <f t="shared" si="0"/>
        <v>41712</v>
      </c>
      <c r="T25" s="28">
        <f>SUMIFS(Table442081[Amount],Table442081[Date],S25,Table442081[Category],Table13675[[#Headers],[Income]])+SUMIFS(Table4480[Amount],Table4480[Date],S25,Table4480[Category],Table13675[[#Headers],[Income]])</f>
        <v>0</v>
      </c>
      <c r="U25" s="28">
        <f>SUMIFS(Table474[Amount],Table474[Date],S25,Table474[Category],"&lt;&gt;"&amp;Table13675[[#Headers],[Income]])+SUMIFS(Table4480[Amount],Table4480[Date],S25,Table4480[Category],"&lt;&gt;"&amp;Table13675[[#Headers],[Income]])</f>
        <v>0</v>
      </c>
      <c r="V25" s="28">
        <f t="shared" si="1"/>
        <v>1156.74</v>
      </c>
      <c r="W25" s="1">
        <f t="shared" si="2"/>
        <v>1156.7400000000005</v>
      </c>
    </row>
    <row r="26" spans="2:23" x14ac:dyDescent="0.2">
      <c r="B26" s="32"/>
      <c r="D26" s="2"/>
      <c r="E26" s="2">
        <f>SUMIFS(Table474[Amount],Table474[Category],Table172[[#Headers],[Housing]],Table474[Sub-Category],Table172[[#This Row],[Housing]])+SUMIFS(Table4480[Amount],Table4480[Category],Table172[[#Headers],[Housing]],Table4480[Sub-Category],Table172[[#This Row],[Housing]])</f>
        <v>0</v>
      </c>
      <c r="F26" s="3">
        <f>Table172[[#This Row],[Budget]]-Table172[[#This Row],[Actual]]</f>
        <v>0</v>
      </c>
      <c r="G26" s="32"/>
      <c r="H26" s="42"/>
      <c r="J26" s="11"/>
      <c r="K26" s="11"/>
      <c r="L26" s="11"/>
      <c r="M26" s="24"/>
      <c r="N26" s="12"/>
      <c r="O26" s="11"/>
      <c r="Q26" s="42"/>
      <c r="S26" s="27">
        <f t="shared" si="0"/>
        <v>41713</v>
      </c>
      <c r="T26" s="29">
        <f>SUMIFS(Table442081[Amount],Table442081[Date],S26,Table442081[Category],Table13675[[#Headers],[Income]])+SUMIFS(Table4480[Amount],Table4480[Date],S26,Table4480[Category],Table13675[[#Headers],[Income]])</f>
        <v>0</v>
      </c>
      <c r="U26" s="29">
        <f>SUMIFS(Table474[Amount],Table474[Date],S26,Table474[Category],"&lt;&gt;"&amp;Table13675[[#Headers],[Income]])+SUMIFS(Table4480[Amount],Table4480[Date],S26,Table4480[Category],"&lt;&gt;"&amp;Table13675[[#Headers],[Income]])</f>
        <v>0</v>
      </c>
      <c r="V26" s="29">
        <f t="shared" si="1"/>
        <v>1156.74</v>
      </c>
      <c r="W26" s="1">
        <f t="shared" si="2"/>
        <v>1156.7400000000005</v>
      </c>
    </row>
    <row r="27" spans="2:23" x14ac:dyDescent="0.2">
      <c r="B27" s="32"/>
      <c r="D27" s="2"/>
      <c r="E27" s="2">
        <f>SUMIFS(Table474[Amount],Table474[Category],Table172[[#Headers],[Housing]],Table474[Sub-Category],Table172[[#This Row],[Housing]])+SUMIFS(Table4480[Amount],Table4480[Category],Table172[[#Headers],[Housing]],Table4480[Sub-Category],Table172[[#This Row],[Housing]])</f>
        <v>0</v>
      </c>
      <c r="F27" s="3">
        <f>Table172[[#This Row],[Budget]]-Table172[[#This Row],[Actual]]</f>
        <v>0</v>
      </c>
      <c r="G27" s="36"/>
      <c r="H27" s="43"/>
      <c r="I27" s="2"/>
      <c r="J27" s="11"/>
      <c r="K27" s="11"/>
      <c r="L27" s="11"/>
      <c r="M27" s="24"/>
      <c r="N27" s="12"/>
      <c r="O27" s="11"/>
      <c r="Q27" s="43"/>
      <c r="S27" s="30">
        <f t="shared" si="0"/>
        <v>41714</v>
      </c>
      <c r="T27" s="28">
        <f>SUMIFS(Table442081[Amount],Table442081[Date],S27,Table442081[Category],Table13675[[#Headers],[Income]])+SUMIFS(Table4480[Amount],Table4480[Date],S27,Table4480[Category],Table13675[[#Headers],[Income]])</f>
        <v>0</v>
      </c>
      <c r="U27" s="28">
        <f>SUMIFS(Table474[Amount],Table474[Date],S27,Table474[Category],"&lt;&gt;"&amp;Table13675[[#Headers],[Income]])+SUMIFS(Table4480[Amount],Table4480[Date],S27,Table4480[Category],"&lt;&gt;"&amp;Table13675[[#Headers],[Income]])</f>
        <v>0</v>
      </c>
      <c r="V27" s="28">
        <f t="shared" si="1"/>
        <v>1156.74</v>
      </c>
      <c r="W27" s="1">
        <f t="shared" si="2"/>
        <v>1156.7400000000005</v>
      </c>
    </row>
    <row r="28" spans="2:23" x14ac:dyDescent="0.2">
      <c r="B28" s="32"/>
      <c r="C28" s="11"/>
      <c r="D28" s="12"/>
      <c r="E28" s="13">
        <f>SUMIFS(Table474[Amount],Table474[Category],Table172[[#Headers],[Housing]],Table474[Sub-Category],Table172[[#This Row],[Housing]])+SUMIFS(Table4480[Amount],Table4480[Category],Table172[[#Headers],[Housing]],Table4480[Sub-Category],Table172[[#This Row],[Housing]])</f>
        <v>0</v>
      </c>
      <c r="F28" s="13">
        <f>Table172[[#This Row],[Budget]]-Table172[[#This Row],[Actual]]</f>
        <v>0</v>
      </c>
      <c r="G28" s="36"/>
      <c r="H28" s="43"/>
      <c r="I28" s="2"/>
      <c r="J28" s="11"/>
      <c r="K28" s="11"/>
      <c r="L28" s="11"/>
      <c r="M28" s="24"/>
      <c r="N28" s="12"/>
      <c r="O28" s="11"/>
      <c r="Q28" s="43"/>
      <c r="S28" s="27">
        <f t="shared" si="0"/>
        <v>41715</v>
      </c>
      <c r="T28" s="29">
        <f>SUMIFS(Table442081[Amount],Table442081[Date],S28,Table442081[Category],Table13675[[#Headers],[Income]])+SUMIFS(Table4480[Amount],Table4480[Date],S28,Table4480[Category],Table13675[[#Headers],[Income]])</f>
        <v>0</v>
      </c>
      <c r="U28" s="29">
        <f>SUMIFS(Table474[Amount],Table474[Date],S28,Table474[Category],"&lt;&gt;"&amp;Table13675[[#Headers],[Income]])+SUMIFS(Table4480[Amount],Table4480[Date],S28,Table4480[Category],"&lt;&gt;"&amp;Table13675[[#Headers],[Income]])</f>
        <v>0</v>
      </c>
      <c r="V28" s="29">
        <f t="shared" si="1"/>
        <v>1156.74</v>
      </c>
      <c r="W28" s="1">
        <f t="shared" si="2"/>
        <v>1156.7400000000005</v>
      </c>
    </row>
    <row r="29" spans="2:23" x14ac:dyDescent="0.2">
      <c r="B29" s="32"/>
      <c r="C29" s="9" t="s">
        <v>20</v>
      </c>
      <c r="D29" s="10">
        <f>SUBTOTAL(109,Table172[Budget])</f>
        <v>0</v>
      </c>
      <c r="E29" s="10">
        <f>SUBTOTAL(109,Table172[Actual])</f>
        <v>0</v>
      </c>
      <c r="F29" s="10">
        <f>SUBTOTAL(109,Table172[Variance])</f>
        <v>0</v>
      </c>
      <c r="G29" s="32"/>
      <c r="H29" s="42"/>
      <c r="J29" s="11"/>
      <c r="K29" s="11"/>
      <c r="L29" s="11"/>
      <c r="M29" s="24"/>
      <c r="N29" s="12"/>
      <c r="O29" s="11"/>
      <c r="Q29" s="42"/>
      <c r="S29" s="30">
        <f t="shared" si="0"/>
        <v>41716</v>
      </c>
      <c r="T29" s="28">
        <f>SUMIFS(Table442081[Amount],Table442081[Date],S29,Table442081[Category],Table13675[[#Headers],[Income]])+SUMIFS(Table4480[Amount],Table4480[Date],S29,Table4480[Category],Table13675[[#Headers],[Income]])</f>
        <v>0</v>
      </c>
      <c r="U29" s="28">
        <f>SUMIFS(Table474[Amount],Table474[Date],S29,Table474[Category],"&lt;&gt;"&amp;Table13675[[#Headers],[Income]])+SUMIFS(Table4480[Amount],Table4480[Date],S29,Table4480[Category],"&lt;&gt;"&amp;Table13675[[#Headers],[Income]])</f>
        <v>0</v>
      </c>
      <c r="V29" s="28">
        <f t="shared" si="1"/>
        <v>1156.74</v>
      </c>
      <c r="W29" s="1">
        <f t="shared" si="2"/>
        <v>1156.7400000000005</v>
      </c>
    </row>
    <row r="30" spans="2:23" x14ac:dyDescent="0.2">
      <c r="B30" s="32"/>
      <c r="C30" s="26"/>
      <c r="D30" s="23"/>
      <c r="E30" s="23"/>
      <c r="F30" s="23"/>
      <c r="G30" s="32"/>
      <c r="H30" s="42"/>
      <c r="J30" s="11"/>
      <c r="K30" s="11"/>
      <c r="L30" s="11"/>
      <c r="M30" s="24"/>
      <c r="N30" s="12"/>
      <c r="O30" s="11"/>
      <c r="Q30" s="42"/>
      <c r="S30" s="27">
        <f t="shared" si="0"/>
        <v>41717</v>
      </c>
      <c r="T30" s="29">
        <f>SUMIFS(Table442081[Amount],Table442081[Date],S30,Table442081[Category],Table13675[[#Headers],[Income]])+SUMIFS(Table4480[Amount],Table4480[Date],S30,Table4480[Category],Table13675[[#Headers],[Income]])</f>
        <v>0</v>
      </c>
      <c r="U30" s="29">
        <f>SUMIFS(Table474[Amount],Table474[Date],S30,Table474[Category],"&lt;&gt;"&amp;Table13675[[#Headers],[Income]])+SUMIFS(Table4480[Amount],Table4480[Date],S30,Table4480[Category],"&lt;&gt;"&amp;Table13675[[#Headers],[Income]])</f>
        <v>0</v>
      </c>
      <c r="V30" s="29">
        <f t="shared" si="1"/>
        <v>1156.74</v>
      </c>
      <c r="W30" s="1">
        <f t="shared" si="2"/>
        <v>1156.7400000000005</v>
      </c>
    </row>
    <row r="31" spans="2:23" x14ac:dyDescent="0.2">
      <c r="B31" s="32"/>
      <c r="C31" s="37" t="str">
        <f>CONCATENATE(Table1373[[#Headers],[Transportation]]," - Budget &amp; Tracking")</f>
        <v>Transportation - Budget &amp; Tracking</v>
      </c>
      <c r="D31" s="38"/>
      <c r="E31" s="38"/>
      <c r="F31" s="39"/>
      <c r="G31" s="32"/>
      <c r="H31" s="42"/>
      <c r="J31" s="11"/>
      <c r="K31" s="11"/>
      <c r="L31" s="11"/>
      <c r="M31" s="24"/>
      <c r="N31" s="12"/>
      <c r="O31" s="11"/>
      <c r="Q31" s="42"/>
      <c r="S31" s="30">
        <f t="shared" si="0"/>
        <v>41718</v>
      </c>
      <c r="T31" s="28">
        <f>SUMIFS(Table442081[Amount],Table442081[Date],S31,Table442081[Category],Table13675[[#Headers],[Income]])+SUMIFS(Table4480[Amount],Table4480[Date],S31,Table4480[Category],Table13675[[#Headers],[Income]])</f>
        <v>0</v>
      </c>
      <c r="U31" s="28">
        <f>SUMIFS(Table474[Amount],Table474[Date],S31,Table474[Category],"&lt;&gt;"&amp;Table13675[[#Headers],[Income]])+SUMIFS(Table4480[Amount],Table4480[Date],S31,Table4480[Category],"&lt;&gt;"&amp;Table13675[[#Headers],[Income]])</f>
        <v>0</v>
      </c>
      <c r="V31" s="28">
        <f t="shared" si="1"/>
        <v>1156.74</v>
      </c>
      <c r="W31" s="1">
        <f t="shared" si="2"/>
        <v>1156.7400000000005</v>
      </c>
    </row>
    <row r="32" spans="2:23" x14ac:dyDescent="0.2">
      <c r="B32" s="32"/>
      <c r="C32" s="31" t="s">
        <v>12</v>
      </c>
      <c r="D32" s="31" t="s">
        <v>1</v>
      </c>
      <c r="E32" s="31" t="s">
        <v>2</v>
      </c>
      <c r="F32" s="31" t="s">
        <v>14</v>
      </c>
      <c r="G32" s="32"/>
      <c r="H32" s="42"/>
      <c r="J32" s="11"/>
      <c r="K32" s="11"/>
      <c r="L32" s="11"/>
      <c r="M32" s="24"/>
      <c r="N32" s="12"/>
      <c r="O32" s="11"/>
      <c r="Q32" s="42"/>
      <c r="S32" s="27">
        <f t="shared" si="0"/>
        <v>41719</v>
      </c>
      <c r="T32" s="29">
        <f>SUMIFS(Table442081[Amount],Table442081[Date],S32,Table442081[Category],Table13675[[#Headers],[Income]])+SUMIFS(Table4480[Amount],Table4480[Date],S32,Table4480[Category],Table13675[[#Headers],[Income]])</f>
        <v>0</v>
      </c>
      <c r="U32" s="29">
        <f>SUMIFS(Table474[Amount],Table474[Date],S32,Table474[Category],"&lt;&gt;"&amp;Table13675[[#Headers],[Income]])+SUMIFS(Table4480[Amount],Table4480[Date],S32,Table4480[Category],"&lt;&gt;"&amp;Table13675[[#Headers],[Income]])</f>
        <v>0</v>
      </c>
      <c r="V32" s="29">
        <f t="shared" si="1"/>
        <v>1156.74</v>
      </c>
      <c r="W32" s="1">
        <f t="shared" si="2"/>
        <v>1156.7400000000005</v>
      </c>
    </row>
    <row r="33" spans="2:23" x14ac:dyDescent="0.2">
      <c r="B33" s="32"/>
      <c r="D33" s="2"/>
      <c r="E33" s="2">
        <f>SUMIFS(Table474[Amount],Table474[Category],Table1373[[#Headers],[Transportation]],Table474[Sub-Category],Table1373[[#This Row],[Transportation]])+SUMIFS(Table4480[Amount],Table4480[Category],Table1373[[#Headers],[Transportation]],Table4480[Sub-Category],Table1373[[#This Row],[Transportation]])</f>
        <v>0</v>
      </c>
      <c r="F33" s="3">
        <f>Table1373[[#This Row],[Budget]]-Table1373[[#This Row],[Actual]]</f>
        <v>0</v>
      </c>
      <c r="G33" s="32"/>
      <c r="H33" s="42"/>
      <c r="J33" s="37" t="s">
        <v>44</v>
      </c>
      <c r="K33" s="38"/>
      <c r="L33" s="38"/>
      <c r="M33" s="38"/>
      <c r="N33" s="38"/>
      <c r="O33" s="39"/>
      <c r="Q33" s="42"/>
      <c r="S33" s="30">
        <f t="shared" si="0"/>
        <v>41720</v>
      </c>
      <c r="T33" s="28">
        <f>SUMIFS(Table442081[Amount],Table442081[Date],S33,Table442081[Category],Table13675[[#Headers],[Income]])+SUMIFS(Table4480[Amount],Table4480[Date],S33,Table4480[Category],Table13675[[#Headers],[Income]])</f>
        <v>0</v>
      </c>
      <c r="U33" s="28">
        <f>SUMIFS(Table474[Amount],Table474[Date],S33,Table474[Category],"&lt;&gt;"&amp;Table13675[[#Headers],[Income]])+SUMIFS(Table4480[Amount],Table4480[Date],S33,Table4480[Category],"&lt;&gt;"&amp;Table13675[[#Headers],[Income]])</f>
        <v>0</v>
      </c>
      <c r="V33" s="28">
        <f t="shared" si="1"/>
        <v>1156.74</v>
      </c>
      <c r="W33" s="1">
        <f t="shared" si="2"/>
        <v>1156.7400000000005</v>
      </c>
    </row>
    <row r="34" spans="2:23" x14ac:dyDescent="0.2">
      <c r="B34" s="32"/>
      <c r="D34" s="2"/>
      <c r="E34" s="2">
        <f>SUMIFS(Table474[Amount],Table474[Category],Table1373[[#Headers],[Transportation]],Table474[Sub-Category],Table1373[[#This Row],[Transportation]])+SUMIFS(Table4480[Amount],Table4480[Category],Table1373[[#Headers],[Transportation]],Table4480[Sub-Category],Table1373[[#This Row],[Transportation]])</f>
        <v>0</v>
      </c>
      <c r="F34" s="3">
        <f>Table1373[[#This Row],[Budget]]-Table1373[[#This Row],[Actual]]</f>
        <v>0</v>
      </c>
      <c r="G34" s="32"/>
      <c r="H34" s="42"/>
      <c r="J34" s="31" t="s">
        <v>9</v>
      </c>
      <c r="K34" s="31" t="s">
        <v>0</v>
      </c>
      <c r="L34" s="31" t="s">
        <v>13</v>
      </c>
      <c r="M34" s="31" t="s">
        <v>10</v>
      </c>
      <c r="N34" s="31" t="s">
        <v>11</v>
      </c>
      <c r="O34" s="31" t="s">
        <v>16</v>
      </c>
      <c r="Q34" s="42"/>
      <c r="S34" s="27">
        <f t="shared" si="0"/>
        <v>41721</v>
      </c>
      <c r="T34" s="29">
        <f>SUMIFS(Table442081[Amount],Table442081[Date],S34,Table442081[Category],Table13675[[#Headers],[Income]])+SUMIFS(Table4480[Amount],Table4480[Date],S34,Table4480[Category],Table13675[[#Headers],[Income]])</f>
        <v>0</v>
      </c>
      <c r="U34" s="29">
        <f>SUMIFS(Table474[Amount],Table474[Date],S34,Table474[Category],"&lt;&gt;"&amp;Table13675[[#Headers],[Income]])+SUMIFS(Table4480[Amount],Table4480[Date],S34,Table4480[Category],"&lt;&gt;"&amp;Table13675[[#Headers],[Income]])</f>
        <v>0</v>
      </c>
      <c r="V34" s="29">
        <f t="shared" si="1"/>
        <v>1156.74</v>
      </c>
      <c r="W34" s="1">
        <f t="shared" si="2"/>
        <v>1156.7400000000005</v>
      </c>
    </row>
    <row r="35" spans="2:23" x14ac:dyDescent="0.2">
      <c r="B35" s="32"/>
      <c r="C35" s="11"/>
      <c r="D35" s="12"/>
      <c r="E35" s="13">
        <f>SUMIFS(Table474[Amount],Table474[Category],Table1373[[#Headers],[Transportation]],Table474[Sub-Category],Table1373[[#This Row],[Transportation]])+SUMIFS(Table4480[Amount],Table4480[Category],Table1373[[#Headers],[Transportation]],Table4480[Sub-Category],Table1373[[#This Row],[Transportation]])</f>
        <v>0</v>
      </c>
      <c r="F35" s="13">
        <f>Table1373[[#This Row],[Budget]]-Table1373[[#This Row],[Actual]]</f>
        <v>0</v>
      </c>
      <c r="G35" s="32"/>
      <c r="H35" s="42"/>
      <c r="M35" s="4"/>
      <c r="N35" s="2"/>
      <c r="Q35" s="42"/>
      <c r="S35" s="30">
        <f t="shared" si="0"/>
        <v>41722</v>
      </c>
      <c r="T35" s="28">
        <f>SUMIFS(Table442081[Amount],Table442081[Date],S35,Table442081[Category],Table13675[[#Headers],[Income]])+SUMIFS(Table4480[Amount],Table4480[Date],S35,Table4480[Category],Table13675[[#Headers],[Income]])</f>
        <v>0</v>
      </c>
      <c r="U35" s="28">
        <f>SUMIFS(Table474[Amount],Table474[Date],S35,Table474[Category],"&lt;&gt;"&amp;Table13675[[#Headers],[Income]])+SUMIFS(Table4480[Amount],Table4480[Date],S35,Table4480[Category],"&lt;&gt;"&amp;Table13675[[#Headers],[Income]])</f>
        <v>0</v>
      </c>
      <c r="V35" s="28">
        <f t="shared" si="1"/>
        <v>1156.74</v>
      </c>
      <c r="W35" s="1">
        <f t="shared" si="2"/>
        <v>1156.7400000000005</v>
      </c>
    </row>
    <row r="36" spans="2:23" x14ac:dyDescent="0.2">
      <c r="B36" s="32"/>
      <c r="C36" s="11"/>
      <c r="D36" s="12"/>
      <c r="E36" s="13">
        <f>SUMIFS(Table474[Amount],Table474[Category],Table1373[[#Headers],[Transportation]],Table474[Sub-Category],Table1373[[#This Row],[Transportation]])+SUMIFS(Table4480[Amount],Table4480[Category],Table1373[[#Headers],[Transportation]],Table4480[Sub-Category],Table1373[[#This Row],[Transportation]])</f>
        <v>0</v>
      </c>
      <c r="F36" s="13">
        <f>Table1373[[#This Row],[Budget]]-Table1373[[#This Row],[Actual]]</f>
        <v>0</v>
      </c>
      <c r="G36" s="32"/>
      <c r="H36" s="42"/>
      <c r="M36" s="4"/>
      <c r="N36" s="2"/>
      <c r="Q36" s="42"/>
      <c r="S36" s="27">
        <f t="shared" si="0"/>
        <v>41723</v>
      </c>
      <c r="T36" s="29">
        <f>SUMIFS(Table442081[Amount],Table442081[Date],S36,Table442081[Category],Table13675[[#Headers],[Income]])+SUMIFS(Table4480[Amount],Table4480[Date],S36,Table4480[Category],Table13675[[#Headers],[Income]])</f>
        <v>0</v>
      </c>
      <c r="U36" s="29">
        <f>SUMIFS(Table474[Amount],Table474[Date],S36,Table474[Category],"&lt;&gt;"&amp;Table13675[[#Headers],[Income]])+SUMIFS(Table4480[Amount],Table4480[Date],S36,Table4480[Category],"&lt;&gt;"&amp;Table13675[[#Headers],[Income]])</f>
        <v>0</v>
      </c>
      <c r="V36" s="29">
        <f t="shared" si="1"/>
        <v>1156.74</v>
      </c>
      <c r="W36" s="1">
        <f t="shared" si="2"/>
        <v>1156.7400000000005</v>
      </c>
    </row>
    <row r="37" spans="2:23" x14ac:dyDescent="0.2">
      <c r="B37" s="32"/>
      <c r="C37" s="9" t="s">
        <v>20</v>
      </c>
      <c r="D37" s="10">
        <f>SUBTOTAL(109,Table1373[Budget])</f>
        <v>0</v>
      </c>
      <c r="E37" s="10">
        <f>SUBTOTAL(109,Table1373[Actual])</f>
        <v>0</v>
      </c>
      <c r="F37" s="10">
        <f>SUBTOTAL(109,Table1373[Variance])</f>
        <v>0</v>
      </c>
      <c r="G37" s="32"/>
      <c r="H37" s="42"/>
      <c r="M37" s="4"/>
      <c r="N37" s="2"/>
      <c r="Q37" s="42"/>
      <c r="S37" s="30">
        <f t="shared" si="0"/>
        <v>41724</v>
      </c>
      <c r="T37" s="28">
        <f>SUMIFS(Table442081[Amount],Table442081[Date],S37,Table442081[Category],Table13675[[#Headers],[Income]])+SUMIFS(Table4480[Amount],Table4480[Date],S37,Table4480[Category],Table13675[[#Headers],[Income]])</f>
        <v>0</v>
      </c>
      <c r="U37" s="28">
        <f>SUMIFS(Table474[Amount],Table474[Date],S37,Table474[Category],"&lt;&gt;"&amp;Table13675[[#Headers],[Income]])+SUMIFS(Table4480[Amount],Table4480[Date],S37,Table4480[Category],"&lt;&gt;"&amp;Table13675[[#Headers],[Income]])</f>
        <v>0</v>
      </c>
      <c r="V37" s="28">
        <f t="shared" si="1"/>
        <v>1156.74</v>
      </c>
      <c r="W37" s="1">
        <f t="shared" si="2"/>
        <v>1156.7400000000005</v>
      </c>
    </row>
    <row r="38" spans="2:23" x14ac:dyDescent="0.2">
      <c r="B38" s="32"/>
      <c r="C38" s="26"/>
      <c r="D38" s="23"/>
      <c r="E38" s="23"/>
      <c r="F38" s="23"/>
      <c r="G38" s="32"/>
      <c r="H38" s="42"/>
      <c r="J38" s="11"/>
      <c r="K38" s="11"/>
      <c r="L38" s="11"/>
      <c r="M38" s="24"/>
      <c r="N38" s="12"/>
      <c r="O38" s="11"/>
      <c r="Q38" s="42"/>
      <c r="S38" s="27">
        <f t="shared" si="0"/>
        <v>41725</v>
      </c>
      <c r="T38" s="29">
        <f>SUMIFS(Table442081[Amount],Table442081[Date],S38,Table442081[Category],Table13675[[#Headers],[Income]])+SUMIFS(Table4480[Amount],Table4480[Date],S38,Table4480[Category],Table13675[[#Headers],[Income]])</f>
        <v>0</v>
      </c>
      <c r="U38" s="29">
        <f>SUMIFS(Table474[Amount],Table474[Date],S38,Table474[Category],"&lt;&gt;"&amp;Table13675[[#Headers],[Income]])+SUMIFS(Table4480[Amount],Table4480[Date],S38,Table4480[Category],"&lt;&gt;"&amp;Table13675[[#Headers],[Income]])</f>
        <v>0</v>
      </c>
      <c r="V38" s="29">
        <f t="shared" si="1"/>
        <v>1156.74</v>
      </c>
      <c r="W38" s="1">
        <f t="shared" si="2"/>
        <v>1156.7400000000005</v>
      </c>
    </row>
    <row r="39" spans="2:23" x14ac:dyDescent="0.2">
      <c r="B39" s="32"/>
      <c r="C39" s="37" t="str">
        <f>CONCATENATE(Table1391079[[#Headers],[Bills]]," - Budget &amp; Tracking")</f>
        <v>Bills - Budget &amp; Tracking</v>
      </c>
      <c r="D39" s="38"/>
      <c r="E39" s="38"/>
      <c r="F39" s="39"/>
      <c r="G39" s="32"/>
      <c r="H39" s="42"/>
      <c r="J39" s="11"/>
      <c r="K39" s="11"/>
      <c r="L39" s="11"/>
      <c r="M39" s="24"/>
      <c r="N39" s="12"/>
      <c r="O39" s="11"/>
      <c r="Q39" s="42"/>
      <c r="S39" s="30">
        <f t="shared" si="0"/>
        <v>41726</v>
      </c>
      <c r="T39" s="28">
        <f>SUMIFS(Table442081[Amount],Table442081[Date],S39,Table442081[Category],Table13675[[#Headers],[Income]])+SUMIFS(Table4480[Amount],Table4480[Date],S39,Table4480[Category],Table13675[[#Headers],[Income]])</f>
        <v>0</v>
      </c>
      <c r="U39" s="28">
        <f>SUMIFS(Table474[Amount],Table474[Date],S39,Table474[Category],"&lt;&gt;"&amp;Table13675[[#Headers],[Income]])+SUMIFS(Table4480[Amount],Table4480[Date],S39,Table4480[Category],"&lt;&gt;"&amp;Table13675[[#Headers],[Income]])</f>
        <v>0</v>
      </c>
      <c r="V39" s="28">
        <f t="shared" si="1"/>
        <v>1156.74</v>
      </c>
      <c r="W39" s="1">
        <f t="shared" si="2"/>
        <v>1156.7400000000005</v>
      </c>
    </row>
    <row r="40" spans="2:23" x14ac:dyDescent="0.2">
      <c r="B40" s="32"/>
      <c r="C40" s="31" t="s">
        <v>30</v>
      </c>
      <c r="D40" s="31" t="s">
        <v>1</v>
      </c>
      <c r="E40" s="31" t="s">
        <v>2</v>
      </c>
      <c r="F40" s="31" t="s">
        <v>14</v>
      </c>
      <c r="G40" s="32"/>
      <c r="H40" s="42"/>
      <c r="J40" s="11"/>
      <c r="K40" s="11"/>
      <c r="L40" s="11"/>
      <c r="M40" s="24"/>
      <c r="N40" s="12"/>
      <c r="O40" s="11"/>
      <c r="Q40" s="42"/>
      <c r="S40" s="27">
        <f t="shared" si="0"/>
        <v>41727</v>
      </c>
      <c r="T40" s="29">
        <f>SUMIFS(Table442081[Amount],Table442081[Date],S40,Table442081[Category],Table13675[[#Headers],[Income]])+SUMIFS(Table4480[Amount],Table4480[Date],S40,Table4480[Category],Table13675[[#Headers],[Income]])</f>
        <v>0</v>
      </c>
      <c r="U40" s="29">
        <f>SUMIFS(Table474[Amount],Table474[Date],S40,Table474[Category],"&lt;&gt;"&amp;Table13675[[#Headers],[Income]])+SUMIFS(Table4480[Amount],Table4480[Date],S40,Table4480[Category],"&lt;&gt;"&amp;Table13675[[#Headers],[Income]])</f>
        <v>0</v>
      </c>
      <c r="V40" s="29">
        <f t="shared" si="1"/>
        <v>1156.74</v>
      </c>
      <c r="W40" s="1">
        <f t="shared" si="2"/>
        <v>1156.7400000000005</v>
      </c>
    </row>
    <row r="41" spans="2:23" x14ac:dyDescent="0.2">
      <c r="B41" s="32"/>
      <c r="D41" s="2"/>
      <c r="E41" s="2">
        <f>SUMIFS(Table474[Amount],Table474[Category],Table1391079[[#Headers],[Bills]],Table474[Sub-Category],Table1391079[[#This Row],[Bills]])+SUMIFS(Table4480[Amount],Table4480[Category],Table1391079[[#Headers],[Bills]],Table4480[Sub-Category],Table1391079[[#This Row],[Bills]])</f>
        <v>0</v>
      </c>
      <c r="F41" s="3">
        <f>Table1391079[[#This Row],[Budget]]-Table1391079[[#This Row],[Actual]]</f>
        <v>0</v>
      </c>
      <c r="G41" s="32"/>
      <c r="H41" s="42"/>
      <c r="Q41" s="42"/>
      <c r="S41" s="30">
        <f t="shared" si="0"/>
        <v>41728</v>
      </c>
      <c r="T41" s="28">
        <f>SUMIFS(Table442081[Amount],Table442081[Date],S41,Table442081[Category],Table13675[[#Headers],[Income]])+SUMIFS(Table4480[Amount],Table4480[Date],S41,Table4480[Category],Table13675[[#Headers],[Income]])</f>
        <v>0</v>
      </c>
      <c r="U41" s="28">
        <f>SUMIFS(Table474[Amount],Table474[Date],S41,Table474[Category],"&lt;&gt;"&amp;Table13675[[#Headers],[Income]])+SUMIFS(Table4480[Amount],Table4480[Date],S41,Table4480[Category],"&lt;&gt;"&amp;Table13675[[#Headers],[Income]])</f>
        <v>0</v>
      </c>
      <c r="V41" s="28">
        <f t="shared" si="1"/>
        <v>1156.74</v>
      </c>
      <c r="W41" s="1">
        <f t="shared" si="2"/>
        <v>1156.7400000000005</v>
      </c>
    </row>
    <row r="42" spans="2:23" x14ac:dyDescent="0.2">
      <c r="B42" s="32"/>
      <c r="D42" s="2"/>
      <c r="E42" s="2">
        <f>SUMIFS(Table474[Amount],Table474[Category],Table1391079[[#Headers],[Bills]],Table474[Sub-Category],Table1391079[[#This Row],[Bills]])+SUMIFS(Table4480[Amount],Table4480[Category],Table1391079[[#Headers],[Bills]],Table4480[Sub-Category],Table1391079[[#This Row],[Bills]])</f>
        <v>0</v>
      </c>
      <c r="F42" s="3">
        <f>Table1391079[[#This Row],[Budget]]-Table1391079[[#This Row],[Actual]]</f>
        <v>0</v>
      </c>
      <c r="G42" s="32"/>
      <c r="H42" s="42"/>
      <c r="Q42" s="42"/>
      <c r="S42" s="27">
        <f t="shared" si="0"/>
        <v>41729</v>
      </c>
      <c r="T42" s="29">
        <f>SUMIFS(Table442081[Amount],Table442081[Date],S42,Table442081[Category],Table13675[[#Headers],[Income]])+SUMIFS(Table4480[Amount],Table4480[Date],S42,Table4480[Category],Table13675[[#Headers],[Income]])</f>
        <v>0</v>
      </c>
      <c r="U42" s="29">
        <f>SUMIFS(Table474[Amount],Table474[Date],S42,Table474[Category],"&lt;&gt;"&amp;Table13675[[#Headers],[Income]])+SUMIFS(Table4480[Amount],Table4480[Date],S42,Table4480[Category],"&lt;&gt;"&amp;Table13675[[#Headers],[Income]])</f>
        <v>0</v>
      </c>
      <c r="V42" s="29">
        <f t="shared" si="1"/>
        <v>1156.74</v>
      </c>
      <c r="W42" s="1">
        <f t="shared" si="2"/>
        <v>1156.7400000000005</v>
      </c>
    </row>
    <row r="43" spans="2:23" x14ac:dyDescent="0.2">
      <c r="B43" s="32"/>
      <c r="C43" s="11"/>
      <c r="D43" s="12"/>
      <c r="E43" s="13">
        <f>SUMIFS(Table474[Amount],Table474[Category],Table1391079[[#Headers],[Bills]],Table474[Sub-Category],Table1391079[[#This Row],[Bills]])+SUMIFS(Table4480[Amount],Table4480[Category],Table1391079[[#Headers],[Bills]],Table4480[Sub-Category],Table1391079[[#This Row],[Bills]])</f>
        <v>0</v>
      </c>
      <c r="F43" s="13">
        <f>Table1391079[[#This Row],[Budget]]-Table1391079[[#This Row],[Actual]]</f>
        <v>0</v>
      </c>
      <c r="G43" s="32"/>
      <c r="H43" s="42"/>
      <c r="Q43" s="42"/>
      <c r="S43" s="8"/>
    </row>
    <row r="44" spans="2:23" x14ac:dyDescent="0.2">
      <c r="B44" s="32"/>
      <c r="C44" s="11"/>
      <c r="D44" s="12"/>
      <c r="E44" s="13">
        <f>SUMIFS(Table474[Amount],Table474[Category],Table1391079[[#Headers],[Bills]],Table474[Sub-Category],Table1391079[[#This Row],[Bills]])+SUMIFS(Table4480[Amount],Table4480[Category],Table1391079[[#Headers],[Bills]],Table4480[Sub-Category],Table1391079[[#This Row],[Bills]])</f>
        <v>0</v>
      </c>
      <c r="F44" s="13">
        <f>Table1391079[[#This Row],[Budget]]-Table1391079[[#This Row],[Actual]]</f>
        <v>0</v>
      </c>
      <c r="G44" s="32"/>
      <c r="H44" s="42"/>
      <c r="Q44" s="42"/>
      <c r="S44" s="8"/>
    </row>
    <row r="45" spans="2:23" x14ac:dyDescent="0.2">
      <c r="B45" s="32"/>
      <c r="C45" s="11"/>
      <c r="D45" s="12"/>
      <c r="E45" s="13">
        <f>SUMIFS(Table474[Amount],Table474[Category],Table1391079[[#Headers],[Bills]],Table474[Sub-Category],Table1391079[[#This Row],[Bills]])+SUMIFS(Table4480[Amount],Table4480[Category],Table1391079[[#Headers],[Bills]],Table4480[Sub-Category],Table1391079[[#This Row],[Bills]])</f>
        <v>0</v>
      </c>
      <c r="F45" s="13">
        <f>Table1391079[[#This Row],[Budget]]-Table1391079[[#This Row],[Actual]]</f>
        <v>0</v>
      </c>
      <c r="G45" s="32"/>
      <c r="H45" s="42"/>
      <c r="Q45" s="42"/>
    </row>
    <row r="46" spans="2:23" x14ac:dyDescent="0.2">
      <c r="B46" s="32"/>
      <c r="C46" s="9" t="s">
        <v>20</v>
      </c>
      <c r="D46" s="10">
        <f>SUBTOTAL(109,Table1391079[Budget])</f>
        <v>0</v>
      </c>
      <c r="E46" s="10">
        <f>SUBTOTAL(109,Table1391079[Actual])</f>
        <v>0</v>
      </c>
      <c r="F46" s="10">
        <f>SUBTOTAL(109,Table1391079[Variance])</f>
        <v>0</v>
      </c>
      <c r="G46" s="32"/>
      <c r="H46" s="42"/>
      <c r="Q46" s="42"/>
    </row>
    <row r="47" spans="2:23" x14ac:dyDescent="0.2">
      <c r="B47" s="32"/>
      <c r="C47" s="20"/>
      <c r="D47" s="21"/>
      <c r="E47" s="21"/>
      <c r="F47" s="22"/>
      <c r="G47" s="32"/>
      <c r="H47" s="42"/>
      <c r="Q47" s="42"/>
    </row>
    <row r="48" spans="2:23" x14ac:dyDescent="0.2">
      <c r="B48" s="32"/>
      <c r="C48" s="37" t="str">
        <f>CONCATENATE(Table13776[[#Headers],[Living]]," - Budget &amp; Tracking")</f>
        <v>Living - Budget &amp; Tracking</v>
      </c>
      <c r="D48" s="38"/>
      <c r="E48" s="38"/>
      <c r="F48" s="39"/>
      <c r="G48" s="32"/>
      <c r="H48" s="42"/>
      <c r="Q48" s="42"/>
    </row>
    <row r="49" spans="2:17" x14ac:dyDescent="0.2">
      <c r="B49" s="32"/>
      <c r="C49" s="31" t="s">
        <v>25</v>
      </c>
      <c r="D49" s="31" t="s">
        <v>1</v>
      </c>
      <c r="E49" s="31" t="s">
        <v>2</v>
      </c>
      <c r="F49" s="31" t="s">
        <v>14</v>
      </c>
      <c r="G49" s="32"/>
      <c r="H49" s="42"/>
      <c r="Q49" s="42"/>
    </row>
    <row r="50" spans="2:17" x14ac:dyDescent="0.2">
      <c r="B50" s="32"/>
      <c r="D50" s="2"/>
      <c r="E50" s="2">
        <f>SUMIFS(Table474[Amount],Table474[Category],Table13776[[#Headers],[Living]],Table474[Sub-Category],Table13776[[#This Row],[Living]])+SUMIFS(Table4480[Amount],Table4480[Category],Table13776[[#Headers],[Living]],Table4480[Sub-Category],Table13776[[#This Row],[Living]])</f>
        <v>0</v>
      </c>
      <c r="F50" s="3">
        <f>Table13776[[#This Row],[Budget]]-Table13776[[#This Row],[Actual]]</f>
        <v>0</v>
      </c>
      <c r="G50" s="32"/>
      <c r="H50" s="42"/>
      <c r="Q50" s="42"/>
    </row>
    <row r="51" spans="2:17" x14ac:dyDescent="0.2">
      <c r="B51" s="32"/>
      <c r="D51" s="2"/>
      <c r="E51" s="2">
        <f>SUMIFS(Table474[Amount],Table474[Category],Table13776[[#Headers],[Living]],Table474[Sub-Category],Table13776[[#This Row],[Living]])+SUMIFS(Table4480[Amount],Table4480[Category],Table13776[[#Headers],[Living]],Table4480[Sub-Category],Table13776[[#This Row],[Living]])</f>
        <v>0</v>
      </c>
      <c r="F51" s="3">
        <f>Table13776[[#This Row],[Budget]]-Table13776[[#This Row],[Actual]]</f>
        <v>0</v>
      </c>
      <c r="G51" s="32"/>
      <c r="H51" s="42"/>
      <c r="Q51" s="42"/>
    </row>
    <row r="52" spans="2:17" x14ac:dyDescent="0.2">
      <c r="B52" s="32"/>
      <c r="C52" s="11"/>
      <c r="D52" s="12"/>
      <c r="E52" s="13">
        <f>SUMIFS(Table474[Amount],Table474[Category],Table13776[[#Headers],[Living]],Table474[Sub-Category],Table13776[[#This Row],[Living]])+SUMIFS(Table4480[Amount],Table4480[Category],Table13776[[#Headers],[Living]],Table4480[Sub-Category],Table13776[[#This Row],[Living]])</f>
        <v>0</v>
      </c>
      <c r="F52" s="13">
        <f>Table13776[[#This Row],[Budget]]-Table13776[[#This Row],[Actual]]</f>
        <v>0</v>
      </c>
      <c r="G52" s="32"/>
      <c r="H52" s="42"/>
      <c r="Q52" s="42"/>
    </row>
    <row r="53" spans="2:17" x14ac:dyDescent="0.2">
      <c r="B53" s="32"/>
      <c r="C53" s="11"/>
      <c r="D53" s="12"/>
      <c r="E53" s="13">
        <f>SUMIFS(Table474[Amount],Table474[Category],Table13776[[#Headers],[Living]],Table474[Sub-Category],Table13776[[#This Row],[Living]])+SUMIFS(Table4480[Amount],Table4480[Category],Table13776[[#Headers],[Living]],Table4480[Sub-Category],Table13776[[#This Row],[Living]])</f>
        <v>0</v>
      </c>
      <c r="F53" s="13">
        <f>Table13776[[#This Row],[Budget]]-Table13776[[#This Row],[Actual]]</f>
        <v>0</v>
      </c>
      <c r="G53" s="32"/>
      <c r="H53" s="42"/>
      <c r="Q53" s="42"/>
    </row>
    <row r="54" spans="2:17" x14ac:dyDescent="0.2">
      <c r="B54" s="32"/>
      <c r="C54" s="9" t="s">
        <v>20</v>
      </c>
      <c r="D54" s="10">
        <f>SUBTOTAL(109,Table13776[Budget])</f>
        <v>0</v>
      </c>
      <c r="E54" s="10">
        <f>SUBTOTAL(109,Table13776[Actual])</f>
        <v>0</v>
      </c>
      <c r="F54" s="10">
        <f>SUBTOTAL(109,Table13776[Variance])</f>
        <v>0</v>
      </c>
      <c r="G54" s="32"/>
      <c r="H54" s="42"/>
      <c r="Q54" s="42"/>
    </row>
    <row r="55" spans="2:17" x14ac:dyDescent="0.2">
      <c r="B55" s="32"/>
      <c r="C55" s="20"/>
      <c r="D55" s="21"/>
      <c r="E55" s="21"/>
      <c r="F55" s="22"/>
      <c r="G55" s="32"/>
      <c r="H55" s="42"/>
      <c r="Q55" s="42"/>
    </row>
    <row r="56" spans="2:17" x14ac:dyDescent="0.2">
      <c r="B56" s="32"/>
      <c r="C56" s="37" t="str">
        <f>CONCATENATE(Table13877[[#Headers],[Entertainment]]," - Budget &amp; Tracking")</f>
        <v>Entertainment - Budget &amp; Tracking</v>
      </c>
      <c r="D56" s="38"/>
      <c r="E56" s="38"/>
      <c r="F56" s="39"/>
      <c r="G56" s="32"/>
      <c r="H56" s="42"/>
      <c r="Q56" s="42"/>
    </row>
    <row r="57" spans="2:17" x14ac:dyDescent="0.2">
      <c r="B57" s="32"/>
      <c r="C57" s="31" t="s">
        <v>24</v>
      </c>
      <c r="D57" s="31" t="s">
        <v>1</v>
      </c>
      <c r="E57" s="31" t="s">
        <v>2</v>
      </c>
      <c r="F57" s="31" t="s">
        <v>14</v>
      </c>
      <c r="G57" s="32"/>
      <c r="H57" s="42"/>
      <c r="Q57" s="42"/>
    </row>
    <row r="58" spans="2:17" x14ac:dyDescent="0.2">
      <c r="B58" s="32"/>
      <c r="D58" s="2"/>
      <c r="E58" s="2">
        <f>SUMIFS(Table474[Amount],Table474[Category],Table13877[[#Headers],[Entertainment]],Table474[Sub-Category],Table13877[[#This Row],[Entertainment]])+SUMIFS(Table4480[Amount],Table4480[Category],Table13877[[#Headers],[Entertainment]],Table4480[Sub-Category],Table13877[[#This Row],[Entertainment]])</f>
        <v>0</v>
      </c>
      <c r="F58" s="3">
        <f>Table13877[[#This Row],[Budget]]-Table13877[[#This Row],[Actual]]</f>
        <v>0</v>
      </c>
      <c r="G58" s="32"/>
      <c r="H58" s="42"/>
      <c r="Q58" s="42"/>
    </row>
    <row r="59" spans="2:17" x14ac:dyDescent="0.2">
      <c r="B59" s="33"/>
      <c r="D59" s="2"/>
      <c r="E59" s="2">
        <f>SUMIFS(Table474[Amount],Table474[Category],Table13877[[#Headers],[Entertainment]],Table474[Sub-Category],Table13877[[#This Row],[Entertainment]])+SUMIFS(Table4480[Amount],Table4480[Category],Table13877[[#Headers],[Entertainment]],Table4480[Sub-Category],Table13877[[#This Row],[Entertainment]])</f>
        <v>0</v>
      </c>
      <c r="F59" s="3">
        <f>Table13877[[#This Row],[Budget]]-Table13877[[#This Row],[Actual]]</f>
        <v>0</v>
      </c>
      <c r="G59" s="33"/>
      <c r="H59" s="42"/>
      <c r="Q59" s="42"/>
    </row>
    <row r="60" spans="2:17" x14ac:dyDescent="0.2">
      <c r="C60" s="9" t="s">
        <v>20</v>
      </c>
      <c r="D60" s="10">
        <f>SUBTOTAL(109,Table13877[Budget])</f>
        <v>0</v>
      </c>
      <c r="E60" s="10">
        <f>SUBTOTAL(109,Table13877[Actual])</f>
        <v>0</v>
      </c>
      <c r="F60" s="10">
        <f>SUBTOTAL(109,Table13877[Variance])</f>
        <v>0</v>
      </c>
      <c r="H60" s="42"/>
      <c r="Q60" s="42"/>
    </row>
    <row r="61" spans="2:17" x14ac:dyDescent="0.2">
      <c r="C61" s="26"/>
      <c r="D61" s="23"/>
      <c r="E61" s="23"/>
      <c r="F61" s="23"/>
      <c r="H61" s="42"/>
      <c r="Q61" s="42"/>
    </row>
    <row r="62" spans="2:17" x14ac:dyDescent="0.2">
      <c r="C62" s="37" t="str">
        <f>CONCATENATE(Table13978[[#Headers],[Misc.]]," - Budget &amp; Tracking")</f>
        <v>Misc. - Budget &amp; Tracking</v>
      </c>
      <c r="D62" s="38"/>
      <c r="E62" s="38"/>
      <c r="F62" s="39"/>
      <c r="H62" s="42"/>
      <c r="Q62" s="42"/>
    </row>
    <row r="63" spans="2:17" x14ac:dyDescent="0.2">
      <c r="C63" s="31" t="s">
        <v>27</v>
      </c>
      <c r="D63" s="31" t="s">
        <v>1</v>
      </c>
      <c r="E63" s="31" t="s">
        <v>2</v>
      </c>
      <c r="F63" s="31" t="s">
        <v>14</v>
      </c>
      <c r="H63" s="42"/>
      <c r="Q63" s="42"/>
    </row>
    <row r="64" spans="2:17" x14ac:dyDescent="0.2">
      <c r="C64" s="11"/>
      <c r="D64" s="12"/>
      <c r="E64" s="13">
        <f>SUMIFS(Table474[Amount],Table474[Category],Table13978[[#Headers],[Misc.]],Table474[Sub-Category],Table13978[[#This Row],[Misc.]])+SUMIFS(Table4480[Amount],Table4480[Category],Table13978[[#Headers],[Misc.]],Table4480[Sub-Category],Table13978[[#This Row],[Misc.]])</f>
        <v>0</v>
      </c>
      <c r="F64" s="13">
        <f>Table13978[[#This Row],[Budget]]-Table13978[[#This Row],[Actual]]</f>
        <v>0</v>
      </c>
      <c r="H64" s="42"/>
      <c r="Q64" s="42"/>
    </row>
    <row r="65" spans="3:17" x14ac:dyDescent="0.2">
      <c r="C65" s="11"/>
      <c r="D65" s="12"/>
      <c r="E65" s="13">
        <f>SUMIFS(Table474[Amount],Table474[Category],Table13978[[#Headers],[Misc.]],Table474[Sub-Category],Table13978[[#This Row],[Misc.]])+SUMIFS(Table4480[Amount],Table4480[Category],Table13978[[#Headers],[Misc.]],Table4480[Sub-Category],Table13978[[#This Row],[Misc.]])</f>
        <v>0</v>
      </c>
      <c r="F65" s="13">
        <f>Table13978[[#This Row],[Budget]]-Table13978[[#This Row],[Actual]]</f>
        <v>0</v>
      </c>
      <c r="H65" s="42"/>
      <c r="Q65" s="42"/>
    </row>
    <row r="66" spans="3:17" x14ac:dyDescent="0.2">
      <c r="C66" s="9" t="s">
        <v>20</v>
      </c>
      <c r="D66" s="10">
        <f>SUBTOTAL(109,Table13978[Budget])</f>
        <v>0</v>
      </c>
      <c r="E66" s="10">
        <f>SUBTOTAL(109,Table13978[Actual])</f>
        <v>0</v>
      </c>
      <c r="F66" s="10">
        <f>SUBTOTAL(109,Table13978[Variance])</f>
        <v>0</v>
      </c>
      <c r="H66" s="42"/>
      <c r="Q66" s="42"/>
    </row>
    <row r="67" spans="3:17" x14ac:dyDescent="0.2">
      <c r="C67" s="26"/>
      <c r="D67" s="23"/>
      <c r="E67" s="23"/>
      <c r="F67" s="23"/>
    </row>
    <row r="68" spans="3:17" x14ac:dyDescent="0.2">
      <c r="C68" s="33"/>
      <c r="D68" s="34"/>
      <c r="E68" s="34"/>
      <c r="F68" s="34"/>
    </row>
  </sheetData>
  <mergeCells count="1">
    <mergeCell ref="C1:F1"/>
  </mergeCells>
  <conditionalFormatting sqref="F33:F36">
    <cfRule type="iconSet" priority="23">
      <iconSet iconSet="3Symbols">
        <cfvo type="percent" val="0"/>
        <cfvo type="num" val="0"/>
        <cfvo type="num" val="10"/>
      </iconSet>
    </cfRule>
  </conditionalFormatting>
  <conditionalFormatting sqref="F50:F53">
    <cfRule type="iconSet" priority="21">
      <iconSet iconSet="3Symbols">
        <cfvo type="percent" val="0"/>
        <cfvo type="num" val="0"/>
        <cfvo type="num" val="10"/>
      </iconSet>
    </cfRule>
  </conditionalFormatting>
  <conditionalFormatting sqref="F58:F59">
    <cfRule type="iconSet" priority="20">
      <iconSet iconSet="3Symbols">
        <cfvo type="percent" val="0"/>
        <cfvo type="num" val="0"/>
        <cfvo type="num" val="10"/>
      </iconSet>
    </cfRule>
  </conditionalFormatting>
  <conditionalFormatting sqref="F41:F45">
    <cfRule type="iconSet" priority="19">
      <iconSet iconSet="3Symbols">
        <cfvo type="percent" val="0"/>
        <cfvo type="num" val="0"/>
        <cfvo type="num" val="10"/>
      </iconSet>
    </cfRule>
  </conditionalFormatting>
  <conditionalFormatting sqref="D6:E6">
    <cfRule type="iconSet" priority="18">
      <iconSet iconSet="3Symbols">
        <cfvo type="percent" val="0"/>
        <cfvo type="num" val="0" gte="0"/>
        <cfvo type="num" val="10"/>
      </iconSet>
    </cfRule>
  </conditionalFormatting>
  <conditionalFormatting sqref="F3:F6">
    <cfRule type="iconSet" priority="17">
      <iconSet iconSet="3Arrows">
        <cfvo type="percent" val="0"/>
        <cfvo type="num" val="-50"/>
        <cfvo type="num" val="0" gte="0"/>
      </iconSet>
    </cfRule>
  </conditionalFormatting>
  <conditionalFormatting sqref="F20:F28">
    <cfRule type="iconSet" priority="24">
      <iconSet iconSet="3Symbols">
        <cfvo type="percent" val="0"/>
        <cfvo type="num" val="0"/>
        <cfvo type="num" val="10"/>
      </iconSet>
    </cfRule>
  </conditionalFormatting>
  <conditionalFormatting sqref="S12">
    <cfRule type="cellIs" dxfId="95" priority="16" operator="equal">
      <formula>TODAY()</formula>
    </cfRule>
  </conditionalFormatting>
  <conditionalFormatting sqref="T12 T20:U42">
    <cfRule type="expression" dxfId="94" priority="15">
      <formula>IF($S12=TODAY(),TRUE)</formula>
    </cfRule>
  </conditionalFormatting>
  <conditionalFormatting sqref="U12">
    <cfRule type="expression" dxfId="93" priority="14">
      <formula>IF($S12=TODAY(),TRUE)</formula>
    </cfRule>
  </conditionalFormatting>
  <conditionalFormatting sqref="V12 V20:V42">
    <cfRule type="expression" dxfId="92" priority="13">
      <formula>IF($S12=TODAY(),TRUE)</formula>
    </cfRule>
  </conditionalFormatting>
  <conditionalFormatting sqref="S13:S15">
    <cfRule type="cellIs" dxfId="91" priority="12" operator="equal">
      <formula>TODAY()</formula>
    </cfRule>
  </conditionalFormatting>
  <conditionalFormatting sqref="T13:T15">
    <cfRule type="expression" dxfId="90" priority="11">
      <formula>IF($S13=TODAY(),TRUE)</formula>
    </cfRule>
  </conditionalFormatting>
  <conditionalFormatting sqref="U13:U15">
    <cfRule type="expression" dxfId="89" priority="10">
      <formula>IF($S13=TODAY(),TRUE)</formula>
    </cfRule>
  </conditionalFormatting>
  <conditionalFormatting sqref="V13:V15">
    <cfRule type="expression" dxfId="88" priority="9">
      <formula>IF($S13=TODAY(),TRUE)</formula>
    </cfRule>
  </conditionalFormatting>
  <conditionalFormatting sqref="S16 S20 S24 S28 S32 S36 S40">
    <cfRule type="cellIs" dxfId="87" priority="8" operator="equal">
      <formula>TODAY()</formula>
    </cfRule>
  </conditionalFormatting>
  <conditionalFormatting sqref="T16">
    <cfRule type="expression" dxfId="86" priority="7">
      <formula>IF($S16=TODAY(),TRUE)</formula>
    </cfRule>
  </conditionalFormatting>
  <conditionalFormatting sqref="U16">
    <cfRule type="expression" dxfId="85" priority="6">
      <formula>IF($S16=TODAY(),TRUE)</formula>
    </cfRule>
  </conditionalFormatting>
  <conditionalFormatting sqref="V16">
    <cfRule type="expression" dxfId="84" priority="5">
      <formula>IF($S16=TODAY(),TRUE)</formula>
    </cfRule>
  </conditionalFormatting>
  <conditionalFormatting sqref="S17:S19 S21:S23 S25:S27 S29:S31 S33:S35 S37:S39 S41:S42">
    <cfRule type="cellIs" dxfId="83" priority="4" operator="equal">
      <formula>TODAY()</formula>
    </cfRule>
  </conditionalFormatting>
  <conditionalFormatting sqref="T17:T19">
    <cfRule type="expression" dxfId="82" priority="3">
      <formula>IF($S17=TODAY(),TRUE)</formula>
    </cfRule>
  </conditionalFormatting>
  <conditionalFormatting sqref="U17:U19">
    <cfRule type="expression" dxfId="81" priority="2">
      <formula>IF($S17=TODAY(),TRUE)</formula>
    </cfRule>
  </conditionalFormatting>
  <conditionalFormatting sqref="V17:V19">
    <cfRule type="expression" dxfId="80" priority="1">
      <formula>IF($S17=TODAY(),TRUE)</formula>
    </cfRule>
  </conditionalFormatting>
  <conditionalFormatting sqref="F66:F68">
    <cfRule type="iconSet" priority="25">
      <iconSet iconSet="3Symbols">
        <cfvo type="percent" val="0"/>
        <cfvo type="num" val="0" gte="0"/>
        <cfvo type="num" val="10"/>
      </iconSet>
    </cfRule>
  </conditionalFormatting>
  <conditionalFormatting sqref="F60:F61">
    <cfRule type="iconSet" priority="26">
      <iconSet iconSet="3Symbols">
        <cfvo type="percent" val="0"/>
        <cfvo type="num" val="0" gte="0"/>
        <cfvo type="num" val="10"/>
      </iconSet>
    </cfRule>
  </conditionalFormatting>
  <conditionalFormatting sqref="F54:F55">
    <cfRule type="iconSet" priority="27">
      <iconSet iconSet="3Symbols">
        <cfvo type="percent" val="0"/>
        <cfvo type="num" val="0" gte="0"/>
        <cfvo type="num" val="10" gte="0"/>
      </iconSet>
    </cfRule>
  </conditionalFormatting>
  <conditionalFormatting sqref="F46:F47">
    <cfRule type="iconSet" priority="28">
      <iconSet iconSet="3Symbols">
        <cfvo type="percent" val="0"/>
        <cfvo type="num" val="0" gte="0"/>
        <cfvo type="num" val="10"/>
      </iconSet>
    </cfRule>
  </conditionalFormatting>
  <conditionalFormatting sqref="F37:F38">
    <cfRule type="iconSet" priority="29">
      <iconSet iconSet="3Symbols">
        <cfvo type="percent" val="0"/>
        <cfvo type="num" val="0" gte="0"/>
        <cfvo type="num" val="10"/>
      </iconSet>
    </cfRule>
  </conditionalFormatting>
  <conditionalFormatting sqref="F29:F30">
    <cfRule type="iconSet" priority="30">
      <iconSet iconSet="3Symbols">
        <cfvo type="percent" val="0"/>
        <cfvo type="num" val="0" gte="0"/>
        <cfvo type="num" val="10"/>
      </iconSet>
    </cfRule>
  </conditionalFormatting>
  <conditionalFormatting sqref="F64:F65">
    <cfRule type="iconSet" priority="32">
      <iconSet iconSet="3Symbols">
        <cfvo type="percent" val="0"/>
        <cfvo type="num" val="0"/>
        <cfvo type="num" val="10"/>
      </iconSet>
    </cfRule>
  </conditionalFormatting>
  <dataValidations count="3">
    <dataValidation type="list" allowBlank="1" showInputMessage="1" showErrorMessage="1" sqref="O35:O40 O19:O32 O12:O16">
      <formula1>$U$2:$U$4</formula1>
    </dataValidation>
    <dataValidation type="list" allowBlank="1" showInputMessage="1" showErrorMessage="1" sqref="K35:K40 K19:K32 K12:K16">
      <formula1>$R$2:$R$8</formula1>
    </dataValidation>
    <dataValidation type="list" allowBlank="1" showInputMessage="1" showErrorMessage="1" sqref="L35:L40 L12:L16 L19:L32">
      <formula1>INDIRECT(K12)</formula1>
    </dataValidation>
  </dataValidations>
  <printOptions horizontalCentered="1"/>
  <pageMargins left="0.2" right="0.2" top="0.25" bottom="0.25" header="0.3" footer="0.3"/>
  <pageSetup scale="76" orientation="landscape" r:id="rId1"/>
  <drawing r:id="rId2"/>
  <tableParts count="10">
    <tablePart r:id="rId3"/>
    <tablePart r:id="rId4"/>
    <tablePart r:id="rId5"/>
    <tablePart r:id="rId6"/>
    <tablePart r:id="rId7"/>
    <tablePart r:id="rId8"/>
    <tablePart r:id="rId9"/>
    <tablePart r:id="rId10"/>
    <tablePart r:id="rId11"/>
    <tablePart r:id="rId12"/>
  </tableParts>
  <extLst>
    <ext xmlns:x14="http://schemas.microsoft.com/office/spreadsheetml/2009/9/main" uri="{78C0D931-6437-407d-A8EE-F0AAD7539E65}">
      <x14:conditionalFormattings>
        <x14:conditionalFormatting xmlns:xm="http://schemas.microsoft.com/office/excel/2006/main">
          <x14:cfRule type="iconSet" priority="22" id="{D0CF2B81-520D-4B48-8F71-50D736082297}">
            <x14:iconSet iconSet="3Symbols" custom="1">
              <x14:cfvo type="percent">
                <xm:f>0</xm:f>
              </x14:cfvo>
              <x14:cfvo type="num">
                <xm:f>0</xm:f>
              </x14:cfvo>
              <x14:cfvo type="num">
                <xm:f>10</xm:f>
              </x14:cfvo>
              <x14:cfIcon iconSet="3Symbols" iconId="0"/>
              <x14:cfIcon iconSet="3Symbols" iconId="1"/>
              <x14:cfIcon iconSet="3Symbols" iconId="2"/>
            </x14:iconSet>
          </x14:cfRule>
          <xm:sqref>F12:F15</xm:sqref>
        </x14:conditionalFormatting>
        <x14:conditionalFormatting xmlns:xm="http://schemas.microsoft.com/office/excel/2006/main">
          <x14:cfRule type="iconSet" priority="31" id="{B489FCBD-140F-4D5D-A72C-752871556067}">
            <x14:iconSet iconSet="3Symbols" custom="1">
              <x14:cfvo type="percent">
                <xm:f>0</xm:f>
              </x14:cfvo>
              <x14:cfvo type="num" gte="0">
                <xm:f>0</xm:f>
              </x14:cfvo>
              <x14:cfvo type="num">
                <xm:f>10</xm:f>
              </x14:cfvo>
              <x14:cfIcon iconSet="3Symbols" iconId="0"/>
              <x14:cfIcon iconSet="3Symbols" iconId="1"/>
              <x14:cfIcon iconSet="3Symbols" iconId="2"/>
            </x14:iconSet>
          </x14:cfRule>
          <xm:sqref>F16:F17</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8"/>
  <sheetViews>
    <sheetView showGridLines="0" zoomScaleNormal="100" workbookViewId="0">
      <selection activeCell="C1" sqref="C1:F1"/>
    </sheetView>
  </sheetViews>
  <sheetFormatPr defaultColWidth="0" defaultRowHeight="12" x14ac:dyDescent="0.2"/>
  <cols>
    <col min="1" max="2" width="0.7109375" style="1" customWidth="1"/>
    <col min="3" max="3" width="15" style="1" bestFit="1" customWidth="1"/>
    <col min="4" max="6" width="12.85546875" style="1" customWidth="1"/>
    <col min="7" max="7" width="0.85546875" style="1" customWidth="1"/>
    <col min="8" max="8" width="0.28515625" style="1" customWidth="1"/>
    <col min="9" max="9" width="0.85546875" style="1" customWidth="1"/>
    <col min="10" max="10" width="24.42578125" style="1" bestFit="1" customWidth="1"/>
    <col min="11" max="11" width="12.140625" style="1" bestFit="1" customWidth="1"/>
    <col min="12" max="12" width="14.140625" style="1" bestFit="1" customWidth="1"/>
    <col min="13" max="13" width="8.5703125" style="1" bestFit="1" customWidth="1"/>
    <col min="14" max="14" width="9.7109375" style="1" bestFit="1" customWidth="1"/>
    <col min="15" max="15" width="8.28515625" style="1" bestFit="1" customWidth="1"/>
    <col min="16" max="16" width="0.85546875" style="1" customWidth="1"/>
    <col min="17" max="17" width="0.28515625" style="1" customWidth="1"/>
    <col min="18" max="18" width="0.85546875" style="1" customWidth="1"/>
    <col min="19" max="19" width="10.28515625" style="1" bestFit="1" customWidth="1"/>
    <col min="20" max="22" width="9.5703125" style="1" customWidth="1"/>
    <col min="23" max="23" width="0.7109375" style="1" customWidth="1"/>
    <col min="24" max="24" width="0.7109375" style="1" hidden="1" customWidth="1"/>
    <col min="25" max="25" width="12.140625" style="1" hidden="1" customWidth="1"/>
    <col min="26" max="27" width="4" style="1" hidden="1" customWidth="1"/>
    <col min="28" max="16384" width="9.140625" style="1" hidden="1"/>
  </cols>
  <sheetData>
    <row r="1" spans="2:23" ht="26.25" x14ac:dyDescent="0.4">
      <c r="C1" s="61">
        <f>DATE(YEAR(Mo.7!C1),MONTH(Mo.7!C1)+1,DAY(Mo.7!C1))</f>
        <v>41730</v>
      </c>
      <c r="D1" s="61"/>
      <c r="E1" s="61"/>
      <c r="F1" s="61"/>
      <c r="R1" s="45" t="s">
        <v>0</v>
      </c>
      <c r="S1" s="45" t="s">
        <v>1</v>
      </c>
      <c r="T1" s="45" t="s">
        <v>2</v>
      </c>
      <c r="U1" s="45" t="s">
        <v>16</v>
      </c>
      <c r="V1" s="45" t="s">
        <v>45</v>
      </c>
    </row>
    <row r="2" spans="2:23" x14ac:dyDescent="0.2">
      <c r="D2" s="18" t="s">
        <v>1</v>
      </c>
      <c r="E2" s="19" t="s">
        <v>2</v>
      </c>
      <c r="F2" s="19" t="s">
        <v>14</v>
      </c>
      <c r="R2" s="45" t="str">
        <f>Table13685[[#Headers],[Income]]</f>
        <v>Income</v>
      </c>
      <c r="S2" s="45">
        <f>SUM(Table13685[Budget])</f>
        <v>0</v>
      </c>
      <c r="T2" s="45">
        <f>SUM(Table13685[Actual])</f>
        <v>0</v>
      </c>
      <c r="U2" s="45" t="s">
        <v>19</v>
      </c>
      <c r="V2" s="45">
        <f>AVERAGE(V12:V42)</f>
        <v>1156.7400000000005</v>
      </c>
    </row>
    <row r="3" spans="2:23" x14ac:dyDescent="0.2">
      <c r="C3" s="17" t="s">
        <v>35</v>
      </c>
      <c r="D3" s="5">
        <f>Mo.7!D6</f>
        <v>1156.74</v>
      </c>
      <c r="E3" s="14">
        <f>Mo.7!E6</f>
        <v>1156.74</v>
      </c>
      <c r="F3" s="14">
        <f>E3-D3</f>
        <v>0</v>
      </c>
      <c r="R3" s="45" t="str">
        <f>Table182[[#Headers],[Housing]]</f>
        <v>Housing</v>
      </c>
      <c r="S3" s="45">
        <f>SUM(Table182[Budget])</f>
        <v>0</v>
      </c>
      <c r="T3" s="45">
        <f>SUM(Table182[Actual])</f>
        <v>0</v>
      </c>
      <c r="U3" s="45" t="s">
        <v>17</v>
      </c>
      <c r="V3" s="45"/>
    </row>
    <row r="4" spans="2:23" x14ac:dyDescent="0.2">
      <c r="C4" s="17" t="s">
        <v>32</v>
      </c>
      <c r="D4" s="5">
        <f>Table13685[[#Totals],[Budget]]</f>
        <v>0</v>
      </c>
      <c r="E4" s="5">
        <f>Table13685[[#Totals],[Actual]]</f>
        <v>0</v>
      </c>
      <c r="F4" s="5">
        <f>E4-D4</f>
        <v>0</v>
      </c>
      <c r="R4" s="45" t="str">
        <f>Table1383[[#Headers],[Transportation]]</f>
        <v>Transportation</v>
      </c>
      <c r="S4" s="45">
        <f>SUM(Table1383[Budget])</f>
        <v>0</v>
      </c>
      <c r="T4" s="45">
        <f>SUM(Table1383[Actual])</f>
        <v>0</v>
      </c>
      <c r="U4" s="45" t="s">
        <v>18</v>
      </c>
      <c r="V4" s="45"/>
    </row>
    <row r="5" spans="2:23" x14ac:dyDescent="0.2">
      <c r="C5" s="17" t="s">
        <v>33</v>
      </c>
      <c r="D5" s="5">
        <f>Table182[[#Totals],[Budget]]+Table1383[[#Totals],[Budget]]+Table1391089[[#Totals],[Budget]]+Table13786[[#Totals],[Budget]]+Table13887[[#Totals],[Budget]]+Table13988[[#Totals],[Budget]]</f>
        <v>0</v>
      </c>
      <c r="E5" s="5">
        <f>Table182[[#Totals],[Actual]]+Table1383[[#Totals],[Actual]]+Table1391089[[#Totals],[Actual]]+Table13786[[#Totals],[Actual]]+Table13887[[#Totals],[Actual]]+Table13988[[#Totals],[Actual]]</f>
        <v>0</v>
      </c>
      <c r="F5" s="5">
        <f>E5-D5</f>
        <v>0</v>
      </c>
      <c r="R5" s="45" t="str">
        <f>Table1391089[[#Headers],[Bills]]</f>
        <v>Bills</v>
      </c>
      <c r="S5" s="45">
        <f>SUM(Table1391089[Budget])</f>
        <v>0</v>
      </c>
      <c r="T5" s="45">
        <f>SUM(Table1391089[Actual])</f>
        <v>0</v>
      </c>
      <c r="U5" s="45"/>
      <c r="V5" s="45"/>
    </row>
    <row r="6" spans="2:23" x14ac:dyDescent="0.2">
      <c r="C6" s="15" t="s">
        <v>34</v>
      </c>
      <c r="D6" s="16">
        <f>D3+D4-D5</f>
        <v>1156.74</v>
      </c>
      <c r="E6" s="16">
        <f>E3+E4-E5</f>
        <v>1156.74</v>
      </c>
      <c r="F6" s="16">
        <f>F3+F4-F5</f>
        <v>0</v>
      </c>
      <c r="R6" s="45" t="str">
        <f>Table13786[[#Headers],[Living]]</f>
        <v>Living</v>
      </c>
      <c r="S6" s="45">
        <f>SUM(Table13786[Budget])</f>
        <v>0</v>
      </c>
      <c r="T6" s="45">
        <f>SUM(Table13786[Actual])</f>
        <v>0</v>
      </c>
      <c r="U6" s="45"/>
      <c r="V6" s="45"/>
    </row>
    <row r="7" spans="2:23" ht="3.75" customHeight="1" x14ac:dyDescent="0.2">
      <c r="D7" s="2"/>
      <c r="R7" s="45" t="str">
        <f>Table13887[[#Headers],[Entertainment]]</f>
        <v>Entertainment</v>
      </c>
      <c r="S7" s="45">
        <f>SUM(Table13887[Budget])</f>
        <v>0</v>
      </c>
      <c r="T7" s="45">
        <f>SUM(Table13887[Actual])</f>
        <v>0</v>
      </c>
      <c r="U7" s="45"/>
      <c r="V7" s="45"/>
    </row>
    <row r="8" spans="2:23" ht="1.5" customHeight="1" x14ac:dyDescent="0.2">
      <c r="C8" s="42"/>
      <c r="D8" s="43"/>
      <c r="E8" s="42"/>
      <c r="F8" s="42"/>
      <c r="G8" s="42"/>
      <c r="H8" s="42"/>
      <c r="I8" s="42"/>
      <c r="J8" s="42"/>
      <c r="K8" s="42"/>
      <c r="L8" s="42"/>
      <c r="M8" s="42"/>
      <c r="N8" s="42"/>
      <c r="O8" s="42"/>
      <c r="P8" s="42"/>
      <c r="Q8" s="42"/>
      <c r="R8" s="44" t="str">
        <f>Table13988[[#Headers],[Misc.]]</f>
        <v>Misc.</v>
      </c>
      <c r="S8" s="44">
        <f>SUM(Table13988[Budget])</f>
        <v>0</v>
      </c>
      <c r="T8" s="44">
        <f>SUM(Table13988[Actual])</f>
        <v>0</v>
      </c>
      <c r="U8" s="44"/>
      <c r="V8" s="44"/>
    </row>
    <row r="9" spans="2:23" ht="3.75" customHeight="1" x14ac:dyDescent="0.2">
      <c r="D9" s="2"/>
      <c r="H9" s="42"/>
      <c r="Q9" s="42"/>
    </row>
    <row r="10" spans="2:23" s="25" customFormat="1" x14ac:dyDescent="0.2">
      <c r="B10" s="35"/>
      <c r="C10" s="37" t="str">
        <f>CONCATENATE(Table13685[[#Headers],[Income]]," - Budget &amp; Tracking")</f>
        <v>Income - Budget &amp; Tracking</v>
      </c>
      <c r="D10" s="38"/>
      <c r="E10" s="38"/>
      <c r="F10" s="39"/>
      <c r="G10" s="35"/>
      <c r="H10" s="41"/>
      <c r="J10" s="37" t="s">
        <v>42</v>
      </c>
      <c r="K10" s="38"/>
      <c r="L10" s="38"/>
      <c r="M10" s="38"/>
      <c r="N10" s="38"/>
      <c r="O10" s="39"/>
      <c r="Q10" s="41"/>
      <c r="S10" s="37" t="s">
        <v>40</v>
      </c>
      <c r="T10" s="38"/>
      <c r="U10" s="38"/>
      <c r="V10" s="39"/>
    </row>
    <row r="11" spans="2:23" ht="12.75" thickBot="1" x14ac:dyDescent="0.25">
      <c r="B11" s="32"/>
      <c r="C11" s="31" t="s">
        <v>15</v>
      </c>
      <c r="D11" s="31" t="s">
        <v>1</v>
      </c>
      <c r="E11" s="31" t="s">
        <v>2</v>
      </c>
      <c r="F11" s="31" t="s">
        <v>14</v>
      </c>
      <c r="G11" s="32"/>
      <c r="H11" s="42"/>
      <c r="J11" s="31" t="s">
        <v>9</v>
      </c>
      <c r="K11" s="31" t="s">
        <v>0</v>
      </c>
      <c r="L11" s="31" t="s">
        <v>13</v>
      </c>
      <c r="M11" s="31" t="s">
        <v>10</v>
      </c>
      <c r="N11" s="31" t="s">
        <v>11</v>
      </c>
      <c r="O11" s="31" t="s">
        <v>16</v>
      </c>
      <c r="Q11" s="42"/>
      <c r="S11" s="40" t="s">
        <v>10</v>
      </c>
      <c r="T11" s="40" t="s">
        <v>22</v>
      </c>
      <c r="U11" s="40" t="s">
        <v>21</v>
      </c>
      <c r="V11" s="40" t="s">
        <v>23</v>
      </c>
    </row>
    <row r="12" spans="2:23" x14ac:dyDescent="0.2">
      <c r="B12" s="32"/>
      <c r="D12" s="2"/>
      <c r="E12" s="2">
        <f>SUMIFS(Table442091[Amount],Table442091[Category],Table13685[[#Headers],[Income]],Table442091[Sub-Category],Table13685[[#This Row],[Income]])+SUMIFS(Table4490[Amount],Table4490[Category],Table13685[[#Headers],[Income]],Table4490[Sub-Category],Table13685[[#This Row],[Income]])</f>
        <v>0</v>
      </c>
      <c r="F12" s="3">
        <f>Table13685[[#This Row],[Actual]]-Table13685[[#This Row],[Budget]]</f>
        <v>0</v>
      </c>
      <c r="G12" s="32"/>
      <c r="H12" s="42"/>
      <c r="M12" s="4"/>
      <c r="N12" s="2"/>
      <c r="Q12" s="42"/>
      <c r="S12" s="27">
        <f>C1</f>
        <v>41730</v>
      </c>
      <c r="T12" s="29">
        <f>SUMIFS(Table442091[Amount],Table442091[Date],S12,Table442091[Category],Table13685[[#Headers],[Income]])+SUMIFS(Table4490[Amount],Table4490[Date],S12,Table4490[Category],Table13685[[#Headers],[Income]])</f>
        <v>0</v>
      </c>
      <c r="U12" s="29">
        <f>SUMIFS(Table484[Amount],Table484[Date],S12,Table484[Category],"&lt;&gt;"&amp;Table13685[[#Headers],[Income]])+SUMIFS(Table4490[Amount],Table4490[Date],S12,Table4490[Category],"&lt;&gt;"&amp;Table13685[[#Headers],[Income]])</f>
        <v>0</v>
      </c>
      <c r="V12" s="29">
        <f>E3+T12-U12</f>
        <v>1156.74</v>
      </c>
      <c r="W12" s="1">
        <f>V2</f>
        <v>1156.7400000000005</v>
      </c>
    </row>
    <row r="13" spans="2:23" x14ac:dyDescent="0.2">
      <c r="B13" s="32"/>
      <c r="D13" s="2"/>
      <c r="E13" s="2">
        <f>SUMIFS(Table442091[Amount],Table442091[Category],Table13685[[#Headers],[Income]],Table442091[Sub-Category],Table13685[[#This Row],[Income]])+SUMIFS(Table4490[Amount],Table4490[Category],Table13685[[#Headers],[Income]],Table4490[Sub-Category],Table13685[[#This Row],[Income]])</f>
        <v>0</v>
      </c>
      <c r="F13" s="3">
        <f>Table13685[[#This Row],[Actual]]-Table13685[[#This Row],[Budget]]</f>
        <v>0</v>
      </c>
      <c r="G13" s="32"/>
      <c r="H13" s="42"/>
      <c r="M13" s="4"/>
      <c r="N13" s="2"/>
      <c r="Q13" s="42"/>
      <c r="S13" s="30">
        <f t="shared" ref="S13:S42" si="0">S12+1</f>
        <v>41731</v>
      </c>
      <c r="T13" s="28">
        <f>SUMIFS(Table442091[Amount],Table442091[Date],S13,Table442091[Category],Table13685[[#Headers],[Income]])+SUMIFS(Table4490[Amount],Table4490[Date],S13,Table4490[Category],Table13685[[#Headers],[Income]])</f>
        <v>0</v>
      </c>
      <c r="U13" s="28">
        <f>SUMIFS(Table484[Amount],Table484[Date],S13,Table484[Category],"&lt;&gt;"&amp;Table13685[[#Headers],[Income]])+SUMIFS(Table4490[Amount],Table4490[Date],S13,Table4490[Category],"&lt;&gt;"&amp;Table13685[[#Headers],[Income]])</f>
        <v>0</v>
      </c>
      <c r="V13" s="28">
        <f>V12+T13-U13</f>
        <v>1156.74</v>
      </c>
      <c r="W13" s="1">
        <f>W12</f>
        <v>1156.7400000000005</v>
      </c>
    </row>
    <row r="14" spans="2:23" x14ac:dyDescent="0.2">
      <c r="B14" s="32"/>
      <c r="D14" s="12"/>
      <c r="E14" s="12">
        <f>SUMIFS(Table442091[Amount],Table442091[Category],Table13685[[#Headers],[Income]],Table442091[Sub-Category],Table13685[[#This Row],[Income]])+SUMIFS(Table4490[Amount],Table4490[Category],Table13685[[#Headers],[Income]],Table4490[Sub-Category],Table13685[[#This Row],[Income]])</f>
        <v>0</v>
      </c>
      <c r="F14" s="2">
        <f>Table13685[[#This Row],[Actual]]-Table13685[[#This Row],[Budget]]</f>
        <v>0</v>
      </c>
      <c r="G14" s="32"/>
      <c r="H14" s="42"/>
      <c r="M14" s="4"/>
      <c r="N14" s="2"/>
      <c r="Q14" s="42"/>
      <c r="S14" s="27">
        <f t="shared" si="0"/>
        <v>41732</v>
      </c>
      <c r="T14" s="29">
        <f>SUMIFS(Table442091[Amount],Table442091[Date],S14,Table442091[Category],Table13685[[#Headers],[Income]])+SUMIFS(Table4490[Amount],Table4490[Date],S14,Table4490[Category],Table13685[[#Headers],[Income]])</f>
        <v>0</v>
      </c>
      <c r="U14" s="29">
        <f>SUMIFS(Table484[Amount],Table484[Date],S14,Table484[Category],"&lt;&gt;"&amp;Table13685[[#Headers],[Income]])+SUMIFS(Table4490[Amount],Table4490[Date],S14,Table4490[Category],"&lt;&gt;"&amp;Table13685[[#Headers],[Income]])</f>
        <v>0</v>
      </c>
      <c r="V14" s="29">
        <f t="shared" ref="V14:V42" si="1">V13+T14-U14</f>
        <v>1156.74</v>
      </c>
      <c r="W14" s="1">
        <f t="shared" ref="W14:W42" si="2">W13</f>
        <v>1156.7400000000005</v>
      </c>
    </row>
    <row r="15" spans="2:23" x14ac:dyDescent="0.2">
      <c r="B15" s="32"/>
      <c r="D15" s="2"/>
      <c r="E15" s="3">
        <f>SUMIFS(Table442091[Amount],Table442091[Category],Table13685[[#Headers],[Income]],Table442091[Sub-Category],Table13685[[#This Row],[Income]])+SUMIFS(Table4490[Amount],Table4490[Category],Table13685[[#Headers],[Income]],Table4490[Sub-Category],Table13685[[#This Row],[Income]])</f>
        <v>0</v>
      </c>
      <c r="F15" s="3">
        <f>Table13685[[#This Row],[Actual]]-Table13685[[#This Row],[Budget]]</f>
        <v>0</v>
      </c>
      <c r="G15" s="32"/>
      <c r="H15" s="42"/>
      <c r="J15" s="11"/>
      <c r="K15" s="11"/>
      <c r="L15" s="11"/>
      <c r="M15" s="24"/>
      <c r="N15" s="12"/>
      <c r="O15" s="11"/>
      <c r="Q15" s="42"/>
      <c r="S15" s="30">
        <f t="shared" si="0"/>
        <v>41733</v>
      </c>
      <c r="T15" s="28">
        <f>SUMIFS(Table442091[Amount],Table442091[Date],S15,Table442091[Category],Table13685[[#Headers],[Income]])+SUMIFS(Table4490[Amount],Table4490[Date],S15,Table4490[Category],Table13685[[#Headers],[Income]])</f>
        <v>0</v>
      </c>
      <c r="U15" s="28">
        <f>SUMIFS(Table484[Amount],Table484[Date],S15,Table484[Category],"&lt;&gt;"&amp;Table13685[[#Headers],[Income]])+SUMIFS(Table4490[Amount],Table4490[Date],S15,Table4490[Category],"&lt;&gt;"&amp;Table13685[[#Headers],[Income]])</f>
        <v>0</v>
      </c>
      <c r="V15" s="28">
        <f t="shared" si="1"/>
        <v>1156.74</v>
      </c>
      <c r="W15" s="1">
        <f t="shared" si="2"/>
        <v>1156.7400000000005</v>
      </c>
    </row>
    <row r="16" spans="2:23" x14ac:dyDescent="0.2">
      <c r="B16" s="32"/>
      <c r="C16" s="6" t="s">
        <v>20</v>
      </c>
      <c r="D16" s="7">
        <f>SUBTOTAL(109,Table13685[Budget])</f>
        <v>0</v>
      </c>
      <c r="E16" s="7">
        <f>SUBTOTAL(109,Table13685[Actual])</f>
        <v>0</v>
      </c>
      <c r="F16" s="7">
        <f>SUBTOTAL(109,Table13685[Variance])</f>
        <v>0</v>
      </c>
      <c r="G16" s="36"/>
      <c r="H16" s="43"/>
      <c r="I16" s="2"/>
      <c r="M16" s="4"/>
      <c r="N16" s="2"/>
      <c r="Q16" s="43"/>
      <c r="S16" s="27">
        <f t="shared" si="0"/>
        <v>41734</v>
      </c>
      <c r="T16" s="29">
        <f>SUMIFS(Table442091[Amount],Table442091[Date],S16,Table442091[Category],Table13685[[#Headers],[Income]])+SUMIFS(Table4490[Amount],Table4490[Date],S16,Table4490[Category],Table13685[[#Headers],[Income]])</f>
        <v>0</v>
      </c>
      <c r="U16" s="29">
        <f>SUMIFS(Table484[Amount],Table484[Date],S16,Table484[Category],"&lt;&gt;"&amp;Table13685[[#Headers],[Income]])+SUMIFS(Table4490[Amount],Table4490[Date],S16,Table4490[Category],"&lt;&gt;"&amp;Table13685[[#Headers],[Income]])</f>
        <v>0</v>
      </c>
      <c r="V16" s="29">
        <f t="shared" si="1"/>
        <v>1156.74</v>
      </c>
      <c r="W16" s="1">
        <f t="shared" si="2"/>
        <v>1156.7400000000005</v>
      </c>
    </row>
    <row r="17" spans="2:23" x14ac:dyDescent="0.2">
      <c r="B17" s="32"/>
      <c r="C17" s="20"/>
      <c r="D17" s="21"/>
      <c r="E17" s="21"/>
      <c r="F17" s="21"/>
      <c r="G17" s="36"/>
      <c r="H17" s="43"/>
      <c r="I17" s="2"/>
      <c r="J17" s="37" t="s">
        <v>43</v>
      </c>
      <c r="K17" s="38"/>
      <c r="L17" s="38"/>
      <c r="M17" s="38"/>
      <c r="N17" s="38"/>
      <c r="O17" s="39"/>
      <c r="Q17" s="43"/>
      <c r="S17" s="30">
        <f t="shared" si="0"/>
        <v>41735</v>
      </c>
      <c r="T17" s="28">
        <f>SUMIFS(Table442091[Amount],Table442091[Date],S17,Table442091[Category],Table13685[[#Headers],[Income]])+SUMIFS(Table4490[Amount],Table4490[Date],S17,Table4490[Category],Table13685[[#Headers],[Income]])</f>
        <v>0</v>
      </c>
      <c r="U17" s="28">
        <f>SUMIFS(Table484[Amount],Table484[Date],S17,Table484[Category],"&lt;&gt;"&amp;Table13685[[#Headers],[Income]])+SUMIFS(Table4490[Amount],Table4490[Date],S17,Table4490[Category],"&lt;&gt;"&amp;Table13685[[#Headers],[Income]])</f>
        <v>0</v>
      </c>
      <c r="V17" s="28">
        <f t="shared" si="1"/>
        <v>1156.74</v>
      </c>
      <c r="W17" s="1">
        <f t="shared" si="2"/>
        <v>1156.7400000000005</v>
      </c>
    </row>
    <row r="18" spans="2:23" x14ac:dyDescent="0.2">
      <c r="B18" s="32"/>
      <c r="C18" s="37" t="str">
        <f>CONCATENATE(Table182[[#Headers],[Housing]]," - Budget &amp; Tracking")</f>
        <v>Housing - Budget &amp; Tracking</v>
      </c>
      <c r="D18" s="38"/>
      <c r="E18" s="38"/>
      <c r="F18" s="39"/>
      <c r="G18" s="36"/>
      <c r="H18" s="43"/>
      <c r="I18" s="2"/>
      <c r="J18" s="31" t="s">
        <v>9</v>
      </c>
      <c r="K18" s="31" t="s">
        <v>0</v>
      </c>
      <c r="L18" s="31" t="s">
        <v>13</v>
      </c>
      <c r="M18" s="31" t="s">
        <v>10</v>
      </c>
      <c r="N18" s="31" t="s">
        <v>11</v>
      </c>
      <c r="O18" s="31" t="s">
        <v>16</v>
      </c>
      <c r="Q18" s="43"/>
      <c r="S18" s="27">
        <f t="shared" si="0"/>
        <v>41736</v>
      </c>
      <c r="T18" s="29">
        <f>SUMIFS(Table442091[Amount],Table442091[Date],S18,Table442091[Category],Table13685[[#Headers],[Income]])+SUMIFS(Table4490[Amount],Table4490[Date],S18,Table4490[Category],Table13685[[#Headers],[Income]])</f>
        <v>0</v>
      </c>
      <c r="U18" s="29">
        <f>SUMIFS(Table484[Amount],Table484[Date],S18,Table484[Category],"&lt;&gt;"&amp;Table13685[[#Headers],[Income]])+SUMIFS(Table4490[Amount],Table4490[Date],S18,Table4490[Category],"&lt;&gt;"&amp;Table13685[[#Headers],[Income]])</f>
        <v>0</v>
      </c>
      <c r="V18" s="29">
        <f t="shared" si="1"/>
        <v>1156.74</v>
      </c>
      <c r="W18" s="1">
        <f t="shared" si="2"/>
        <v>1156.7400000000005</v>
      </c>
    </row>
    <row r="19" spans="2:23" x14ac:dyDescent="0.2">
      <c r="B19" s="32"/>
      <c r="C19" s="31" t="s">
        <v>8</v>
      </c>
      <c r="D19" s="31" t="s">
        <v>1</v>
      </c>
      <c r="E19" s="31" t="s">
        <v>2</v>
      </c>
      <c r="F19" s="31" t="s">
        <v>14</v>
      </c>
      <c r="G19" s="36"/>
      <c r="H19" s="43"/>
      <c r="I19" s="2"/>
      <c r="M19" s="4"/>
      <c r="N19" s="2"/>
      <c r="Q19" s="43"/>
      <c r="S19" s="30">
        <f t="shared" si="0"/>
        <v>41737</v>
      </c>
      <c r="T19" s="28">
        <f>SUMIFS(Table442091[Amount],Table442091[Date],S19,Table442091[Category],Table13685[[#Headers],[Income]])+SUMIFS(Table4490[Amount],Table4490[Date],S19,Table4490[Category],Table13685[[#Headers],[Income]])</f>
        <v>0</v>
      </c>
      <c r="U19" s="28">
        <f>SUMIFS(Table484[Amount],Table484[Date],S19,Table484[Category],"&lt;&gt;"&amp;Table13685[[#Headers],[Income]])+SUMIFS(Table4490[Amount],Table4490[Date],S19,Table4490[Category],"&lt;&gt;"&amp;Table13685[[#Headers],[Income]])</f>
        <v>0</v>
      </c>
      <c r="V19" s="28">
        <f t="shared" si="1"/>
        <v>1156.74</v>
      </c>
      <c r="W19" s="1">
        <f t="shared" si="2"/>
        <v>1156.7400000000005</v>
      </c>
    </row>
    <row r="20" spans="2:23" x14ac:dyDescent="0.2">
      <c r="B20" s="32"/>
      <c r="D20" s="2"/>
      <c r="E20" s="2">
        <f>SUMIFS(Table484[Amount],Table484[Category],Table182[[#Headers],[Housing]],Table484[Sub-Category],Table182[[#This Row],[Housing]])+SUMIFS(Table4490[Amount],Table4490[Category],Table182[[#Headers],[Housing]],Table4490[Sub-Category],Table182[[#This Row],[Housing]])</f>
        <v>0</v>
      </c>
      <c r="F20" s="3">
        <f>Table182[[#This Row],[Budget]]-Table182[[#This Row],[Actual]]</f>
        <v>0</v>
      </c>
      <c r="G20" s="36"/>
      <c r="H20" s="43"/>
      <c r="I20" s="2"/>
      <c r="J20" s="11"/>
      <c r="K20" s="11"/>
      <c r="L20" s="11"/>
      <c r="M20" s="24"/>
      <c r="N20" s="12"/>
      <c r="O20" s="11"/>
      <c r="Q20" s="43"/>
      <c r="S20" s="27">
        <f t="shared" si="0"/>
        <v>41738</v>
      </c>
      <c r="T20" s="29">
        <f>SUMIFS(Table442091[Amount],Table442091[Date],S20,Table442091[Category],Table13685[[#Headers],[Income]])+SUMIFS(Table4490[Amount],Table4490[Date],S20,Table4490[Category],Table13685[[#Headers],[Income]])</f>
        <v>0</v>
      </c>
      <c r="U20" s="29">
        <f>SUMIFS(Table484[Amount],Table484[Date],S20,Table484[Category],"&lt;&gt;"&amp;Table13685[[#Headers],[Income]])+SUMIFS(Table4490[Amount],Table4490[Date],S20,Table4490[Category],"&lt;&gt;"&amp;Table13685[[#Headers],[Income]])</f>
        <v>0</v>
      </c>
      <c r="V20" s="29">
        <f t="shared" si="1"/>
        <v>1156.74</v>
      </c>
      <c r="W20" s="1">
        <f t="shared" si="2"/>
        <v>1156.7400000000005</v>
      </c>
    </row>
    <row r="21" spans="2:23" x14ac:dyDescent="0.2">
      <c r="B21" s="32"/>
      <c r="D21" s="2"/>
      <c r="E21" s="2">
        <f>SUMIFS(Table484[Amount],Table484[Category],Table182[[#Headers],[Housing]],Table484[Sub-Category],Table182[[#This Row],[Housing]])+SUMIFS(Table4490[Amount],Table4490[Category],Table182[[#Headers],[Housing]],Table4490[Sub-Category],Table182[[#This Row],[Housing]])</f>
        <v>0</v>
      </c>
      <c r="F21" s="3">
        <f>Table182[[#This Row],[Budget]]-Table182[[#This Row],[Actual]]</f>
        <v>0</v>
      </c>
      <c r="G21" s="36"/>
      <c r="H21" s="43"/>
      <c r="I21" s="2"/>
      <c r="J21" s="11"/>
      <c r="K21" s="11"/>
      <c r="L21" s="11"/>
      <c r="M21" s="24"/>
      <c r="N21" s="12"/>
      <c r="O21" s="11"/>
      <c r="Q21" s="43"/>
      <c r="S21" s="30">
        <f t="shared" si="0"/>
        <v>41739</v>
      </c>
      <c r="T21" s="28">
        <f>SUMIFS(Table442091[Amount],Table442091[Date],S21,Table442091[Category],Table13685[[#Headers],[Income]])+SUMIFS(Table4490[Amount],Table4490[Date],S21,Table4490[Category],Table13685[[#Headers],[Income]])</f>
        <v>0</v>
      </c>
      <c r="U21" s="28">
        <f>SUMIFS(Table484[Amount],Table484[Date],S21,Table484[Category],"&lt;&gt;"&amp;Table13685[[#Headers],[Income]])+SUMIFS(Table4490[Amount],Table4490[Date],S21,Table4490[Category],"&lt;&gt;"&amp;Table13685[[#Headers],[Income]])</f>
        <v>0</v>
      </c>
      <c r="V21" s="28">
        <f t="shared" si="1"/>
        <v>1156.74</v>
      </c>
      <c r="W21" s="1">
        <f t="shared" si="2"/>
        <v>1156.7400000000005</v>
      </c>
    </row>
    <row r="22" spans="2:23" x14ac:dyDescent="0.2">
      <c r="B22" s="32"/>
      <c r="D22" s="2"/>
      <c r="E22" s="2">
        <f>SUMIFS(Table484[Amount],Table484[Category],Table182[[#Headers],[Housing]],Table484[Sub-Category],Table182[[#This Row],[Housing]])+SUMIFS(Table4490[Amount],Table4490[Category],Table182[[#Headers],[Housing]],Table4490[Sub-Category],Table182[[#This Row],[Housing]])</f>
        <v>0</v>
      </c>
      <c r="F22" s="3">
        <f>Table182[[#This Row],[Budget]]-Table182[[#This Row],[Actual]]</f>
        <v>0</v>
      </c>
      <c r="G22" s="36"/>
      <c r="H22" s="43"/>
      <c r="I22" s="2"/>
      <c r="J22" s="11"/>
      <c r="K22" s="11"/>
      <c r="L22" s="11"/>
      <c r="M22" s="24"/>
      <c r="N22" s="12"/>
      <c r="O22" s="11"/>
      <c r="Q22" s="43"/>
      <c r="S22" s="27">
        <f t="shared" si="0"/>
        <v>41740</v>
      </c>
      <c r="T22" s="29">
        <f>SUMIFS(Table442091[Amount],Table442091[Date],S22,Table442091[Category],Table13685[[#Headers],[Income]])+SUMIFS(Table4490[Amount],Table4490[Date],S22,Table4490[Category],Table13685[[#Headers],[Income]])</f>
        <v>0</v>
      </c>
      <c r="U22" s="29">
        <f>SUMIFS(Table484[Amount],Table484[Date],S22,Table484[Category],"&lt;&gt;"&amp;Table13685[[#Headers],[Income]])+SUMIFS(Table4490[Amount],Table4490[Date],S22,Table4490[Category],"&lt;&gt;"&amp;Table13685[[#Headers],[Income]])</f>
        <v>0</v>
      </c>
      <c r="V22" s="29">
        <f t="shared" si="1"/>
        <v>1156.74</v>
      </c>
      <c r="W22" s="1">
        <f t="shared" si="2"/>
        <v>1156.7400000000005</v>
      </c>
    </row>
    <row r="23" spans="2:23" x14ac:dyDescent="0.2">
      <c r="B23" s="32"/>
      <c r="D23" s="2"/>
      <c r="E23" s="2">
        <f>SUMIFS(Table484[Amount],Table484[Category],Table182[[#Headers],[Housing]],Table484[Sub-Category],Table182[[#This Row],[Housing]])+SUMIFS(Table4490[Amount],Table4490[Category],Table182[[#Headers],[Housing]],Table4490[Sub-Category],Table182[[#This Row],[Housing]])</f>
        <v>0</v>
      </c>
      <c r="F23" s="3">
        <f>Table182[[#This Row],[Budget]]-Table182[[#This Row],[Actual]]</f>
        <v>0</v>
      </c>
      <c r="G23" s="36"/>
      <c r="H23" s="43"/>
      <c r="I23" s="2"/>
      <c r="J23" s="11"/>
      <c r="K23" s="11"/>
      <c r="L23" s="11"/>
      <c r="M23" s="24"/>
      <c r="N23" s="12"/>
      <c r="O23" s="11"/>
      <c r="Q23" s="43"/>
      <c r="S23" s="30">
        <f t="shared" si="0"/>
        <v>41741</v>
      </c>
      <c r="T23" s="28">
        <f>SUMIFS(Table442091[Amount],Table442091[Date],S23,Table442091[Category],Table13685[[#Headers],[Income]])+SUMIFS(Table4490[Amount],Table4490[Date],S23,Table4490[Category],Table13685[[#Headers],[Income]])</f>
        <v>0</v>
      </c>
      <c r="U23" s="28">
        <f>SUMIFS(Table484[Amount],Table484[Date],S23,Table484[Category],"&lt;&gt;"&amp;Table13685[[#Headers],[Income]])+SUMIFS(Table4490[Amount],Table4490[Date],S23,Table4490[Category],"&lt;&gt;"&amp;Table13685[[#Headers],[Income]])</f>
        <v>0</v>
      </c>
      <c r="V23" s="28">
        <f t="shared" si="1"/>
        <v>1156.74</v>
      </c>
      <c r="W23" s="1">
        <f t="shared" si="2"/>
        <v>1156.7400000000005</v>
      </c>
    </row>
    <row r="24" spans="2:23" x14ac:dyDescent="0.2">
      <c r="B24" s="32"/>
      <c r="D24" s="2"/>
      <c r="E24" s="2">
        <f>SUMIFS(Table484[Amount],Table484[Category],Table182[[#Headers],[Housing]],Table484[Sub-Category],Table182[[#This Row],[Housing]])+SUMIFS(Table4490[Amount],Table4490[Category],Table182[[#Headers],[Housing]],Table4490[Sub-Category],Table182[[#This Row],[Housing]])</f>
        <v>0</v>
      </c>
      <c r="F24" s="3">
        <f>Table182[[#This Row],[Budget]]-Table182[[#This Row],[Actual]]</f>
        <v>0</v>
      </c>
      <c r="G24" s="36"/>
      <c r="H24" s="43"/>
      <c r="I24" s="2"/>
      <c r="J24" s="11"/>
      <c r="K24" s="11"/>
      <c r="L24" s="11"/>
      <c r="M24" s="24"/>
      <c r="N24" s="12"/>
      <c r="O24" s="11"/>
      <c r="Q24" s="43"/>
      <c r="S24" s="27">
        <f t="shared" si="0"/>
        <v>41742</v>
      </c>
      <c r="T24" s="29">
        <f>SUMIFS(Table442091[Amount],Table442091[Date],S24,Table442091[Category],Table13685[[#Headers],[Income]])+SUMIFS(Table4490[Amount],Table4490[Date],S24,Table4490[Category],Table13685[[#Headers],[Income]])</f>
        <v>0</v>
      </c>
      <c r="U24" s="29">
        <f>SUMIFS(Table484[Amount],Table484[Date],S24,Table484[Category],"&lt;&gt;"&amp;Table13685[[#Headers],[Income]])+SUMIFS(Table4490[Amount],Table4490[Date],S24,Table4490[Category],"&lt;&gt;"&amp;Table13685[[#Headers],[Income]])</f>
        <v>0</v>
      </c>
      <c r="V24" s="29">
        <f t="shared" si="1"/>
        <v>1156.74</v>
      </c>
      <c r="W24" s="1">
        <f t="shared" si="2"/>
        <v>1156.7400000000005</v>
      </c>
    </row>
    <row r="25" spans="2:23" x14ac:dyDescent="0.2">
      <c r="B25" s="32"/>
      <c r="D25" s="2"/>
      <c r="E25" s="2">
        <f>SUMIFS(Table484[Amount],Table484[Category],Table182[[#Headers],[Housing]],Table484[Sub-Category],Table182[[#This Row],[Housing]])+SUMIFS(Table4490[Amount],Table4490[Category],Table182[[#Headers],[Housing]],Table4490[Sub-Category],Table182[[#This Row],[Housing]])</f>
        <v>0</v>
      </c>
      <c r="F25" s="3">
        <f>Table182[[#This Row],[Budget]]-Table182[[#This Row],[Actual]]</f>
        <v>0</v>
      </c>
      <c r="G25" s="32"/>
      <c r="H25" s="42"/>
      <c r="J25" s="11"/>
      <c r="K25" s="11"/>
      <c r="L25" s="11"/>
      <c r="M25" s="24"/>
      <c r="N25" s="12"/>
      <c r="O25" s="11"/>
      <c r="Q25" s="42"/>
      <c r="S25" s="30">
        <f t="shared" si="0"/>
        <v>41743</v>
      </c>
      <c r="T25" s="28">
        <f>SUMIFS(Table442091[Amount],Table442091[Date],S25,Table442091[Category],Table13685[[#Headers],[Income]])+SUMIFS(Table4490[Amount],Table4490[Date],S25,Table4490[Category],Table13685[[#Headers],[Income]])</f>
        <v>0</v>
      </c>
      <c r="U25" s="28">
        <f>SUMIFS(Table484[Amount],Table484[Date],S25,Table484[Category],"&lt;&gt;"&amp;Table13685[[#Headers],[Income]])+SUMIFS(Table4490[Amount],Table4490[Date],S25,Table4490[Category],"&lt;&gt;"&amp;Table13685[[#Headers],[Income]])</f>
        <v>0</v>
      </c>
      <c r="V25" s="28">
        <f t="shared" si="1"/>
        <v>1156.74</v>
      </c>
      <c r="W25" s="1">
        <f t="shared" si="2"/>
        <v>1156.7400000000005</v>
      </c>
    </row>
    <row r="26" spans="2:23" x14ac:dyDescent="0.2">
      <c r="B26" s="32"/>
      <c r="D26" s="2"/>
      <c r="E26" s="2">
        <f>SUMIFS(Table484[Amount],Table484[Category],Table182[[#Headers],[Housing]],Table484[Sub-Category],Table182[[#This Row],[Housing]])+SUMIFS(Table4490[Amount],Table4490[Category],Table182[[#Headers],[Housing]],Table4490[Sub-Category],Table182[[#This Row],[Housing]])</f>
        <v>0</v>
      </c>
      <c r="F26" s="3">
        <f>Table182[[#This Row],[Budget]]-Table182[[#This Row],[Actual]]</f>
        <v>0</v>
      </c>
      <c r="G26" s="32"/>
      <c r="H26" s="42"/>
      <c r="J26" s="11"/>
      <c r="K26" s="11"/>
      <c r="L26" s="11"/>
      <c r="M26" s="24"/>
      <c r="N26" s="12"/>
      <c r="O26" s="11"/>
      <c r="Q26" s="42"/>
      <c r="S26" s="27">
        <f t="shared" si="0"/>
        <v>41744</v>
      </c>
      <c r="T26" s="29">
        <f>SUMIFS(Table442091[Amount],Table442091[Date],S26,Table442091[Category],Table13685[[#Headers],[Income]])+SUMIFS(Table4490[Amount],Table4490[Date],S26,Table4490[Category],Table13685[[#Headers],[Income]])</f>
        <v>0</v>
      </c>
      <c r="U26" s="29">
        <f>SUMIFS(Table484[Amount],Table484[Date],S26,Table484[Category],"&lt;&gt;"&amp;Table13685[[#Headers],[Income]])+SUMIFS(Table4490[Amount],Table4490[Date],S26,Table4490[Category],"&lt;&gt;"&amp;Table13685[[#Headers],[Income]])</f>
        <v>0</v>
      </c>
      <c r="V26" s="29">
        <f t="shared" si="1"/>
        <v>1156.74</v>
      </c>
      <c r="W26" s="1">
        <f t="shared" si="2"/>
        <v>1156.7400000000005</v>
      </c>
    </row>
    <row r="27" spans="2:23" x14ac:dyDescent="0.2">
      <c r="B27" s="32"/>
      <c r="D27" s="2"/>
      <c r="E27" s="2">
        <f>SUMIFS(Table484[Amount],Table484[Category],Table182[[#Headers],[Housing]],Table484[Sub-Category],Table182[[#This Row],[Housing]])+SUMIFS(Table4490[Amount],Table4490[Category],Table182[[#Headers],[Housing]],Table4490[Sub-Category],Table182[[#This Row],[Housing]])</f>
        <v>0</v>
      </c>
      <c r="F27" s="3">
        <f>Table182[[#This Row],[Budget]]-Table182[[#This Row],[Actual]]</f>
        <v>0</v>
      </c>
      <c r="G27" s="36"/>
      <c r="H27" s="43"/>
      <c r="I27" s="2"/>
      <c r="J27" s="11"/>
      <c r="K27" s="11"/>
      <c r="L27" s="11"/>
      <c r="M27" s="24"/>
      <c r="N27" s="12"/>
      <c r="O27" s="11"/>
      <c r="Q27" s="43"/>
      <c r="S27" s="30">
        <f t="shared" si="0"/>
        <v>41745</v>
      </c>
      <c r="T27" s="28">
        <f>SUMIFS(Table442091[Amount],Table442091[Date],S27,Table442091[Category],Table13685[[#Headers],[Income]])+SUMIFS(Table4490[Amount],Table4490[Date],S27,Table4490[Category],Table13685[[#Headers],[Income]])</f>
        <v>0</v>
      </c>
      <c r="U27" s="28">
        <f>SUMIFS(Table484[Amount],Table484[Date],S27,Table484[Category],"&lt;&gt;"&amp;Table13685[[#Headers],[Income]])+SUMIFS(Table4490[Amount],Table4490[Date],S27,Table4490[Category],"&lt;&gt;"&amp;Table13685[[#Headers],[Income]])</f>
        <v>0</v>
      </c>
      <c r="V27" s="28">
        <f t="shared" si="1"/>
        <v>1156.74</v>
      </c>
      <c r="W27" s="1">
        <f t="shared" si="2"/>
        <v>1156.7400000000005</v>
      </c>
    </row>
    <row r="28" spans="2:23" x14ac:dyDescent="0.2">
      <c r="B28" s="32"/>
      <c r="C28" s="11"/>
      <c r="D28" s="12"/>
      <c r="E28" s="13">
        <f>SUMIFS(Table484[Amount],Table484[Category],Table182[[#Headers],[Housing]],Table484[Sub-Category],Table182[[#This Row],[Housing]])+SUMIFS(Table4490[Amount],Table4490[Category],Table182[[#Headers],[Housing]],Table4490[Sub-Category],Table182[[#This Row],[Housing]])</f>
        <v>0</v>
      </c>
      <c r="F28" s="13">
        <f>Table182[[#This Row],[Budget]]-Table182[[#This Row],[Actual]]</f>
        <v>0</v>
      </c>
      <c r="G28" s="36"/>
      <c r="H28" s="43"/>
      <c r="I28" s="2"/>
      <c r="J28" s="11"/>
      <c r="K28" s="11"/>
      <c r="L28" s="11"/>
      <c r="M28" s="24"/>
      <c r="N28" s="12"/>
      <c r="O28" s="11"/>
      <c r="Q28" s="43"/>
      <c r="S28" s="27">
        <f t="shared" si="0"/>
        <v>41746</v>
      </c>
      <c r="T28" s="29">
        <f>SUMIFS(Table442091[Amount],Table442091[Date],S28,Table442091[Category],Table13685[[#Headers],[Income]])+SUMIFS(Table4490[Amount],Table4490[Date],S28,Table4490[Category],Table13685[[#Headers],[Income]])</f>
        <v>0</v>
      </c>
      <c r="U28" s="29">
        <f>SUMIFS(Table484[Amount],Table484[Date],S28,Table484[Category],"&lt;&gt;"&amp;Table13685[[#Headers],[Income]])+SUMIFS(Table4490[Amount],Table4490[Date],S28,Table4490[Category],"&lt;&gt;"&amp;Table13685[[#Headers],[Income]])</f>
        <v>0</v>
      </c>
      <c r="V28" s="29">
        <f t="shared" si="1"/>
        <v>1156.74</v>
      </c>
      <c r="W28" s="1">
        <f t="shared" si="2"/>
        <v>1156.7400000000005</v>
      </c>
    </row>
    <row r="29" spans="2:23" x14ac:dyDescent="0.2">
      <c r="B29" s="32"/>
      <c r="C29" s="9" t="s">
        <v>20</v>
      </c>
      <c r="D29" s="10">
        <f>SUBTOTAL(109,Table182[Budget])</f>
        <v>0</v>
      </c>
      <c r="E29" s="10">
        <f>SUBTOTAL(109,Table182[Actual])</f>
        <v>0</v>
      </c>
      <c r="F29" s="10">
        <f>SUBTOTAL(109,Table182[Variance])</f>
        <v>0</v>
      </c>
      <c r="G29" s="32"/>
      <c r="H29" s="42"/>
      <c r="J29" s="11"/>
      <c r="K29" s="11"/>
      <c r="L29" s="11"/>
      <c r="M29" s="24"/>
      <c r="N29" s="12"/>
      <c r="O29" s="11"/>
      <c r="Q29" s="42"/>
      <c r="S29" s="30">
        <f t="shared" si="0"/>
        <v>41747</v>
      </c>
      <c r="T29" s="28">
        <f>SUMIFS(Table442091[Amount],Table442091[Date],S29,Table442091[Category],Table13685[[#Headers],[Income]])+SUMIFS(Table4490[Amount],Table4490[Date],S29,Table4490[Category],Table13685[[#Headers],[Income]])</f>
        <v>0</v>
      </c>
      <c r="U29" s="28">
        <f>SUMIFS(Table484[Amount],Table484[Date],S29,Table484[Category],"&lt;&gt;"&amp;Table13685[[#Headers],[Income]])+SUMIFS(Table4490[Amount],Table4490[Date],S29,Table4490[Category],"&lt;&gt;"&amp;Table13685[[#Headers],[Income]])</f>
        <v>0</v>
      </c>
      <c r="V29" s="28">
        <f t="shared" si="1"/>
        <v>1156.74</v>
      </c>
      <c r="W29" s="1">
        <f t="shared" si="2"/>
        <v>1156.7400000000005</v>
      </c>
    </row>
    <row r="30" spans="2:23" x14ac:dyDescent="0.2">
      <c r="B30" s="32"/>
      <c r="C30" s="26"/>
      <c r="D30" s="23"/>
      <c r="E30" s="23"/>
      <c r="F30" s="23"/>
      <c r="G30" s="32"/>
      <c r="H30" s="42"/>
      <c r="J30" s="11"/>
      <c r="K30" s="11"/>
      <c r="L30" s="11"/>
      <c r="M30" s="24"/>
      <c r="N30" s="12"/>
      <c r="O30" s="11"/>
      <c r="Q30" s="42"/>
      <c r="S30" s="27">
        <f t="shared" si="0"/>
        <v>41748</v>
      </c>
      <c r="T30" s="29">
        <f>SUMIFS(Table442091[Amount],Table442091[Date],S30,Table442091[Category],Table13685[[#Headers],[Income]])+SUMIFS(Table4490[Amount],Table4490[Date],S30,Table4490[Category],Table13685[[#Headers],[Income]])</f>
        <v>0</v>
      </c>
      <c r="U30" s="29">
        <f>SUMIFS(Table484[Amount],Table484[Date],S30,Table484[Category],"&lt;&gt;"&amp;Table13685[[#Headers],[Income]])+SUMIFS(Table4490[Amount],Table4490[Date],S30,Table4490[Category],"&lt;&gt;"&amp;Table13685[[#Headers],[Income]])</f>
        <v>0</v>
      </c>
      <c r="V30" s="29">
        <f t="shared" si="1"/>
        <v>1156.74</v>
      </c>
      <c r="W30" s="1">
        <f t="shared" si="2"/>
        <v>1156.7400000000005</v>
      </c>
    </row>
    <row r="31" spans="2:23" x14ac:dyDescent="0.2">
      <c r="B31" s="32"/>
      <c r="C31" s="37" t="str">
        <f>CONCATENATE(Table1383[[#Headers],[Transportation]]," - Budget &amp; Tracking")</f>
        <v>Transportation - Budget &amp; Tracking</v>
      </c>
      <c r="D31" s="38"/>
      <c r="E31" s="38"/>
      <c r="F31" s="39"/>
      <c r="G31" s="32"/>
      <c r="H31" s="42"/>
      <c r="J31" s="11"/>
      <c r="K31" s="11"/>
      <c r="L31" s="11"/>
      <c r="M31" s="24"/>
      <c r="N31" s="12"/>
      <c r="O31" s="11"/>
      <c r="Q31" s="42"/>
      <c r="S31" s="30">
        <f t="shared" si="0"/>
        <v>41749</v>
      </c>
      <c r="T31" s="28">
        <f>SUMIFS(Table442091[Amount],Table442091[Date],S31,Table442091[Category],Table13685[[#Headers],[Income]])+SUMIFS(Table4490[Amount],Table4490[Date],S31,Table4490[Category],Table13685[[#Headers],[Income]])</f>
        <v>0</v>
      </c>
      <c r="U31" s="28">
        <f>SUMIFS(Table484[Amount],Table484[Date],S31,Table484[Category],"&lt;&gt;"&amp;Table13685[[#Headers],[Income]])+SUMIFS(Table4490[Amount],Table4490[Date],S31,Table4490[Category],"&lt;&gt;"&amp;Table13685[[#Headers],[Income]])</f>
        <v>0</v>
      </c>
      <c r="V31" s="28">
        <f t="shared" si="1"/>
        <v>1156.74</v>
      </c>
      <c r="W31" s="1">
        <f t="shared" si="2"/>
        <v>1156.7400000000005</v>
      </c>
    </row>
    <row r="32" spans="2:23" x14ac:dyDescent="0.2">
      <c r="B32" s="32"/>
      <c r="C32" s="31" t="s">
        <v>12</v>
      </c>
      <c r="D32" s="31" t="s">
        <v>1</v>
      </c>
      <c r="E32" s="31" t="s">
        <v>2</v>
      </c>
      <c r="F32" s="31" t="s">
        <v>14</v>
      </c>
      <c r="G32" s="32"/>
      <c r="H32" s="42"/>
      <c r="J32" s="11"/>
      <c r="K32" s="11"/>
      <c r="L32" s="11"/>
      <c r="M32" s="24"/>
      <c r="N32" s="12"/>
      <c r="O32" s="11"/>
      <c r="Q32" s="42"/>
      <c r="S32" s="27">
        <f t="shared" si="0"/>
        <v>41750</v>
      </c>
      <c r="T32" s="29">
        <f>SUMIFS(Table442091[Amount],Table442091[Date],S32,Table442091[Category],Table13685[[#Headers],[Income]])+SUMIFS(Table4490[Amount],Table4490[Date],S32,Table4490[Category],Table13685[[#Headers],[Income]])</f>
        <v>0</v>
      </c>
      <c r="U32" s="29">
        <f>SUMIFS(Table484[Amount],Table484[Date],S32,Table484[Category],"&lt;&gt;"&amp;Table13685[[#Headers],[Income]])+SUMIFS(Table4490[Amount],Table4490[Date],S32,Table4490[Category],"&lt;&gt;"&amp;Table13685[[#Headers],[Income]])</f>
        <v>0</v>
      </c>
      <c r="V32" s="29">
        <f t="shared" si="1"/>
        <v>1156.74</v>
      </c>
      <c r="W32" s="1">
        <f t="shared" si="2"/>
        <v>1156.7400000000005</v>
      </c>
    </row>
    <row r="33" spans="2:23" x14ac:dyDescent="0.2">
      <c r="B33" s="32"/>
      <c r="D33" s="2"/>
      <c r="E33" s="2">
        <f>SUMIFS(Table484[Amount],Table484[Category],Table1383[[#Headers],[Transportation]],Table484[Sub-Category],Table1383[[#This Row],[Transportation]])+SUMIFS(Table4490[Amount],Table4490[Category],Table1383[[#Headers],[Transportation]],Table4490[Sub-Category],Table1383[[#This Row],[Transportation]])</f>
        <v>0</v>
      </c>
      <c r="F33" s="3">
        <f>Table1383[[#This Row],[Budget]]-Table1383[[#This Row],[Actual]]</f>
        <v>0</v>
      </c>
      <c r="G33" s="32"/>
      <c r="H33" s="42"/>
      <c r="J33" s="37" t="s">
        <v>44</v>
      </c>
      <c r="K33" s="38"/>
      <c r="L33" s="38"/>
      <c r="M33" s="38"/>
      <c r="N33" s="38"/>
      <c r="O33" s="39"/>
      <c r="Q33" s="42"/>
      <c r="S33" s="30">
        <f t="shared" si="0"/>
        <v>41751</v>
      </c>
      <c r="T33" s="28">
        <f>SUMIFS(Table442091[Amount],Table442091[Date],S33,Table442091[Category],Table13685[[#Headers],[Income]])+SUMIFS(Table4490[Amount],Table4490[Date],S33,Table4490[Category],Table13685[[#Headers],[Income]])</f>
        <v>0</v>
      </c>
      <c r="U33" s="28">
        <f>SUMIFS(Table484[Amount],Table484[Date],S33,Table484[Category],"&lt;&gt;"&amp;Table13685[[#Headers],[Income]])+SUMIFS(Table4490[Amount],Table4490[Date],S33,Table4490[Category],"&lt;&gt;"&amp;Table13685[[#Headers],[Income]])</f>
        <v>0</v>
      </c>
      <c r="V33" s="28">
        <f t="shared" si="1"/>
        <v>1156.74</v>
      </c>
      <c r="W33" s="1">
        <f t="shared" si="2"/>
        <v>1156.7400000000005</v>
      </c>
    </row>
    <row r="34" spans="2:23" x14ac:dyDescent="0.2">
      <c r="B34" s="32"/>
      <c r="D34" s="2"/>
      <c r="E34" s="2">
        <f>SUMIFS(Table484[Amount],Table484[Category],Table1383[[#Headers],[Transportation]],Table484[Sub-Category],Table1383[[#This Row],[Transportation]])+SUMIFS(Table4490[Amount],Table4490[Category],Table1383[[#Headers],[Transportation]],Table4490[Sub-Category],Table1383[[#This Row],[Transportation]])</f>
        <v>0</v>
      </c>
      <c r="F34" s="3">
        <f>Table1383[[#This Row],[Budget]]-Table1383[[#This Row],[Actual]]</f>
        <v>0</v>
      </c>
      <c r="G34" s="32"/>
      <c r="H34" s="42"/>
      <c r="J34" s="31" t="s">
        <v>9</v>
      </c>
      <c r="K34" s="31" t="s">
        <v>0</v>
      </c>
      <c r="L34" s="31" t="s">
        <v>13</v>
      </c>
      <c r="M34" s="31" t="s">
        <v>10</v>
      </c>
      <c r="N34" s="31" t="s">
        <v>11</v>
      </c>
      <c r="O34" s="31" t="s">
        <v>16</v>
      </c>
      <c r="Q34" s="42"/>
      <c r="S34" s="27">
        <f t="shared" si="0"/>
        <v>41752</v>
      </c>
      <c r="T34" s="29">
        <f>SUMIFS(Table442091[Amount],Table442091[Date],S34,Table442091[Category],Table13685[[#Headers],[Income]])+SUMIFS(Table4490[Amount],Table4490[Date],S34,Table4490[Category],Table13685[[#Headers],[Income]])</f>
        <v>0</v>
      </c>
      <c r="U34" s="29">
        <f>SUMIFS(Table484[Amount],Table484[Date],S34,Table484[Category],"&lt;&gt;"&amp;Table13685[[#Headers],[Income]])+SUMIFS(Table4490[Amount],Table4490[Date],S34,Table4490[Category],"&lt;&gt;"&amp;Table13685[[#Headers],[Income]])</f>
        <v>0</v>
      </c>
      <c r="V34" s="29">
        <f t="shared" si="1"/>
        <v>1156.74</v>
      </c>
      <c r="W34" s="1">
        <f t="shared" si="2"/>
        <v>1156.7400000000005</v>
      </c>
    </row>
    <row r="35" spans="2:23" x14ac:dyDescent="0.2">
      <c r="B35" s="32"/>
      <c r="C35" s="11"/>
      <c r="D35" s="12"/>
      <c r="E35" s="13">
        <f>SUMIFS(Table484[Amount],Table484[Category],Table1383[[#Headers],[Transportation]],Table484[Sub-Category],Table1383[[#This Row],[Transportation]])+SUMIFS(Table4490[Amount],Table4490[Category],Table1383[[#Headers],[Transportation]],Table4490[Sub-Category],Table1383[[#This Row],[Transportation]])</f>
        <v>0</v>
      </c>
      <c r="F35" s="13">
        <f>Table1383[[#This Row],[Budget]]-Table1383[[#This Row],[Actual]]</f>
        <v>0</v>
      </c>
      <c r="G35" s="32"/>
      <c r="H35" s="42"/>
      <c r="M35" s="4"/>
      <c r="N35" s="2"/>
      <c r="Q35" s="42"/>
      <c r="S35" s="30">
        <f t="shared" si="0"/>
        <v>41753</v>
      </c>
      <c r="T35" s="28">
        <f>SUMIFS(Table442091[Amount],Table442091[Date],S35,Table442091[Category],Table13685[[#Headers],[Income]])+SUMIFS(Table4490[Amount],Table4490[Date],S35,Table4490[Category],Table13685[[#Headers],[Income]])</f>
        <v>0</v>
      </c>
      <c r="U35" s="28">
        <f>SUMIFS(Table484[Amount],Table484[Date],S35,Table484[Category],"&lt;&gt;"&amp;Table13685[[#Headers],[Income]])+SUMIFS(Table4490[Amount],Table4490[Date],S35,Table4490[Category],"&lt;&gt;"&amp;Table13685[[#Headers],[Income]])</f>
        <v>0</v>
      </c>
      <c r="V35" s="28">
        <f t="shared" si="1"/>
        <v>1156.74</v>
      </c>
      <c r="W35" s="1">
        <f t="shared" si="2"/>
        <v>1156.7400000000005</v>
      </c>
    </row>
    <row r="36" spans="2:23" x14ac:dyDescent="0.2">
      <c r="B36" s="32"/>
      <c r="C36" s="11"/>
      <c r="D36" s="12"/>
      <c r="E36" s="13">
        <f>SUMIFS(Table484[Amount],Table484[Category],Table1383[[#Headers],[Transportation]],Table484[Sub-Category],Table1383[[#This Row],[Transportation]])+SUMIFS(Table4490[Amount],Table4490[Category],Table1383[[#Headers],[Transportation]],Table4490[Sub-Category],Table1383[[#This Row],[Transportation]])</f>
        <v>0</v>
      </c>
      <c r="F36" s="13">
        <f>Table1383[[#This Row],[Budget]]-Table1383[[#This Row],[Actual]]</f>
        <v>0</v>
      </c>
      <c r="G36" s="32"/>
      <c r="H36" s="42"/>
      <c r="M36" s="4"/>
      <c r="N36" s="2"/>
      <c r="Q36" s="42"/>
      <c r="S36" s="27">
        <f t="shared" si="0"/>
        <v>41754</v>
      </c>
      <c r="T36" s="29">
        <f>SUMIFS(Table442091[Amount],Table442091[Date],S36,Table442091[Category],Table13685[[#Headers],[Income]])+SUMIFS(Table4490[Amount],Table4490[Date],S36,Table4490[Category],Table13685[[#Headers],[Income]])</f>
        <v>0</v>
      </c>
      <c r="U36" s="29">
        <f>SUMIFS(Table484[Amount],Table484[Date],S36,Table484[Category],"&lt;&gt;"&amp;Table13685[[#Headers],[Income]])+SUMIFS(Table4490[Amount],Table4490[Date],S36,Table4490[Category],"&lt;&gt;"&amp;Table13685[[#Headers],[Income]])</f>
        <v>0</v>
      </c>
      <c r="V36" s="29">
        <f t="shared" si="1"/>
        <v>1156.74</v>
      </c>
      <c r="W36" s="1">
        <f t="shared" si="2"/>
        <v>1156.7400000000005</v>
      </c>
    </row>
    <row r="37" spans="2:23" x14ac:dyDescent="0.2">
      <c r="B37" s="32"/>
      <c r="C37" s="9" t="s">
        <v>20</v>
      </c>
      <c r="D37" s="10">
        <f>SUBTOTAL(109,Table1383[Budget])</f>
        <v>0</v>
      </c>
      <c r="E37" s="10">
        <f>SUBTOTAL(109,Table1383[Actual])</f>
        <v>0</v>
      </c>
      <c r="F37" s="10">
        <f>SUBTOTAL(109,Table1383[Variance])</f>
        <v>0</v>
      </c>
      <c r="G37" s="32"/>
      <c r="H37" s="42"/>
      <c r="M37" s="4"/>
      <c r="N37" s="2"/>
      <c r="Q37" s="42"/>
      <c r="S37" s="30">
        <f t="shared" si="0"/>
        <v>41755</v>
      </c>
      <c r="T37" s="28">
        <f>SUMIFS(Table442091[Amount],Table442091[Date],S37,Table442091[Category],Table13685[[#Headers],[Income]])+SUMIFS(Table4490[Amount],Table4490[Date],S37,Table4490[Category],Table13685[[#Headers],[Income]])</f>
        <v>0</v>
      </c>
      <c r="U37" s="28">
        <f>SUMIFS(Table484[Amount],Table484[Date],S37,Table484[Category],"&lt;&gt;"&amp;Table13685[[#Headers],[Income]])+SUMIFS(Table4490[Amount],Table4490[Date],S37,Table4490[Category],"&lt;&gt;"&amp;Table13685[[#Headers],[Income]])</f>
        <v>0</v>
      </c>
      <c r="V37" s="28">
        <f t="shared" si="1"/>
        <v>1156.74</v>
      </c>
      <c r="W37" s="1">
        <f t="shared" si="2"/>
        <v>1156.7400000000005</v>
      </c>
    </row>
    <row r="38" spans="2:23" x14ac:dyDescent="0.2">
      <c r="B38" s="32"/>
      <c r="C38" s="26"/>
      <c r="D38" s="23"/>
      <c r="E38" s="23"/>
      <c r="F38" s="23"/>
      <c r="G38" s="32"/>
      <c r="H38" s="42"/>
      <c r="J38" s="11"/>
      <c r="K38" s="11"/>
      <c r="L38" s="11"/>
      <c r="M38" s="24"/>
      <c r="N38" s="12"/>
      <c r="O38" s="11"/>
      <c r="Q38" s="42"/>
      <c r="S38" s="27">
        <f t="shared" si="0"/>
        <v>41756</v>
      </c>
      <c r="T38" s="29">
        <f>SUMIFS(Table442091[Amount],Table442091[Date],S38,Table442091[Category],Table13685[[#Headers],[Income]])+SUMIFS(Table4490[Amount],Table4490[Date],S38,Table4490[Category],Table13685[[#Headers],[Income]])</f>
        <v>0</v>
      </c>
      <c r="U38" s="29">
        <f>SUMIFS(Table484[Amount],Table484[Date],S38,Table484[Category],"&lt;&gt;"&amp;Table13685[[#Headers],[Income]])+SUMIFS(Table4490[Amount],Table4490[Date],S38,Table4490[Category],"&lt;&gt;"&amp;Table13685[[#Headers],[Income]])</f>
        <v>0</v>
      </c>
      <c r="V38" s="29">
        <f t="shared" si="1"/>
        <v>1156.74</v>
      </c>
      <c r="W38" s="1">
        <f t="shared" si="2"/>
        <v>1156.7400000000005</v>
      </c>
    </row>
    <row r="39" spans="2:23" x14ac:dyDescent="0.2">
      <c r="B39" s="32"/>
      <c r="C39" s="37" t="str">
        <f>CONCATENATE(Table1391089[[#Headers],[Bills]]," - Budget &amp; Tracking")</f>
        <v>Bills - Budget &amp; Tracking</v>
      </c>
      <c r="D39" s="38"/>
      <c r="E39" s="38"/>
      <c r="F39" s="39"/>
      <c r="G39" s="32"/>
      <c r="H39" s="42"/>
      <c r="J39" s="11"/>
      <c r="K39" s="11"/>
      <c r="L39" s="11"/>
      <c r="M39" s="24"/>
      <c r="N39" s="12"/>
      <c r="O39" s="11"/>
      <c r="Q39" s="42"/>
      <c r="S39" s="30">
        <f t="shared" si="0"/>
        <v>41757</v>
      </c>
      <c r="T39" s="28">
        <f>SUMIFS(Table442091[Amount],Table442091[Date],S39,Table442091[Category],Table13685[[#Headers],[Income]])+SUMIFS(Table4490[Amount],Table4490[Date],S39,Table4490[Category],Table13685[[#Headers],[Income]])</f>
        <v>0</v>
      </c>
      <c r="U39" s="28">
        <f>SUMIFS(Table484[Amount],Table484[Date],S39,Table484[Category],"&lt;&gt;"&amp;Table13685[[#Headers],[Income]])+SUMIFS(Table4490[Amount],Table4490[Date],S39,Table4490[Category],"&lt;&gt;"&amp;Table13685[[#Headers],[Income]])</f>
        <v>0</v>
      </c>
      <c r="V39" s="28">
        <f t="shared" si="1"/>
        <v>1156.74</v>
      </c>
      <c r="W39" s="1">
        <f t="shared" si="2"/>
        <v>1156.7400000000005</v>
      </c>
    </row>
    <row r="40" spans="2:23" x14ac:dyDescent="0.2">
      <c r="B40" s="32"/>
      <c r="C40" s="31" t="s">
        <v>30</v>
      </c>
      <c r="D40" s="31" t="s">
        <v>1</v>
      </c>
      <c r="E40" s="31" t="s">
        <v>2</v>
      </c>
      <c r="F40" s="31" t="s">
        <v>14</v>
      </c>
      <c r="G40" s="32"/>
      <c r="H40" s="42"/>
      <c r="J40" s="11"/>
      <c r="K40" s="11"/>
      <c r="L40" s="11"/>
      <c r="M40" s="24"/>
      <c r="N40" s="12"/>
      <c r="O40" s="11"/>
      <c r="Q40" s="42"/>
      <c r="S40" s="27">
        <f t="shared" si="0"/>
        <v>41758</v>
      </c>
      <c r="T40" s="29">
        <f>SUMIFS(Table442091[Amount],Table442091[Date],S40,Table442091[Category],Table13685[[#Headers],[Income]])+SUMIFS(Table4490[Amount],Table4490[Date],S40,Table4490[Category],Table13685[[#Headers],[Income]])</f>
        <v>0</v>
      </c>
      <c r="U40" s="29">
        <f>SUMIFS(Table484[Amount],Table484[Date],S40,Table484[Category],"&lt;&gt;"&amp;Table13685[[#Headers],[Income]])+SUMIFS(Table4490[Amount],Table4490[Date],S40,Table4490[Category],"&lt;&gt;"&amp;Table13685[[#Headers],[Income]])</f>
        <v>0</v>
      </c>
      <c r="V40" s="29">
        <f t="shared" si="1"/>
        <v>1156.74</v>
      </c>
      <c r="W40" s="1">
        <f t="shared" si="2"/>
        <v>1156.7400000000005</v>
      </c>
    </row>
    <row r="41" spans="2:23" x14ac:dyDescent="0.2">
      <c r="B41" s="32"/>
      <c r="D41" s="2"/>
      <c r="E41" s="2">
        <f>SUMIFS(Table484[Amount],Table484[Category],Table1391089[[#Headers],[Bills]],Table484[Sub-Category],Table1391089[[#This Row],[Bills]])+SUMIFS(Table4490[Amount],Table4490[Category],Table1391089[[#Headers],[Bills]],Table4490[Sub-Category],Table1391089[[#This Row],[Bills]])</f>
        <v>0</v>
      </c>
      <c r="F41" s="3">
        <f>Table1391089[[#This Row],[Budget]]-Table1391089[[#This Row],[Actual]]</f>
        <v>0</v>
      </c>
      <c r="G41" s="32"/>
      <c r="H41" s="42"/>
      <c r="Q41" s="42"/>
      <c r="S41" s="30">
        <f t="shared" si="0"/>
        <v>41759</v>
      </c>
      <c r="T41" s="28">
        <f>SUMIFS(Table442091[Amount],Table442091[Date],S41,Table442091[Category],Table13685[[#Headers],[Income]])+SUMIFS(Table4490[Amount],Table4490[Date],S41,Table4490[Category],Table13685[[#Headers],[Income]])</f>
        <v>0</v>
      </c>
      <c r="U41" s="28">
        <f>SUMIFS(Table484[Amount],Table484[Date],S41,Table484[Category],"&lt;&gt;"&amp;Table13685[[#Headers],[Income]])+SUMIFS(Table4490[Amount],Table4490[Date],S41,Table4490[Category],"&lt;&gt;"&amp;Table13685[[#Headers],[Income]])</f>
        <v>0</v>
      </c>
      <c r="V41" s="28">
        <f t="shared" si="1"/>
        <v>1156.74</v>
      </c>
      <c r="W41" s="1">
        <f t="shared" si="2"/>
        <v>1156.7400000000005</v>
      </c>
    </row>
    <row r="42" spans="2:23" x14ac:dyDescent="0.2">
      <c r="B42" s="32"/>
      <c r="D42" s="2"/>
      <c r="E42" s="2">
        <f>SUMIFS(Table484[Amount],Table484[Category],Table1391089[[#Headers],[Bills]],Table484[Sub-Category],Table1391089[[#This Row],[Bills]])+SUMIFS(Table4490[Amount],Table4490[Category],Table1391089[[#Headers],[Bills]],Table4490[Sub-Category],Table1391089[[#This Row],[Bills]])</f>
        <v>0</v>
      </c>
      <c r="F42" s="3">
        <f>Table1391089[[#This Row],[Budget]]-Table1391089[[#This Row],[Actual]]</f>
        <v>0</v>
      </c>
      <c r="G42" s="32"/>
      <c r="H42" s="42"/>
      <c r="Q42" s="42"/>
      <c r="S42" s="27">
        <f t="shared" si="0"/>
        <v>41760</v>
      </c>
      <c r="T42" s="29">
        <f>SUMIFS(Table442091[Amount],Table442091[Date],S42,Table442091[Category],Table13685[[#Headers],[Income]])+SUMIFS(Table4490[Amount],Table4490[Date],S42,Table4490[Category],Table13685[[#Headers],[Income]])</f>
        <v>0</v>
      </c>
      <c r="U42" s="29">
        <f>SUMIFS(Table484[Amount],Table484[Date],S42,Table484[Category],"&lt;&gt;"&amp;Table13685[[#Headers],[Income]])+SUMIFS(Table4490[Amount],Table4490[Date],S42,Table4490[Category],"&lt;&gt;"&amp;Table13685[[#Headers],[Income]])</f>
        <v>0</v>
      </c>
      <c r="V42" s="29">
        <f t="shared" si="1"/>
        <v>1156.74</v>
      </c>
      <c r="W42" s="1">
        <f t="shared" si="2"/>
        <v>1156.7400000000005</v>
      </c>
    </row>
    <row r="43" spans="2:23" x14ac:dyDescent="0.2">
      <c r="B43" s="32"/>
      <c r="C43" s="11"/>
      <c r="D43" s="12"/>
      <c r="E43" s="13">
        <f>SUMIFS(Table484[Amount],Table484[Category],Table1391089[[#Headers],[Bills]],Table484[Sub-Category],Table1391089[[#This Row],[Bills]])+SUMIFS(Table4490[Amount],Table4490[Category],Table1391089[[#Headers],[Bills]],Table4490[Sub-Category],Table1391089[[#This Row],[Bills]])</f>
        <v>0</v>
      </c>
      <c r="F43" s="13">
        <f>Table1391089[[#This Row],[Budget]]-Table1391089[[#This Row],[Actual]]</f>
        <v>0</v>
      </c>
      <c r="G43" s="32"/>
      <c r="H43" s="42"/>
      <c r="Q43" s="42"/>
      <c r="S43" s="8"/>
    </row>
    <row r="44" spans="2:23" x14ac:dyDescent="0.2">
      <c r="B44" s="32"/>
      <c r="C44" s="11"/>
      <c r="D44" s="12"/>
      <c r="E44" s="13">
        <f>SUMIFS(Table484[Amount],Table484[Category],Table1391089[[#Headers],[Bills]],Table484[Sub-Category],Table1391089[[#This Row],[Bills]])+SUMIFS(Table4490[Amount],Table4490[Category],Table1391089[[#Headers],[Bills]],Table4490[Sub-Category],Table1391089[[#This Row],[Bills]])</f>
        <v>0</v>
      </c>
      <c r="F44" s="13">
        <f>Table1391089[[#This Row],[Budget]]-Table1391089[[#This Row],[Actual]]</f>
        <v>0</v>
      </c>
      <c r="G44" s="32"/>
      <c r="H44" s="42"/>
      <c r="Q44" s="42"/>
      <c r="S44" s="8"/>
    </row>
    <row r="45" spans="2:23" x14ac:dyDescent="0.2">
      <c r="B45" s="32"/>
      <c r="C45" s="11"/>
      <c r="D45" s="12"/>
      <c r="E45" s="13">
        <f>SUMIFS(Table484[Amount],Table484[Category],Table1391089[[#Headers],[Bills]],Table484[Sub-Category],Table1391089[[#This Row],[Bills]])+SUMIFS(Table4490[Amount],Table4490[Category],Table1391089[[#Headers],[Bills]],Table4490[Sub-Category],Table1391089[[#This Row],[Bills]])</f>
        <v>0</v>
      </c>
      <c r="F45" s="13">
        <f>Table1391089[[#This Row],[Budget]]-Table1391089[[#This Row],[Actual]]</f>
        <v>0</v>
      </c>
      <c r="G45" s="32"/>
      <c r="H45" s="42"/>
      <c r="Q45" s="42"/>
    </row>
    <row r="46" spans="2:23" x14ac:dyDescent="0.2">
      <c r="B46" s="32"/>
      <c r="C46" s="9" t="s">
        <v>20</v>
      </c>
      <c r="D46" s="10">
        <f>SUBTOTAL(109,Table1391089[Budget])</f>
        <v>0</v>
      </c>
      <c r="E46" s="10">
        <f>SUBTOTAL(109,Table1391089[Actual])</f>
        <v>0</v>
      </c>
      <c r="F46" s="10">
        <f>SUBTOTAL(109,Table1391089[Variance])</f>
        <v>0</v>
      </c>
      <c r="G46" s="32"/>
      <c r="H46" s="42"/>
      <c r="Q46" s="42"/>
    </row>
    <row r="47" spans="2:23" x14ac:dyDescent="0.2">
      <c r="B47" s="32"/>
      <c r="C47" s="20"/>
      <c r="D47" s="21"/>
      <c r="E47" s="21"/>
      <c r="F47" s="22"/>
      <c r="G47" s="32"/>
      <c r="H47" s="42"/>
      <c r="Q47" s="42"/>
    </row>
    <row r="48" spans="2:23" x14ac:dyDescent="0.2">
      <c r="B48" s="32"/>
      <c r="C48" s="37" t="str">
        <f>CONCATENATE(Table13786[[#Headers],[Living]]," - Budget &amp; Tracking")</f>
        <v>Living - Budget &amp; Tracking</v>
      </c>
      <c r="D48" s="38"/>
      <c r="E48" s="38"/>
      <c r="F48" s="39"/>
      <c r="G48" s="32"/>
      <c r="H48" s="42"/>
      <c r="Q48" s="42"/>
    </row>
    <row r="49" spans="2:17" x14ac:dyDescent="0.2">
      <c r="B49" s="32"/>
      <c r="C49" s="31" t="s">
        <v>25</v>
      </c>
      <c r="D49" s="31" t="s">
        <v>1</v>
      </c>
      <c r="E49" s="31" t="s">
        <v>2</v>
      </c>
      <c r="F49" s="31" t="s">
        <v>14</v>
      </c>
      <c r="G49" s="32"/>
      <c r="H49" s="42"/>
      <c r="Q49" s="42"/>
    </row>
    <row r="50" spans="2:17" x14ac:dyDescent="0.2">
      <c r="B50" s="32"/>
      <c r="D50" s="2"/>
      <c r="E50" s="2">
        <f>SUMIFS(Table484[Amount],Table484[Category],Table13786[[#Headers],[Living]],Table484[Sub-Category],Table13786[[#This Row],[Living]])+SUMIFS(Table4490[Amount],Table4490[Category],Table13786[[#Headers],[Living]],Table4490[Sub-Category],Table13786[[#This Row],[Living]])</f>
        <v>0</v>
      </c>
      <c r="F50" s="3">
        <f>Table13786[[#This Row],[Budget]]-Table13786[[#This Row],[Actual]]</f>
        <v>0</v>
      </c>
      <c r="G50" s="32"/>
      <c r="H50" s="42"/>
      <c r="Q50" s="42"/>
    </row>
    <row r="51" spans="2:17" x14ac:dyDescent="0.2">
      <c r="B51" s="32"/>
      <c r="D51" s="2"/>
      <c r="E51" s="2">
        <f>SUMIFS(Table484[Amount],Table484[Category],Table13786[[#Headers],[Living]],Table484[Sub-Category],Table13786[[#This Row],[Living]])+SUMIFS(Table4490[Amount],Table4490[Category],Table13786[[#Headers],[Living]],Table4490[Sub-Category],Table13786[[#This Row],[Living]])</f>
        <v>0</v>
      </c>
      <c r="F51" s="3">
        <f>Table13786[[#This Row],[Budget]]-Table13786[[#This Row],[Actual]]</f>
        <v>0</v>
      </c>
      <c r="G51" s="32"/>
      <c r="H51" s="42"/>
      <c r="Q51" s="42"/>
    </row>
    <row r="52" spans="2:17" x14ac:dyDescent="0.2">
      <c r="B52" s="32"/>
      <c r="C52" s="11"/>
      <c r="D52" s="12"/>
      <c r="E52" s="13">
        <f>SUMIFS(Table484[Amount],Table484[Category],Table13786[[#Headers],[Living]],Table484[Sub-Category],Table13786[[#This Row],[Living]])+SUMIFS(Table4490[Amount],Table4490[Category],Table13786[[#Headers],[Living]],Table4490[Sub-Category],Table13786[[#This Row],[Living]])</f>
        <v>0</v>
      </c>
      <c r="F52" s="13">
        <f>Table13786[[#This Row],[Budget]]-Table13786[[#This Row],[Actual]]</f>
        <v>0</v>
      </c>
      <c r="G52" s="32"/>
      <c r="H52" s="42"/>
      <c r="Q52" s="42"/>
    </row>
    <row r="53" spans="2:17" x14ac:dyDescent="0.2">
      <c r="B53" s="32"/>
      <c r="C53" s="11"/>
      <c r="D53" s="12"/>
      <c r="E53" s="13">
        <f>SUMIFS(Table484[Amount],Table484[Category],Table13786[[#Headers],[Living]],Table484[Sub-Category],Table13786[[#This Row],[Living]])+SUMIFS(Table4490[Amount],Table4490[Category],Table13786[[#Headers],[Living]],Table4490[Sub-Category],Table13786[[#This Row],[Living]])</f>
        <v>0</v>
      </c>
      <c r="F53" s="13">
        <f>Table13786[[#This Row],[Budget]]-Table13786[[#This Row],[Actual]]</f>
        <v>0</v>
      </c>
      <c r="G53" s="32"/>
      <c r="H53" s="42"/>
      <c r="Q53" s="42"/>
    </row>
    <row r="54" spans="2:17" x14ac:dyDescent="0.2">
      <c r="B54" s="32"/>
      <c r="C54" s="9" t="s">
        <v>20</v>
      </c>
      <c r="D54" s="10">
        <f>SUBTOTAL(109,Table13786[Budget])</f>
        <v>0</v>
      </c>
      <c r="E54" s="10">
        <f>SUBTOTAL(109,Table13786[Actual])</f>
        <v>0</v>
      </c>
      <c r="F54" s="10">
        <f>SUBTOTAL(109,Table13786[Variance])</f>
        <v>0</v>
      </c>
      <c r="G54" s="32"/>
      <c r="H54" s="42"/>
      <c r="Q54" s="42"/>
    </row>
    <row r="55" spans="2:17" x14ac:dyDescent="0.2">
      <c r="B55" s="32"/>
      <c r="C55" s="20"/>
      <c r="D55" s="21"/>
      <c r="E55" s="21"/>
      <c r="F55" s="22"/>
      <c r="G55" s="32"/>
      <c r="H55" s="42"/>
      <c r="Q55" s="42"/>
    </row>
    <row r="56" spans="2:17" x14ac:dyDescent="0.2">
      <c r="B56" s="32"/>
      <c r="C56" s="37" t="str">
        <f>CONCATENATE(Table13887[[#Headers],[Entertainment]]," - Budget &amp; Tracking")</f>
        <v>Entertainment - Budget &amp; Tracking</v>
      </c>
      <c r="D56" s="38"/>
      <c r="E56" s="38"/>
      <c r="F56" s="39"/>
      <c r="G56" s="32"/>
      <c r="H56" s="42"/>
      <c r="Q56" s="42"/>
    </row>
    <row r="57" spans="2:17" x14ac:dyDescent="0.2">
      <c r="B57" s="32"/>
      <c r="C57" s="31" t="s">
        <v>24</v>
      </c>
      <c r="D57" s="31" t="s">
        <v>1</v>
      </c>
      <c r="E57" s="31" t="s">
        <v>2</v>
      </c>
      <c r="F57" s="31" t="s">
        <v>14</v>
      </c>
      <c r="G57" s="32"/>
      <c r="H57" s="42"/>
      <c r="Q57" s="42"/>
    </row>
    <row r="58" spans="2:17" x14ac:dyDescent="0.2">
      <c r="B58" s="32"/>
      <c r="D58" s="2"/>
      <c r="E58" s="2">
        <f>SUMIFS(Table484[Amount],Table484[Category],Table13887[[#Headers],[Entertainment]],Table484[Sub-Category],Table13887[[#This Row],[Entertainment]])+SUMIFS(Table4490[Amount],Table4490[Category],Table13887[[#Headers],[Entertainment]],Table4490[Sub-Category],Table13887[[#This Row],[Entertainment]])</f>
        <v>0</v>
      </c>
      <c r="F58" s="3">
        <f>Table13887[[#This Row],[Budget]]-Table13887[[#This Row],[Actual]]</f>
        <v>0</v>
      </c>
      <c r="G58" s="32"/>
      <c r="H58" s="42"/>
      <c r="Q58" s="42"/>
    </row>
    <row r="59" spans="2:17" x14ac:dyDescent="0.2">
      <c r="B59" s="33"/>
      <c r="D59" s="2"/>
      <c r="E59" s="2">
        <f>SUMIFS(Table484[Amount],Table484[Category],Table13887[[#Headers],[Entertainment]],Table484[Sub-Category],Table13887[[#This Row],[Entertainment]])+SUMIFS(Table4490[Amount],Table4490[Category],Table13887[[#Headers],[Entertainment]],Table4490[Sub-Category],Table13887[[#This Row],[Entertainment]])</f>
        <v>0</v>
      </c>
      <c r="F59" s="3">
        <f>Table13887[[#This Row],[Budget]]-Table13887[[#This Row],[Actual]]</f>
        <v>0</v>
      </c>
      <c r="G59" s="33"/>
      <c r="H59" s="42"/>
      <c r="Q59" s="42"/>
    </row>
    <row r="60" spans="2:17" x14ac:dyDescent="0.2">
      <c r="C60" s="9" t="s">
        <v>20</v>
      </c>
      <c r="D60" s="10">
        <f>SUBTOTAL(109,Table13887[Budget])</f>
        <v>0</v>
      </c>
      <c r="E60" s="10">
        <f>SUBTOTAL(109,Table13887[Actual])</f>
        <v>0</v>
      </c>
      <c r="F60" s="10">
        <f>SUBTOTAL(109,Table13887[Variance])</f>
        <v>0</v>
      </c>
      <c r="H60" s="42"/>
      <c r="Q60" s="42"/>
    </row>
    <row r="61" spans="2:17" x14ac:dyDescent="0.2">
      <c r="C61" s="26"/>
      <c r="D61" s="23"/>
      <c r="E61" s="23"/>
      <c r="F61" s="23"/>
      <c r="H61" s="42"/>
      <c r="Q61" s="42"/>
    </row>
    <row r="62" spans="2:17" x14ac:dyDescent="0.2">
      <c r="C62" s="37" t="str">
        <f>CONCATENATE(Table13988[[#Headers],[Misc.]]," - Budget &amp; Tracking")</f>
        <v>Misc. - Budget &amp; Tracking</v>
      </c>
      <c r="D62" s="38"/>
      <c r="E62" s="38"/>
      <c r="F62" s="39"/>
      <c r="H62" s="42"/>
      <c r="Q62" s="42"/>
    </row>
    <row r="63" spans="2:17" x14ac:dyDescent="0.2">
      <c r="C63" s="31" t="s">
        <v>27</v>
      </c>
      <c r="D63" s="31" t="s">
        <v>1</v>
      </c>
      <c r="E63" s="31" t="s">
        <v>2</v>
      </c>
      <c r="F63" s="31" t="s">
        <v>14</v>
      </c>
      <c r="H63" s="42"/>
      <c r="Q63" s="42"/>
    </row>
    <row r="64" spans="2:17" x14ac:dyDescent="0.2">
      <c r="C64" s="11"/>
      <c r="D64" s="12"/>
      <c r="E64" s="13">
        <f>SUMIFS(Table484[Amount],Table484[Category],Table13988[[#Headers],[Misc.]],Table484[Sub-Category],Table13988[[#This Row],[Misc.]])+SUMIFS(Table4490[Amount],Table4490[Category],Table13988[[#Headers],[Misc.]],Table4490[Sub-Category],Table13988[[#This Row],[Misc.]])</f>
        <v>0</v>
      </c>
      <c r="F64" s="13">
        <f>Table13988[[#This Row],[Budget]]-Table13988[[#This Row],[Actual]]</f>
        <v>0</v>
      </c>
      <c r="H64" s="42"/>
      <c r="Q64" s="42"/>
    </row>
    <row r="65" spans="3:17" x14ac:dyDescent="0.2">
      <c r="C65" s="11"/>
      <c r="D65" s="12"/>
      <c r="E65" s="13">
        <f>SUMIFS(Table484[Amount],Table484[Category],Table13988[[#Headers],[Misc.]],Table484[Sub-Category],Table13988[[#This Row],[Misc.]])+SUMIFS(Table4490[Amount],Table4490[Category],Table13988[[#Headers],[Misc.]],Table4490[Sub-Category],Table13988[[#This Row],[Misc.]])</f>
        <v>0</v>
      </c>
      <c r="F65" s="13">
        <f>Table13988[[#This Row],[Budget]]-Table13988[[#This Row],[Actual]]</f>
        <v>0</v>
      </c>
      <c r="H65" s="42"/>
      <c r="Q65" s="42"/>
    </row>
    <row r="66" spans="3:17" x14ac:dyDescent="0.2">
      <c r="C66" s="9" t="s">
        <v>20</v>
      </c>
      <c r="D66" s="10">
        <f>SUBTOTAL(109,Table13988[Budget])</f>
        <v>0</v>
      </c>
      <c r="E66" s="10">
        <f>SUBTOTAL(109,Table13988[Actual])</f>
        <v>0</v>
      </c>
      <c r="F66" s="10">
        <f>SUBTOTAL(109,Table13988[Variance])</f>
        <v>0</v>
      </c>
      <c r="H66" s="42"/>
      <c r="Q66" s="42"/>
    </row>
    <row r="67" spans="3:17" x14ac:dyDescent="0.2">
      <c r="C67" s="26"/>
      <c r="D67" s="23"/>
      <c r="E67" s="23"/>
      <c r="F67" s="23"/>
    </row>
    <row r="68" spans="3:17" x14ac:dyDescent="0.2">
      <c r="C68" s="33"/>
      <c r="D68" s="34"/>
      <c r="E68" s="34"/>
      <c r="F68" s="34"/>
    </row>
  </sheetData>
  <mergeCells count="1">
    <mergeCell ref="C1:F1"/>
  </mergeCells>
  <conditionalFormatting sqref="F33:F36">
    <cfRule type="iconSet" priority="23">
      <iconSet iconSet="3Symbols">
        <cfvo type="percent" val="0"/>
        <cfvo type="num" val="0"/>
        <cfvo type="num" val="10"/>
      </iconSet>
    </cfRule>
  </conditionalFormatting>
  <conditionalFormatting sqref="F50:F53">
    <cfRule type="iconSet" priority="21">
      <iconSet iconSet="3Symbols">
        <cfvo type="percent" val="0"/>
        <cfvo type="num" val="0"/>
        <cfvo type="num" val="10"/>
      </iconSet>
    </cfRule>
  </conditionalFormatting>
  <conditionalFormatting sqref="F58:F59">
    <cfRule type="iconSet" priority="20">
      <iconSet iconSet="3Symbols">
        <cfvo type="percent" val="0"/>
        <cfvo type="num" val="0"/>
        <cfvo type="num" val="10"/>
      </iconSet>
    </cfRule>
  </conditionalFormatting>
  <conditionalFormatting sqref="F41:F45">
    <cfRule type="iconSet" priority="19">
      <iconSet iconSet="3Symbols">
        <cfvo type="percent" val="0"/>
        <cfvo type="num" val="0"/>
        <cfvo type="num" val="10"/>
      </iconSet>
    </cfRule>
  </conditionalFormatting>
  <conditionalFormatting sqref="D6:E6">
    <cfRule type="iconSet" priority="18">
      <iconSet iconSet="3Symbols">
        <cfvo type="percent" val="0"/>
        <cfvo type="num" val="0" gte="0"/>
        <cfvo type="num" val="10"/>
      </iconSet>
    </cfRule>
  </conditionalFormatting>
  <conditionalFormatting sqref="F3:F6">
    <cfRule type="iconSet" priority="17">
      <iconSet iconSet="3Arrows">
        <cfvo type="percent" val="0"/>
        <cfvo type="num" val="-50"/>
        <cfvo type="num" val="0" gte="0"/>
      </iconSet>
    </cfRule>
  </conditionalFormatting>
  <conditionalFormatting sqref="F20:F28">
    <cfRule type="iconSet" priority="24">
      <iconSet iconSet="3Symbols">
        <cfvo type="percent" val="0"/>
        <cfvo type="num" val="0"/>
        <cfvo type="num" val="10"/>
      </iconSet>
    </cfRule>
  </conditionalFormatting>
  <conditionalFormatting sqref="S12">
    <cfRule type="cellIs" dxfId="79" priority="16" operator="equal">
      <formula>TODAY()</formula>
    </cfRule>
  </conditionalFormatting>
  <conditionalFormatting sqref="T12 T20:U42">
    <cfRule type="expression" dxfId="78" priority="15">
      <formula>IF($S12=TODAY(),TRUE)</formula>
    </cfRule>
  </conditionalFormatting>
  <conditionalFormatting sqref="U12">
    <cfRule type="expression" dxfId="77" priority="14">
      <formula>IF($S12=TODAY(),TRUE)</formula>
    </cfRule>
  </conditionalFormatting>
  <conditionalFormatting sqref="V12 V20:V42">
    <cfRule type="expression" dxfId="76" priority="13">
      <formula>IF($S12=TODAY(),TRUE)</formula>
    </cfRule>
  </conditionalFormatting>
  <conditionalFormatting sqref="S13:S15">
    <cfRule type="cellIs" dxfId="75" priority="12" operator="equal">
      <formula>TODAY()</formula>
    </cfRule>
  </conditionalFormatting>
  <conditionalFormatting sqref="T13:T15">
    <cfRule type="expression" dxfId="74" priority="11">
      <formula>IF($S13=TODAY(),TRUE)</formula>
    </cfRule>
  </conditionalFormatting>
  <conditionalFormatting sqref="U13:U15">
    <cfRule type="expression" dxfId="73" priority="10">
      <formula>IF($S13=TODAY(),TRUE)</formula>
    </cfRule>
  </conditionalFormatting>
  <conditionalFormatting sqref="V13:V15">
    <cfRule type="expression" dxfId="72" priority="9">
      <formula>IF($S13=TODAY(),TRUE)</formula>
    </cfRule>
  </conditionalFormatting>
  <conditionalFormatting sqref="S16 S20 S24 S28 S32 S36 S40">
    <cfRule type="cellIs" dxfId="71" priority="8" operator="equal">
      <formula>TODAY()</formula>
    </cfRule>
  </conditionalFormatting>
  <conditionalFormatting sqref="T16">
    <cfRule type="expression" dxfId="70" priority="7">
      <formula>IF($S16=TODAY(),TRUE)</formula>
    </cfRule>
  </conditionalFormatting>
  <conditionalFormatting sqref="U16">
    <cfRule type="expression" dxfId="69" priority="6">
      <formula>IF($S16=TODAY(),TRUE)</formula>
    </cfRule>
  </conditionalFormatting>
  <conditionalFormatting sqref="V16">
    <cfRule type="expression" dxfId="68" priority="5">
      <formula>IF($S16=TODAY(),TRUE)</formula>
    </cfRule>
  </conditionalFormatting>
  <conditionalFormatting sqref="S17:S19 S21:S23 S25:S27 S29:S31 S33:S35 S37:S39 S41:S42">
    <cfRule type="cellIs" dxfId="67" priority="4" operator="equal">
      <formula>TODAY()</formula>
    </cfRule>
  </conditionalFormatting>
  <conditionalFormatting sqref="T17:T19">
    <cfRule type="expression" dxfId="66" priority="3">
      <formula>IF($S17=TODAY(),TRUE)</formula>
    </cfRule>
  </conditionalFormatting>
  <conditionalFormatting sqref="U17:U19">
    <cfRule type="expression" dxfId="65" priority="2">
      <formula>IF($S17=TODAY(),TRUE)</formula>
    </cfRule>
  </conditionalFormatting>
  <conditionalFormatting sqref="V17:V19">
    <cfRule type="expression" dxfId="64" priority="1">
      <formula>IF($S17=TODAY(),TRUE)</formula>
    </cfRule>
  </conditionalFormatting>
  <conditionalFormatting sqref="F66:F68">
    <cfRule type="iconSet" priority="25">
      <iconSet iconSet="3Symbols">
        <cfvo type="percent" val="0"/>
        <cfvo type="num" val="0" gte="0"/>
        <cfvo type="num" val="10"/>
      </iconSet>
    </cfRule>
  </conditionalFormatting>
  <conditionalFormatting sqref="F60:F61">
    <cfRule type="iconSet" priority="26">
      <iconSet iconSet="3Symbols">
        <cfvo type="percent" val="0"/>
        <cfvo type="num" val="0" gte="0"/>
        <cfvo type="num" val="10"/>
      </iconSet>
    </cfRule>
  </conditionalFormatting>
  <conditionalFormatting sqref="F54:F55">
    <cfRule type="iconSet" priority="27">
      <iconSet iconSet="3Symbols">
        <cfvo type="percent" val="0"/>
        <cfvo type="num" val="0" gte="0"/>
        <cfvo type="num" val="10" gte="0"/>
      </iconSet>
    </cfRule>
  </conditionalFormatting>
  <conditionalFormatting sqref="F46:F47">
    <cfRule type="iconSet" priority="28">
      <iconSet iconSet="3Symbols">
        <cfvo type="percent" val="0"/>
        <cfvo type="num" val="0" gte="0"/>
        <cfvo type="num" val="10"/>
      </iconSet>
    </cfRule>
  </conditionalFormatting>
  <conditionalFormatting sqref="F37:F38">
    <cfRule type="iconSet" priority="29">
      <iconSet iconSet="3Symbols">
        <cfvo type="percent" val="0"/>
        <cfvo type="num" val="0" gte="0"/>
        <cfvo type="num" val="10"/>
      </iconSet>
    </cfRule>
  </conditionalFormatting>
  <conditionalFormatting sqref="F29:F30">
    <cfRule type="iconSet" priority="30">
      <iconSet iconSet="3Symbols">
        <cfvo type="percent" val="0"/>
        <cfvo type="num" val="0" gte="0"/>
        <cfvo type="num" val="10"/>
      </iconSet>
    </cfRule>
  </conditionalFormatting>
  <conditionalFormatting sqref="F64:F65">
    <cfRule type="iconSet" priority="32">
      <iconSet iconSet="3Symbols">
        <cfvo type="percent" val="0"/>
        <cfvo type="num" val="0"/>
        <cfvo type="num" val="10"/>
      </iconSet>
    </cfRule>
  </conditionalFormatting>
  <dataValidations count="3">
    <dataValidation type="list" allowBlank="1" showInputMessage="1" showErrorMessage="1" sqref="O35:O40 O19:O32 O12:O16">
      <formula1>$U$2:$U$4</formula1>
    </dataValidation>
    <dataValidation type="list" allowBlank="1" showInputMessage="1" showErrorMessage="1" sqref="K35:K40 K19:K32 K12:K16">
      <formula1>$R$2:$R$8</formula1>
    </dataValidation>
    <dataValidation type="list" allowBlank="1" showInputMessage="1" showErrorMessage="1" sqref="L35:L40 L12:L16 L19:L32">
      <formula1>INDIRECT(K12)</formula1>
    </dataValidation>
  </dataValidations>
  <printOptions horizontalCentered="1"/>
  <pageMargins left="0.2" right="0.2" top="0.25" bottom="0.25" header="0.3" footer="0.3"/>
  <pageSetup scale="76" orientation="landscape" r:id="rId1"/>
  <drawing r:id="rId2"/>
  <tableParts count="10">
    <tablePart r:id="rId3"/>
    <tablePart r:id="rId4"/>
    <tablePart r:id="rId5"/>
    <tablePart r:id="rId6"/>
    <tablePart r:id="rId7"/>
    <tablePart r:id="rId8"/>
    <tablePart r:id="rId9"/>
    <tablePart r:id="rId10"/>
    <tablePart r:id="rId11"/>
    <tablePart r:id="rId12"/>
  </tableParts>
  <extLst>
    <ext xmlns:x14="http://schemas.microsoft.com/office/spreadsheetml/2009/9/main" uri="{78C0D931-6437-407d-A8EE-F0AAD7539E65}">
      <x14:conditionalFormattings>
        <x14:conditionalFormatting xmlns:xm="http://schemas.microsoft.com/office/excel/2006/main">
          <x14:cfRule type="iconSet" priority="22" id="{7CECDA5E-5AFB-4AB9-8BF4-DC9D56DD8E46}">
            <x14:iconSet iconSet="3Symbols" custom="1">
              <x14:cfvo type="percent">
                <xm:f>0</xm:f>
              </x14:cfvo>
              <x14:cfvo type="num">
                <xm:f>0</xm:f>
              </x14:cfvo>
              <x14:cfvo type="num">
                <xm:f>10</xm:f>
              </x14:cfvo>
              <x14:cfIcon iconSet="3Symbols" iconId="0"/>
              <x14:cfIcon iconSet="3Symbols" iconId="1"/>
              <x14:cfIcon iconSet="3Symbols" iconId="2"/>
            </x14:iconSet>
          </x14:cfRule>
          <xm:sqref>F12:F15</xm:sqref>
        </x14:conditionalFormatting>
        <x14:conditionalFormatting xmlns:xm="http://schemas.microsoft.com/office/excel/2006/main">
          <x14:cfRule type="iconSet" priority="31" id="{60325320-D344-499E-AF19-50704D235F02}">
            <x14:iconSet iconSet="3Symbols" custom="1">
              <x14:cfvo type="percent">
                <xm:f>0</xm:f>
              </x14:cfvo>
              <x14:cfvo type="num" gte="0">
                <xm:f>0</xm:f>
              </x14:cfvo>
              <x14:cfvo type="num">
                <xm:f>10</xm:f>
              </x14:cfvo>
              <x14:cfIcon iconSet="3Symbols" iconId="0"/>
              <x14:cfIcon iconSet="3Symbols" iconId="1"/>
              <x14:cfIcon iconSet="3Symbols" iconId="2"/>
            </x14:iconSet>
          </x14:cfRule>
          <xm:sqref>F16:F17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8"/>
  <sheetViews>
    <sheetView showGridLines="0" zoomScaleNormal="100" workbookViewId="0">
      <selection activeCell="C1" sqref="C1:F1"/>
    </sheetView>
  </sheetViews>
  <sheetFormatPr defaultColWidth="0" defaultRowHeight="12" x14ac:dyDescent="0.2"/>
  <cols>
    <col min="1" max="2" width="0.7109375" style="1" customWidth="1"/>
    <col min="3" max="3" width="15" style="1" bestFit="1" customWidth="1"/>
    <col min="4" max="6" width="12.85546875" style="1" customWidth="1"/>
    <col min="7" max="7" width="0.85546875" style="1" customWidth="1"/>
    <col min="8" max="8" width="0.28515625" style="1" customWidth="1"/>
    <col min="9" max="9" width="0.85546875" style="1" customWidth="1"/>
    <col min="10" max="10" width="24.42578125" style="1" bestFit="1" customWidth="1"/>
    <col min="11" max="11" width="12.140625" style="1" bestFit="1" customWidth="1"/>
    <col min="12" max="12" width="14.140625" style="1" bestFit="1" customWidth="1"/>
    <col min="13" max="13" width="8.5703125" style="1" bestFit="1" customWidth="1"/>
    <col min="14" max="14" width="9.7109375" style="1" bestFit="1" customWidth="1"/>
    <col min="15" max="15" width="8.28515625" style="1" bestFit="1" customWidth="1"/>
    <col min="16" max="16" width="0.85546875" style="1" customWidth="1"/>
    <col min="17" max="17" width="0.28515625" style="1" customWidth="1"/>
    <col min="18" max="18" width="0.85546875" style="1" customWidth="1"/>
    <col min="19" max="19" width="10.28515625" style="1" bestFit="1" customWidth="1"/>
    <col min="20" max="22" width="9.5703125" style="1" customWidth="1"/>
    <col min="23" max="23" width="0.7109375" style="1" customWidth="1"/>
    <col min="24" max="24" width="0.7109375" style="1" hidden="1" customWidth="1"/>
    <col min="25" max="25" width="12.140625" style="1" hidden="1" customWidth="1"/>
    <col min="26" max="27" width="4" style="1" hidden="1" customWidth="1"/>
    <col min="28" max="16384" width="9.140625" style="1" hidden="1"/>
  </cols>
  <sheetData>
    <row r="1" spans="2:23" ht="26.25" x14ac:dyDescent="0.4">
      <c r="C1" s="61">
        <f>DATE(YEAR(Mo.8!C1),MONTH(Mo.8!C1)+1,DAY(Mo.8!C1))</f>
        <v>41760</v>
      </c>
      <c r="D1" s="61"/>
      <c r="E1" s="61"/>
      <c r="F1" s="61"/>
      <c r="R1" s="45" t="s">
        <v>0</v>
      </c>
      <c r="S1" s="45" t="s">
        <v>1</v>
      </c>
      <c r="T1" s="45" t="s">
        <v>2</v>
      </c>
      <c r="U1" s="45" t="s">
        <v>16</v>
      </c>
      <c r="V1" s="45" t="s">
        <v>45</v>
      </c>
    </row>
    <row r="2" spans="2:23" x14ac:dyDescent="0.2">
      <c r="D2" s="18" t="s">
        <v>1</v>
      </c>
      <c r="E2" s="19" t="s">
        <v>2</v>
      </c>
      <c r="F2" s="19" t="s">
        <v>14</v>
      </c>
      <c r="R2" s="45" t="str">
        <f>Table13695[[#Headers],[Income]]</f>
        <v>Income</v>
      </c>
      <c r="S2" s="45">
        <f>SUM(Table13695[Budget])</f>
        <v>0</v>
      </c>
      <c r="T2" s="45">
        <f>SUM(Table13695[Actual])</f>
        <v>0</v>
      </c>
      <c r="U2" s="45" t="s">
        <v>19</v>
      </c>
      <c r="V2" s="45">
        <f>AVERAGE(V12:V42)</f>
        <v>1156.7400000000005</v>
      </c>
    </row>
    <row r="3" spans="2:23" x14ac:dyDescent="0.2">
      <c r="C3" s="17" t="s">
        <v>35</v>
      </c>
      <c r="D3" s="5">
        <f>Mo.8!D6</f>
        <v>1156.74</v>
      </c>
      <c r="E3" s="14">
        <f>Mo.8!E6</f>
        <v>1156.74</v>
      </c>
      <c r="F3" s="14">
        <f>E3-D3</f>
        <v>0</v>
      </c>
      <c r="R3" s="45" t="str">
        <f>Table192[[#Headers],[Housing]]</f>
        <v>Housing</v>
      </c>
      <c r="S3" s="45">
        <f>SUM(Table192[Budget])</f>
        <v>0</v>
      </c>
      <c r="T3" s="45">
        <f>SUM(Table192[Actual])</f>
        <v>0</v>
      </c>
      <c r="U3" s="45" t="s">
        <v>17</v>
      </c>
      <c r="V3" s="45"/>
    </row>
    <row r="4" spans="2:23" x14ac:dyDescent="0.2">
      <c r="C4" s="17" t="s">
        <v>32</v>
      </c>
      <c r="D4" s="5">
        <f>Table13695[[#Totals],[Budget]]</f>
        <v>0</v>
      </c>
      <c r="E4" s="5">
        <f>Table13695[[#Totals],[Actual]]</f>
        <v>0</v>
      </c>
      <c r="F4" s="5">
        <f>E4-D4</f>
        <v>0</v>
      </c>
      <c r="R4" s="45" t="str">
        <f>Table1393[[#Headers],[Transportation]]</f>
        <v>Transportation</v>
      </c>
      <c r="S4" s="45">
        <f>SUM(Table1393[Budget])</f>
        <v>0</v>
      </c>
      <c r="T4" s="45">
        <f>SUM(Table1393[Actual])</f>
        <v>0</v>
      </c>
      <c r="U4" s="45" t="s">
        <v>18</v>
      </c>
      <c r="V4" s="45"/>
    </row>
    <row r="5" spans="2:23" x14ac:dyDescent="0.2">
      <c r="C5" s="17" t="s">
        <v>33</v>
      </c>
      <c r="D5" s="5">
        <f>Table192[[#Totals],[Budget]]+Table1393[[#Totals],[Budget]]+Table1391099[[#Totals],[Budget]]+Table13796[[#Totals],[Budget]]+Table13897[[#Totals],[Budget]]+Table13998[[#Totals],[Budget]]</f>
        <v>0</v>
      </c>
      <c r="E5" s="5">
        <f>Table192[[#Totals],[Actual]]+Table1393[[#Totals],[Actual]]+Table1391099[[#Totals],[Actual]]+Table13796[[#Totals],[Actual]]+Table13897[[#Totals],[Actual]]+Table13998[[#Totals],[Actual]]</f>
        <v>0</v>
      </c>
      <c r="F5" s="5">
        <f>E5-D5</f>
        <v>0</v>
      </c>
      <c r="R5" s="45" t="str">
        <f>Table1391099[[#Headers],[Bills]]</f>
        <v>Bills</v>
      </c>
      <c r="S5" s="45">
        <f>SUM(Table1391099[Budget])</f>
        <v>0</v>
      </c>
      <c r="T5" s="45">
        <f>SUM(Table1391099[Actual])</f>
        <v>0</v>
      </c>
      <c r="U5" s="45"/>
      <c r="V5" s="45"/>
    </row>
    <row r="6" spans="2:23" x14ac:dyDescent="0.2">
      <c r="C6" s="15" t="s">
        <v>34</v>
      </c>
      <c r="D6" s="16">
        <f>D3+D4-D5</f>
        <v>1156.74</v>
      </c>
      <c r="E6" s="16">
        <f>E3+E4-E5</f>
        <v>1156.74</v>
      </c>
      <c r="F6" s="16">
        <f>F3+F4-F5</f>
        <v>0</v>
      </c>
      <c r="R6" s="45" t="str">
        <f>Table13796[[#Headers],[Living]]</f>
        <v>Living</v>
      </c>
      <c r="S6" s="45">
        <f>SUM(Table13796[Budget])</f>
        <v>0</v>
      </c>
      <c r="T6" s="45">
        <f>SUM(Table13796[Actual])</f>
        <v>0</v>
      </c>
      <c r="U6" s="45"/>
      <c r="V6" s="45"/>
    </row>
    <row r="7" spans="2:23" ht="3.75" customHeight="1" x14ac:dyDescent="0.2">
      <c r="D7" s="2"/>
      <c r="R7" s="45" t="str">
        <f>Table13897[[#Headers],[Entertainment]]</f>
        <v>Entertainment</v>
      </c>
      <c r="S7" s="45">
        <f>SUM(Table13897[Budget])</f>
        <v>0</v>
      </c>
      <c r="T7" s="45">
        <f>SUM(Table13897[Actual])</f>
        <v>0</v>
      </c>
      <c r="U7" s="45"/>
      <c r="V7" s="45"/>
    </row>
    <row r="8" spans="2:23" ht="1.5" customHeight="1" x14ac:dyDescent="0.2">
      <c r="C8" s="42"/>
      <c r="D8" s="43"/>
      <c r="E8" s="42"/>
      <c r="F8" s="42"/>
      <c r="G8" s="42"/>
      <c r="H8" s="42"/>
      <c r="I8" s="42"/>
      <c r="J8" s="42"/>
      <c r="K8" s="42"/>
      <c r="L8" s="42"/>
      <c r="M8" s="42"/>
      <c r="N8" s="42"/>
      <c r="O8" s="42"/>
      <c r="P8" s="42"/>
      <c r="Q8" s="42"/>
      <c r="R8" s="44" t="str">
        <f>Table13998[[#Headers],[Misc.]]</f>
        <v>Misc.</v>
      </c>
      <c r="S8" s="44">
        <f>SUM(Table13998[Budget])</f>
        <v>0</v>
      </c>
      <c r="T8" s="44">
        <f>SUM(Table13998[Actual])</f>
        <v>0</v>
      </c>
      <c r="U8" s="44"/>
      <c r="V8" s="44"/>
    </row>
    <row r="9" spans="2:23" ht="3.75" customHeight="1" x14ac:dyDescent="0.2">
      <c r="D9" s="2"/>
      <c r="H9" s="42"/>
      <c r="Q9" s="42"/>
    </row>
    <row r="10" spans="2:23" s="25" customFormat="1" x14ac:dyDescent="0.2">
      <c r="B10" s="35"/>
      <c r="C10" s="37" t="str">
        <f>CONCATENATE(Table13695[[#Headers],[Income]]," - Budget &amp; Tracking")</f>
        <v>Income - Budget &amp; Tracking</v>
      </c>
      <c r="D10" s="38"/>
      <c r="E10" s="38"/>
      <c r="F10" s="39"/>
      <c r="G10" s="35"/>
      <c r="H10" s="41"/>
      <c r="J10" s="37" t="s">
        <v>42</v>
      </c>
      <c r="K10" s="38"/>
      <c r="L10" s="38"/>
      <c r="M10" s="38"/>
      <c r="N10" s="38"/>
      <c r="O10" s="39"/>
      <c r="Q10" s="41"/>
      <c r="S10" s="37" t="s">
        <v>40</v>
      </c>
      <c r="T10" s="38"/>
      <c r="U10" s="38"/>
      <c r="V10" s="39"/>
    </row>
    <row r="11" spans="2:23" ht="12.75" thickBot="1" x14ac:dyDescent="0.25">
      <c r="B11" s="32"/>
      <c r="C11" s="31" t="s">
        <v>15</v>
      </c>
      <c r="D11" s="31" t="s">
        <v>1</v>
      </c>
      <c r="E11" s="31" t="s">
        <v>2</v>
      </c>
      <c r="F11" s="31" t="s">
        <v>14</v>
      </c>
      <c r="G11" s="32"/>
      <c r="H11" s="42"/>
      <c r="J11" s="31" t="s">
        <v>9</v>
      </c>
      <c r="K11" s="31" t="s">
        <v>0</v>
      </c>
      <c r="L11" s="31" t="s">
        <v>13</v>
      </c>
      <c r="M11" s="31" t="s">
        <v>10</v>
      </c>
      <c r="N11" s="31" t="s">
        <v>11</v>
      </c>
      <c r="O11" s="31" t="s">
        <v>16</v>
      </c>
      <c r="Q11" s="42"/>
      <c r="S11" s="40" t="s">
        <v>10</v>
      </c>
      <c r="T11" s="40" t="s">
        <v>22</v>
      </c>
      <c r="U11" s="40" t="s">
        <v>21</v>
      </c>
      <c r="V11" s="40" t="s">
        <v>23</v>
      </c>
    </row>
    <row r="12" spans="2:23" x14ac:dyDescent="0.2">
      <c r="B12" s="32"/>
      <c r="D12" s="2"/>
      <c r="E12" s="2">
        <f>SUMIFS(Table4420101[Amount],Table4420101[Category],Table13695[[#Headers],[Income]],Table4420101[Sub-Category],Table13695[[#This Row],[Income]])+SUMIFS(Table44100[Amount],Table44100[Category],Table13695[[#Headers],[Income]],Table44100[Sub-Category],Table13695[[#This Row],[Income]])</f>
        <v>0</v>
      </c>
      <c r="F12" s="3">
        <f>Table13695[[#This Row],[Actual]]-Table13695[[#This Row],[Budget]]</f>
        <v>0</v>
      </c>
      <c r="G12" s="32"/>
      <c r="H12" s="42"/>
      <c r="M12" s="4"/>
      <c r="N12" s="2"/>
      <c r="Q12" s="42"/>
      <c r="S12" s="27">
        <f>C1</f>
        <v>41760</v>
      </c>
      <c r="T12" s="29">
        <f>SUMIFS(Table4420101[Amount],Table4420101[Date],S12,Table4420101[Category],Table13695[[#Headers],[Income]])+SUMIFS(Table44100[Amount],Table44100[Date],S12,Table44100[Category],Table13695[[#Headers],[Income]])</f>
        <v>0</v>
      </c>
      <c r="U12" s="29">
        <f>SUMIFS(Table494[Amount],Table494[Date],S12,Table494[Category],"&lt;&gt;"&amp;Table13695[[#Headers],[Income]])+SUMIFS(Table44100[Amount],Table44100[Date],S12,Table44100[Category],"&lt;&gt;"&amp;Table13695[[#Headers],[Income]])</f>
        <v>0</v>
      </c>
      <c r="V12" s="29">
        <f>E3+T12-U12</f>
        <v>1156.74</v>
      </c>
      <c r="W12" s="1">
        <f>V2</f>
        <v>1156.7400000000005</v>
      </c>
    </row>
    <row r="13" spans="2:23" x14ac:dyDescent="0.2">
      <c r="B13" s="32"/>
      <c r="D13" s="2"/>
      <c r="E13" s="2">
        <f>SUMIFS(Table4420101[Amount],Table4420101[Category],Table13695[[#Headers],[Income]],Table4420101[Sub-Category],Table13695[[#This Row],[Income]])+SUMIFS(Table44100[Amount],Table44100[Category],Table13695[[#Headers],[Income]],Table44100[Sub-Category],Table13695[[#This Row],[Income]])</f>
        <v>0</v>
      </c>
      <c r="F13" s="3">
        <f>Table13695[[#This Row],[Actual]]-Table13695[[#This Row],[Budget]]</f>
        <v>0</v>
      </c>
      <c r="G13" s="32"/>
      <c r="H13" s="42"/>
      <c r="M13" s="4"/>
      <c r="N13" s="2"/>
      <c r="Q13" s="42"/>
      <c r="S13" s="30">
        <f t="shared" ref="S13:S42" si="0">S12+1</f>
        <v>41761</v>
      </c>
      <c r="T13" s="28">
        <f>SUMIFS(Table4420101[Amount],Table4420101[Date],S13,Table4420101[Category],Table13695[[#Headers],[Income]])+SUMIFS(Table44100[Amount],Table44100[Date],S13,Table44100[Category],Table13695[[#Headers],[Income]])</f>
        <v>0</v>
      </c>
      <c r="U13" s="28">
        <f>SUMIFS(Table494[Amount],Table494[Date],S13,Table494[Category],"&lt;&gt;"&amp;Table13695[[#Headers],[Income]])+SUMIFS(Table44100[Amount],Table44100[Date],S13,Table44100[Category],"&lt;&gt;"&amp;Table13695[[#Headers],[Income]])</f>
        <v>0</v>
      </c>
      <c r="V13" s="28">
        <f>V12+T13-U13</f>
        <v>1156.74</v>
      </c>
      <c r="W13" s="1">
        <f>W12</f>
        <v>1156.7400000000005</v>
      </c>
    </row>
    <row r="14" spans="2:23" x14ac:dyDescent="0.2">
      <c r="B14" s="32"/>
      <c r="D14" s="12"/>
      <c r="E14" s="12">
        <f>SUMIFS(Table4420101[Amount],Table4420101[Category],Table13695[[#Headers],[Income]],Table4420101[Sub-Category],Table13695[[#This Row],[Income]])+SUMIFS(Table44100[Amount],Table44100[Category],Table13695[[#Headers],[Income]],Table44100[Sub-Category],Table13695[[#This Row],[Income]])</f>
        <v>0</v>
      </c>
      <c r="F14" s="2">
        <f>Table13695[[#This Row],[Actual]]-Table13695[[#This Row],[Budget]]</f>
        <v>0</v>
      </c>
      <c r="G14" s="32"/>
      <c r="H14" s="42"/>
      <c r="M14" s="4"/>
      <c r="N14" s="2"/>
      <c r="Q14" s="42"/>
      <c r="S14" s="27">
        <f t="shared" si="0"/>
        <v>41762</v>
      </c>
      <c r="T14" s="29">
        <f>SUMIFS(Table4420101[Amount],Table4420101[Date],S14,Table4420101[Category],Table13695[[#Headers],[Income]])+SUMIFS(Table44100[Amount],Table44100[Date],S14,Table44100[Category],Table13695[[#Headers],[Income]])</f>
        <v>0</v>
      </c>
      <c r="U14" s="29">
        <f>SUMIFS(Table494[Amount],Table494[Date],S14,Table494[Category],"&lt;&gt;"&amp;Table13695[[#Headers],[Income]])+SUMIFS(Table44100[Amount],Table44100[Date],S14,Table44100[Category],"&lt;&gt;"&amp;Table13695[[#Headers],[Income]])</f>
        <v>0</v>
      </c>
      <c r="V14" s="29">
        <f t="shared" ref="V14:V42" si="1">V13+T14-U14</f>
        <v>1156.74</v>
      </c>
      <c r="W14" s="1">
        <f t="shared" ref="W14:W42" si="2">W13</f>
        <v>1156.7400000000005</v>
      </c>
    </row>
    <row r="15" spans="2:23" x14ac:dyDescent="0.2">
      <c r="B15" s="32"/>
      <c r="D15" s="2"/>
      <c r="E15" s="3">
        <f>SUMIFS(Table4420101[Amount],Table4420101[Category],Table13695[[#Headers],[Income]],Table4420101[Sub-Category],Table13695[[#This Row],[Income]])+SUMIFS(Table44100[Amount],Table44100[Category],Table13695[[#Headers],[Income]],Table44100[Sub-Category],Table13695[[#This Row],[Income]])</f>
        <v>0</v>
      </c>
      <c r="F15" s="3">
        <f>Table13695[[#This Row],[Actual]]-Table13695[[#This Row],[Budget]]</f>
        <v>0</v>
      </c>
      <c r="G15" s="32"/>
      <c r="H15" s="42"/>
      <c r="J15" s="11"/>
      <c r="K15" s="11"/>
      <c r="L15" s="11"/>
      <c r="M15" s="24"/>
      <c r="N15" s="12"/>
      <c r="O15" s="11"/>
      <c r="Q15" s="42"/>
      <c r="S15" s="30">
        <f t="shared" si="0"/>
        <v>41763</v>
      </c>
      <c r="T15" s="28">
        <f>SUMIFS(Table4420101[Amount],Table4420101[Date],S15,Table4420101[Category],Table13695[[#Headers],[Income]])+SUMIFS(Table44100[Amount],Table44100[Date],S15,Table44100[Category],Table13695[[#Headers],[Income]])</f>
        <v>0</v>
      </c>
      <c r="U15" s="28">
        <f>SUMIFS(Table494[Amount],Table494[Date],S15,Table494[Category],"&lt;&gt;"&amp;Table13695[[#Headers],[Income]])+SUMIFS(Table44100[Amount],Table44100[Date],S15,Table44100[Category],"&lt;&gt;"&amp;Table13695[[#Headers],[Income]])</f>
        <v>0</v>
      </c>
      <c r="V15" s="28">
        <f t="shared" si="1"/>
        <v>1156.74</v>
      </c>
      <c r="W15" s="1">
        <f t="shared" si="2"/>
        <v>1156.7400000000005</v>
      </c>
    </row>
    <row r="16" spans="2:23" x14ac:dyDescent="0.2">
      <c r="B16" s="32"/>
      <c r="C16" s="6" t="s">
        <v>20</v>
      </c>
      <c r="D16" s="7">
        <f>SUBTOTAL(109,Table13695[Budget])</f>
        <v>0</v>
      </c>
      <c r="E16" s="7">
        <f>SUBTOTAL(109,Table13695[Actual])</f>
        <v>0</v>
      </c>
      <c r="F16" s="7">
        <f>SUBTOTAL(109,Table13695[Variance])</f>
        <v>0</v>
      </c>
      <c r="G16" s="36"/>
      <c r="H16" s="43"/>
      <c r="I16" s="2"/>
      <c r="M16" s="4"/>
      <c r="N16" s="2"/>
      <c r="Q16" s="43"/>
      <c r="S16" s="27">
        <f t="shared" si="0"/>
        <v>41764</v>
      </c>
      <c r="T16" s="29">
        <f>SUMIFS(Table4420101[Amount],Table4420101[Date],S16,Table4420101[Category],Table13695[[#Headers],[Income]])+SUMIFS(Table44100[Amount],Table44100[Date],S16,Table44100[Category],Table13695[[#Headers],[Income]])</f>
        <v>0</v>
      </c>
      <c r="U16" s="29">
        <f>SUMIFS(Table494[Amount],Table494[Date],S16,Table494[Category],"&lt;&gt;"&amp;Table13695[[#Headers],[Income]])+SUMIFS(Table44100[Amount],Table44100[Date],S16,Table44100[Category],"&lt;&gt;"&amp;Table13695[[#Headers],[Income]])</f>
        <v>0</v>
      </c>
      <c r="V16" s="29">
        <f t="shared" si="1"/>
        <v>1156.74</v>
      </c>
      <c r="W16" s="1">
        <f t="shared" si="2"/>
        <v>1156.7400000000005</v>
      </c>
    </row>
    <row r="17" spans="2:23" x14ac:dyDescent="0.2">
      <c r="B17" s="32"/>
      <c r="C17" s="20"/>
      <c r="D17" s="21"/>
      <c r="E17" s="21"/>
      <c r="F17" s="21"/>
      <c r="G17" s="36"/>
      <c r="H17" s="43"/>
      <c r="I17" s="2"/>
      <c r="J17" s="37" t="s">
        <v>43</v>
      </c>
      <c r="K17" s="38"/>
      <c r="L17" s="38"/>
      <c r="M17" s="38"/>
      <c r="N17" s="38"/>
      <c r="O17" s="39"/>
      <c r="Q17" s="43"/>
      <c r="S17" s="30">
        <f t="shared" si="0"/>
        <v>41765</v>
      </c>
      <c r="T17" s="28">
        <f>SUMIFS(Table4420101[Amount],Table4420101[Date],S17,Table4420101[Category],Table13695[[#Headers],[Income]])+SUMIFS(Table44100[Amount],Table44100[Date],S17,Table44100[Category],Table13695[[#Headers],[Income]])</f>
        <v>0</v>
      </c>
      <c r="U17" s="28">
        <f>SUMIFS(Table494[Amount],Table494[Date],S17,Table494[Category],"&lt;&gt;"&amp;Table13695[[#Headers],[Income]])+SUMIFS(Table44100[Amount],Table44100[Date],S17,Table44100[Category],"&lt;&gt;"&amp;Table13695[[#Headers],[Income]])</f>
        <v>0</v>
      </c>
      <c r="V17" s="28">
        <f t="shared" si="1"/>
        <v>1156.74</v>
      </c>
      <c r="W17" s="1">
        <f t="shared" si="2"/>
        <v>1156.7400000000005</v>
      </c>
    </row>
    <row r="18" spans="2:23" x14ac:dyDescent="0.2">
      <c r="B18" s="32"/>
      <c r="C18" s="37" t="str">
        <f>CONCATENATE(Table192[[#Headers],[Housing]]," - Budget &amp; Tracking")</f>
        <v>Housing - Budget &amp; Tracking</v>
      </c>
      <c r="D18" s="38"/>
      <c r="E18" s="38"/>
      <c r="F18" s="39"/>
      <c r="G18" s="36"/>
      <c r="H18" s="43"/>
      <c r="I18" s="2"/>
      <c r="J18" s="31" t="s">
        <v>9</v>
      </c>
      <c r="K18" s="31" t="s">
        <v>0</v>
      </c>
      <c r="L18" s="31" t="s">
        <v>13</v>
      </c>
      <c r="M18" s="31" t="s">
        <v>10</v>
      </c>
      <c r="N18" s="31" t="s">
        <v>11</v>
      </c>
      <c r="O18" s="31" t="s">
        <v>16</v>
      </c>
      <c r="Q18" s="43"/>
      <c r="S18" s="27">
        <f t="shared" si="0"/>
        <v>41766</v>
      </c>
      <c r="T18" s="29">
        <f>SUMIFS(Table4420101[Amount],Table4420101[Date],S18,Table4420101[Category],Table13695[[#Headers],[Income]])+SUMIFS(Table44100[Amount],Table44100[Date],S18,Table44100[Category],Table13695[[#Headers],[Income]])</f>
        <v>0</v>
      </c>
      <c r="U18" s="29">
        <f>SUMIFS(Table494[Amount],Table494[Date],S18,Table494[Category],"&lt;&gt;"&amp;Table13695[[#Headers],[Income]])+SUMIFS(Table44100[Amount],Table44100[Date],S18,Table44100[Category],"&lt;&gt;"&amp;Table13695[[#Headers],[Income]])</f>
        <v>0</v>
      </c>
      <c r="V18" s="29">
        <f t="shared" si="1"/>
        <v>1156.74</v>
      </c>
      <c r="W18" s="1">
        <f t="shared" si="2"/>
        <v>1156.7400000000005</v>
      </c>
    </row>
    <row r="19" spans="2:23" x14ac:dyDescent="0.2">
      <c r="B19" s="32"/>
      <c r="C19" s="31" t="s">
        <v>8</v>
      </c>
      <c r="D19" s="31" t="s">
        <v>1</v>
      </c>
      <c r="E19" s="31" t="s">
        <v>2</v>
      </c>
      <c r="F19" s="31" t="s">
        <v>14</v>
      </c>
      <c r="G19" s="36"/>
      <c r="H19" s="43"/>
      <c r="I19" s="2"/>
      <c r="M19" s="4"/>
      <c r="N19" s="2"/>
      <c r="Q19" s="43"/>
      <c r="S19" s="30">
        <f t="shared" si="0"/>
        <v>41767</v>
      </c>
      <c r="T19" s="28">
        <f>SUMIFS(Table4420101[Amount],Table4420101[Date],S19,Table4420101[Category],Table13695[[#Headers],[Income]])+SUMIFS(Table44100[Amount],Table44100[Date],S19,Table44100[Category],Table13695[[#Headers],[Income]])</f>
        <v>0</v>
      </c>
      <c r="U19" s="28">
        <f>SUMIFS(Table494[Amount],Table494[Date],S19,Table494[Category],"&lt;&gt;"&amp;Table13695[[#Headers],[Income]])+SUMIFS(Table44100[Amount],Table44100[Date],S19,Table44100[Category],"&lt;&gt;"&amp;Table13695[[#Headers],[Income]])</f>
        <v>0</v>
      </c>
      <c r="V19" s="28">
        <f t="shared" si="1"/>
        <v>1156.74</v>
      </c>
      <c r="W19" s="1">
        <f t="shared" si="2"/>
        <v>1156.7400000000005</v>
      </c>
    </row>
    <row r="20" spans="2:23" x14ac:dyDescent="0.2">
      <c r="B20" s="32"/>
      <c r="D20" s="2"/>
      <c r="E20" s="2">
        <f>SUMIFS(Table494[Amount],Table494[Category],Table192[[#Headers],[Housing]],Table494[Sub-Category],Table192[[#This Row],[Housing]])+SUMIFS(Table44100[Amount],Table44100[Category],Table192[[#Headers],[Housing]],Table44100[Sub-Category],Table192[[#This Row],[Housing]])</f>
        <v>0</v>
      </c>
      <c r="F20" s="3">
        <f>Table192[[#This Row],[Budget]]-Table192[[#This Row],[Actual]]</f>
        <v>0</v>
      </c>
      <c r="G20" s="36"/>
      <c r="H20" s="43"/>
      <c r="I20" s="2"/>
      <c r="J20" s="11"/>
      <c r="K20" s="11"/>
      <c r="L20" s="11"/>
      <c r="M20" s="24"/>
      <c r="N20" s="12"/>
      <c r="O20" s="11"/>
      <c r="Q20" s="43"/>
      <c r="S20" s="27">
        <f t="shared" si="0"/>
        <v>41768</v>
      </c>
      <c r="T20" s="29">
        <f>SUMIFS(Table4420101[Amount],Table4420101[Date],S20,Table4420101[Category],Table13695[[#Headers],[Income]])+SUMIFS(Table44100[Amount],Table44100[Date],S20,Table44100[Category],Table13695[[#Headers],[Income]])</f>
        <v>0</v>
      </c>
      <c r="U20" s="29">
        <f>SUMIFS(Table494[Amount],Table494[Date],S20,Table494[Category],"&lt;&gt;"&amp;Table13695[[#Headers],[Income]])+SUMIFS(Table44100[Amount],Table44100[Date],S20,Table44100[Category],"&lt;&gt;"&amp;Table13695[[#Headers],[Income]])</f>
        <v>0</v>
      </c>
      <c r="V20" s="29">
        <f t="shared" si="1"/>
        <v>1156.74</v>
      </c>
      <c r="W20" s="1">
        <f t="shared" si="2"/>
        <v>1156.7400000000005</v>
      </c>
    </row>
    <row r="21" spans="2:23" x14ac:dyDescent="0.2">
      <c r="B21" s="32"/>
      <c r="D21" s="2"/>
      <c r="E21" s="2">
        <f>SUMIFS(Table494[Amount],Table494[Category],Table192[[#Headers],[Housing]],Table494[Sub-Category],Table192[[#This Row],[Housing]])+SUMIFS(Table44100[Amount],Table44100[Category],Table192[[#Headers],[Housing]],Table44100[Sub-Category],Table192[[#This Row],[Housing]])</f>
        <v>0</v>
      </c>
      <c r="F21" s="3">
        <f>Table192[[#This Row],[Budget]]-Table192[[#This Row],[Actual]]</f>
        <v>0</v>
      </c>
      <c r="G21" s="36"/>
      <c r="H21" s="43"/>
      <c r="I21" s="2"/>
      <c r="J21" s="11"/>
      <c r="K21" s="11"/>
      <c r="L21" s="11"/>
      <c r="M21" s="24"/>
      <c r="N21" s="12"/>
      <c r="O21" s="11"/>
      <c r="Q21" s="43"/>
      <c r="S21" s="30">
        <f t="shared" si="0"/>
        <v>41769</v>
      </c>
      <c r="T21" s="28">
        <f>SUMIFS(Table4420101[Amount],Table4420101[Date],S21,Table4420101[Category],Table13695[[#Headers],[Income]])+SUMIFS(Table44100[Amount],Table44100[Date],S21,Table44100[Category],Table13695[[#Headers],[Income]])</f>
        <v>0</v>
      </c>
      <c r="U21" s="28">
        <f>SUMIFS(Table494[Amount],Table494[Date],S21,Table494[Category],"&lt;&gt;"&amp;Table13695[[#Headers],[Income]])+SUMIFS(Table44100[Amount],Table44100[Date],S21,Table44100[Category],"&lt;&gt;"&amp;Table13695[[#Headers],[Income]])</f>
        <v>0</v>
      </c>
      <c r="V21" s="28">
        <f t="shared" si="1"/>
        <v>1156.74</v>
      </c>
      <c r="W21" s="1">
        <f t="shared" si="2"/>
        <v>1156.7400000000005</v>
      </c>
    </row>
    <row r="22" spans="2:23" x14ac:dyDescent="0.2">
      <c r="B22" s="32"/>
      <c r="D22" s="2"/>
      <c r="E22" s="2">
        <f>SUMIFS(Table494[Amount],Table494[Category],Table192[[#Headers],[Housing]],Table494[Sub-Category],Table192[[#This Row],[Housing]])+SUMIFS(Table44100[Amount],Table44100[Category],Table192[[#Headers],[Housing]],Table44100[Sub-Category],Table192[[#This Row],[Housing]])</f>
        <v>0</v>
      </c>
      <c r="F22" s="3">
        <f>Table192[[#This Row],[Budget]]-Table192[[#This Row],[Actual]]</f>
        <v>0</v>
      </c>
      <c r="G22" s="36"/>
      <c r="H22" s="43"/>
      <c r="I22" s="2"/>
      <c r="J22" s="11"/>
      <c r="K22" s="11"/>
      <c r="L22" s="11"/>
      <c r="M22" s="24"/>
      <c r="N22" s="12"/>
      <c r="O22" s="11"/>
      <c r="Q22" s="43"/>
      <c r="S22" s="27">
        <f t="shared" si="0"/>
        <v>41770</v>
      </c>
      <c r="T22" s="29">
        <f>SUMIFS(Table4420101[Amount],Table4420101[Date],S22,Table4420101[Category],Table13695[[#Headers],[Income]])+SUMIFS(Table44100[Amount],Table44100[Date],S22,Table44100[Category],Table13695[[#Headers],[Income]])</f>
        <v>0</v>
      </c>
      <c r="U22" s="29">
        <f>SUMIFS(Table494[Amount],Table494[Date],S22,Table494[Category],"&lt;&gt;"&amp;Table13695[[#Headers],[Income]])+SUMIFS(Table44100[Amount],Table44100[Date],S22,Table44100[Category],"&lt;&gt;"&amp;Table13695[[#Headers],[Income]])</f>
        <v>0</v>
      </c>
      <c r="V22" s="29">
        <f t="shared" si="1"/>
        <v>1156.74</v>
      </c>
      <c r="W22" s="1">
        <f t="shared" si="2"/>
        <v>1156.7400000000005</v>
      </c>
    </row>
    <row r="23" spans="2:23" x14ac:dyDescent="0.2">
      <c r="B23" s="32"/>
      <c r="D23" s="2"/>
      <c r="E23" s="2">
        <f>SUMIFS(Table494[Amount],Table494[Category],Table192[[#Headers],[Housing]],Table494[Sub-Category],Table192[[#This Row],[Housing]])+SUMIFS(Table44100[Amount],Table44100[Category],Table192[[#Headers],[Housing]],Table44100[Sub-Category],Table192[[#This Row],[Housing]])</f>
        <v>0</v>
      </c>
      <c r="F23" s="3">
        <f>Table192[[#This Row],[Budget]]-Table192[[#This Row],[Actual]]</f>
        <v>0</v>
      </c>
      <c r="G23" s="36"/>
      <c r="H23" s="43"/>
      <c r="I23" s="2"/>
      <c r="J23" s="11"/>
      <c r="K23" s="11"/>
      <c r="L23" s="11"/>
      <c r="M23" s="24"/>
      <c r="N23" s="12"/>
      <c r="O23" s="11"/>
      <c r="Q23" s="43"/>
      <c r="S23" s="30">
        <f t="shared" si="0"/>
        <v>41771</v>
      </c>
      <c r="T23" s="28">
        <f>SUMIFS(Table4420101[Amount],Table4420101[Date],S23,Table4420101[Category],Table13695[[#Headers],[Income]])+SUMIFS(Table44100[Amount],Table44100[Date],S23,Table44100[Category],Table13695[[#Headers],[Income]])</f>
        <v>0</v>
      </c>
      <c r="U23" s="28">
        <f>SUMIFS(Table494[Amount],Table494[Date],S23,Table494[Category],"&lt;&gt;"&amp;Table13695[[#Headers],[Income]])+SUMIFS(Table44100[Amount],Table44100[Date],S23,Table44100[Category],"&lt;&gt;"&amp;Table13695[[#Headers],[Income]])</f>
        <v>0</v>
      </c>
      <c r="V23" s="28">
        <f t="shared" si="1"/>
        <v>1156.74</v>
      </c>
      <c r="W23" s="1">
        <f t="shared" si="2"/>
        <v>1156.7400000000005</v>
      </c>
    </row>
    <row r="24" spans="2:23" x14ac:dyDescent="0.2">
      <c r="B24" s="32"/>
      <c r="D24" s="2"/>
      <c r="E24" s="2">
        <f>SUMIFS(Table494[Amount],Table494[Category],Table192[[#Headers],[Housing]],Table494[Sub-Category],Table192[[#This Row],[Housing]])+SUMIFS(Table44100[Amount],Table44100[Category],Table192[[#Headers],[Housing]],Table44100[Sub-Category],Table192[[#This Row],[Housing]])</f>
        <v>0</v>
      </c>
      <c r="F24" s="3">
        <f>Table192[[#This Row],[Budget]]-Table192[[#This Row],[Actual]]</f>
        <v>0</v>
      </c>
      <c r="G24" s="36"/>
      <c r="H24" s="43"/>
      <c r="I24" s="2"/>
      <c r="J24" s="11"/>
      <c r="K24" s="11"/>
      <c r="L24" s="11"/>
      <c r="M24" s="24"/>
      <c r="N24" s="12"/>
      <c r="O24" s="11"/>
      <c r="Q24" s="43"/>
      <c r="S24" s="27">
        <f t="shared" si="0"/>
        <v>41772</v>
      </c>
      <c r="T24" s="29">
        <f>SUMIFS(Table4420101[Amount],Table4420101[Date],S24,Table4420101[Category],Table13695[[#Headers],[Income]])+SUMIFS(Table44100[Amount],Table44100[Date],S24,Table44100[Category],Table13695[[#Headers],[Income]])</f>
        <v>0</v>
      </c>
      <c r="U24" s="29">
        <f>SUMIFS(Table494[Amount],Table494[Date],S24,Table494[Category],"&lt;&gt;"&amp;Table13695[[#Headers],[Income]])+SUMIFS(Table44100[Amount],Table44100[Date],S24,Table44100[Category],"&lt;&gt;"&amp;Table13695[[#Headers],[Income]])</f>
        <v>0</v>
      </c>
      <c r="V24" s="29">
        <f t="shared" si="1"/>
        <v>1156.74</v>
      </c>
      <c r="W24" s="1">
        <f t="shared" si="2"/>
        <v>1156.7400000000005</v>
      </c>
    </row>
    <row r="25" spans="2:23" x14ac:dyDescent="0.2">
      <c r="B25" s="32"/>
      <c r="D25" s="2"/>
      <c r="E25" s="2">
        <f>SUMIFS(Table494[Amount],Table494[Category],Table192[[#Headers],[Housing]],Table494[Sub-Category],Table192[[#This Row],[Housing]])+SUMIFS(Table44100[Amount],Table44100[Category],Table192[[#Headers],[Housing]],Table44100[Sub-Category],Table192[[#This Row],[Housing]])</f>
        <v>0</v>
      </c>
      <c r="F25" s="3">
        <f>Table192[[#This Row],[Budget]]-Table192[[#This Row],[Actual]]</f>
        <v>0</v>
      </c>
      <c r="G25" s="32"/>
      <c r="H25" s="42"/>
      <c r="J25" s="11"/>
      <c r="K25" s="11"/>
      <c r="L25" s="11"/>
      <c r="M25" s="24"/>
      <c r="N25" s="12"/>
      <c r="O25" s="11"/>
      <c r="Q25" s="42"/>
      <c r="S25" s="30">
        <f t="shared" si="0"/>
        <v>41773</v>
      </c>
      <c r="T25" s="28">
        <f>SUMIFS(Table4420101[Amount],Table4420101[Date],S25,Table4420101[Category],Table13695[[#Headers],[Income]])+SUMIFS(Table44100[Amount],Table44100[Date],S25,Table44100[Category],Table13695[[#Headers],[Income]])</f>
        <v>0</v>
      </c>
      <c r="U25" s="28">
        <f>SUMIFS(Table494[Amount],Table494[Date],S25,Table494[Category],"&lt;&gt;"&amp;Table13695[[#Headers],[Income]])+SUMIFS(Table44100[Amount],Table44100[Date],S25,Table44100[Category],"&lt;&gt;"&amp;Table13695[[#Headers],[Income]])</f>
        <v>0</v>
      </c>
      <c r="V25" s="28">
        <f t="shared" si="1"/>
        <v>1156.74</v>
      </c>
      <c r="W25" s="1">
        <f t="shared" si="2"/>
        <v>1156.7400000000005</v>
      </c>
    </row>
    <row r="26" spans="2:23" x14ac:dyDescent="0.2">
      <c r="B26" s="32"/>
      <c r="D26" s="2"/>
      <c r="E26" s="2">
        <f>SUMIFS(Table494[Amount],Table494[Category],Table192[[#Headers],[Housing]],Table494[Sub-Category],Table192[[#This Row],[Housing]])+SUMIFS(Table44100[Amount],Table44100[Category],Table192[[#Headers],[Housing]],Table44100[Sub-Category],Table192[[#This Row],[Housing]])</f>
        <v>0</v>
      </c>
      <c r="F26" s="3">
        <f>Table192[[#This Row],[Budget]]-Table192[[#This Row],[Actual]]</f>
        <v>0</v>
      </c>
      <c r="G26" s="32"/>
      <c r="H26" s="42"/>
      <c r="J26" s="11"/>
      <c r="K26" s="11"/>
      <c r="L26" s="11"/>
      <c r="M26" s="24"/>
      <c r="N26" s="12"/>
      <c r="O26" s="11"/>
      <c r="Q26" s="42"/>
      <c r="S26" s="27">
        <f t="shared" si="0"/>
        <v>41774</v>
      </c>
      <c r="T26" s="29">
        <f>SUMIFS(Table4420101[Amount],Table4420101[Date],S26,Table4420101[Category],Table13695[[#Headers],[Income]])+SUMIFS(Table44100[Amount],Table44100[Date],S26,Table44100[Category],Table13695[[#Headers],[Income]])</f>
        <v>0</v>
      </c>
      <c r="U26" s="29">
        <f>SUMIFS(Table494[Amount],Table494[Date],S26,Table494[Category],"&lt;&gt;"&amp;Table13695[[#Headers],[Income]])+SUMIFS(Table44100[Amount],Table44100[Date],S26,Table44100[Category],"&lt;&gt;"&amp;Table13695[[#Headers],[Income]])</f>
        <v>0</v>
      </c>
      <c r="V26" s="29">
        <f t="shared" si="1"/>
        <v>1156.74</v>
      </c>
      <c r="W26" s="1">
        <f t="shared" si="2"/>
        <v>1156.7400000000005</v>
      </c>
    </row>
    <row r="27" spans="2:23" x14ac:dyDescent="0.2">
      <c r="B27" s="32"/>
      <c r="D27" s="2"/>
      <c r="E27" s="2">
        <f>SUMIFS(Table494[Amount],Table494[Category],Table192[[#Headers],[Housing]],Table494[Sub-Category],Table192[[#This Row],[Housing]])+SUMIFS(Table44100[Amount],Table44100[Category],Table192[[#Headers],[Housing]],Table44100[Sub-Category],Table192[[#This Row],[Housing]])</f>
        <v>0</v>
      </c>
      <c r="F27" s="3">
        <f>Table192[[#This Row],[Budget]]-Table192[[#This Row],[Actual]]</f>
        <v>0</v>
      </c>
      <c r="G27" s="36"/>
      <c r="H27" s="43"/>
      <c r="I27" s="2"/>
      <c r="J27" s="11"/>
      <c r="K27" s="11"/>
      <c r="L27" s="11"/>
      <c r="M27" s="24"/>
      <c r="N27" s="12"/>
      <c r="O27" s="11"/>
      <c r="Q27" s="43"/>
      <c r="S27" s="30">
        <f t="shared" si="0"/>
        <v>41775</v>
      </c>
      <c r="T27" s="28">
        <f>SUMIFS(Table4420101[Amount],Table4420101[Date],S27,Table4420101[Category],Table13695[[#Headers],[Income]])+SUMIFS(Table44100[Amount],Table44100[Date],S27,Table44100[Category],Table13695[[#Headers],[Income]])</f>
        <v>0</v>
      </c>
      <c r="U27" s="28">
        <f>SUMIFS(Table494[Amount],Table494[Date],S27,Table494[Category],"&lt;&gt;"&amp;Table13695[[#Headers],[Income]])+SUMIFS(Table44100[Amount],Table44100[Date],S27,Table44100[Category],"&lt;&gt;"&amp;Table13695[[#Headers],[Income]])</f>
        <v>0</v>
      </c>
      <c r="V27" s="28">
        <f t="shared" si="1"/>
        <v>1156.74</v>
      </c>
      <c r="W27" s="1">
        <f t="shared" si="2"/>
        <v>1156.7400000000005</v>
      </c>
    </row>
    <row r="28" spans="2:23" x14ac:dyDescent="0.2">
      <c r="B28" s="32"/>
      <c r="C28" s="11"/>
      <c r="D28" s="12"/>
      <c r="E28" s="13">
        <f>SUMIFS(Table494[Amount],Table494[Category],Table192[[#Headers],[Housing]],Table494[Sub-Category],Table192[[#This Row],[Housing]])+SUMIFS(Table44100[Amount],Table44100[Category],Table192[[#Headers],[Housing]],Table44100[Sub-Category],Table192[[#This Row],[Housing]])</f>
        <v>0</v>
      </c>
      <c r="F28" s="13">
        <f>Table192[[#This Row],[Budget]]-Table192[[#This Row],[Actual]]</f>
        <v>0</v>
      </c>
      <c r="G28" s="36"/>
      <c r="H28" s="43"/>
      <c r="I28" s="2"/>
      <c r="J28" s="11"/>
      <c r="K28" s="11"/>
      <c r="L28" s="11"/>
      <c r="M28" s="24"/>
      <c r="N28" s="12"/>
      <c r="O28" s="11"/>
      <c r="Q28" s="43"/>
      <c r="S28" s="27">
        <f t="shared" si="0"/>
        <v>41776</v>
      </c>
      <c r="T28" s="29">
        <f>SUMIFS(Table4420101[Amount],Table4420101[Date],S28,Table4420101[Category],Table13695[[#Headers],[Income]])+SUMIFS(Table44100[Amount],Table44100[Date],S28,Table44100[Category],Table13695[[#Headers],[Income]])</f>
        <v>0</v>
      </c>
      <c r="U28" s="29">
        <f>SUMIFS(Table494[Amount],Table494[Date],S28,Table494[Category],"&lt;&gt;"&amp;Table13695[[#Headers],[Income]])+SUMIFS(Table44100[Amount],Table44100[Date],S28,Table44100[Category],"&lt;&gt;"&amp;Table13695[[#Headers],[Income]])</f>
        <v>0</v>
      </c>
      <c r="V28" s="29">
        <f t="shared" si="1"/>
        <v>1156.74</v>
      </c>
      <c r="W28" s="1">
        <f t="shared" si="2"/>
        <v>1156.7400000000005</v>
      </c>
    </row>
    <row r="29" spans="2:23" x14ac:dyDescent="0.2">
      <c r="B29" s="32"/>
      <c r="C29" s="9" t="s">
        <v>20</v>
      </c>
      <c r="D29" s="10">
        <f>SUBTOTAL(109,Table192[Budget])</f>
        <v>0</v>
      </c>
      <c r="E29" s="10">
        <f>SUBTOTAL(109,Table192[Actual])</f>
        <v>0</v>
      </c>
      <c r="F29" s="10">
        <f>SUBTOTAL(109,Table192[Variance])</f>
        <v>0</v>
      </c>
      <c r="G29" s="32"/>
      <c r="H29" s="42"/>
      <c r="J29" s="11"/>
      <c r="K29" s="11"/>
      <c r="L29" s="11"/>
      <c r="M29" s="24"/>
      <c r="N29" s="12"/>
      <c r="O29" s="11"/>
      <c r="Q29" s="42"/>
      <c r="S29" s="30">
        <f t="shared" si="0"/>
        <v>41777</v>
      </c>
      <c r="T29" s="28">
        <f>SUMIFS(Table4420101[Amount],Table4420101[Date],S29,Table4420101[Category],Table13695[[#Headers],[Income]])+SUMIFS(Table44100[Amount],Table44100[Date],S29,Table44100[Category],Table13695[[#Headers],[Income]])</f>
        <v>0</v>
      </c>
      <c r="U29" s="28">
        <f>SUMIFS(Table494[Amount],Table494[Date],S29,Table494[Category],"&lt;&gt;"&amp;Table13695[[#Headers],[Income]])+SUMIFS(Table44100[Amount],Table44100[Date],S29,Table44100[Category],"&lt;&gt;"&amp;Table13695[[#Headers],[Income]])</f>
        <v>0</v>
      </c>
      <c r="V29" s="28">
        <f t="shared" si="1"/>
        <v>1156.74</v>
      </c>
      <c r="W29" s="1">
        <f t="shared" si="2"/>
        <v>1156.7400000000005</v>
      </c>
    </row>
    <row r="30" spans="2:23" x14ac:dyDescent="0.2">
      <c r="B30" s="32"/>
      <c r="C30" s="26"/>
      <c r="D30" s="23"/>
      <c r="E30" s="23"/>
      <c r="F30" s="23"/>
      <c r="G30" s="32"/>
      <c r="H30" s="42"/>
      <c r="J30" s="11"/>
      <c r="K30" s="11"/>
      <c r="L30" s="11"/>
      <c r="M30" s="24"/>
      <c r="N30" s="12"/>
      <c r="O30" s="11"/>
      <c r="Q30" s="42"/>
      <c r="S30" s="27">
        <f t="shared" si="0"/>
        <v>41778</v>
      </c>
      <c r="T30" s="29">
        <f>SUMIFS(Table4420101[Amount],Table4420101[Date],S30,Table4420101[Category],Table13695[[#Headers],[Income]])+SUMIFS(Table44100[Amount],Table44100[Date],S30,Table44100[Category],Table13695[[#Headers],[Income]])</f>
        <v>0</v>
      </c>
      <c r="U30" s="29">
        <f>SUMIFS(Table494[Amount],Table494[Date],S30,Table494[Category],"&lt;&gt;"&amp;Table13695[[#Headers],[Income]])+SUMIFS(Table44100[Amount],Table44100[Date],S30,Table44100[Category],"&lt;&gt;"&amp;Table13695[[#Headers],[Income]])</f>
        <v>0</v>
      </c>
      <c r="V30" s="29">
        <f t="shared" si="1"/>
        <v>1156.74</v>
      </c>
      <c r="W30" s="1">
        <f t="shared" si="2"/>
        <v>1156.7400000000005</v>
      </c>
    </row>
    <row r="31" spans="2:23" x14ac:dyDescent="0.2">
      <c r="B31" s="32"/>
      <c r="C31" s="37" t="str">
        <f>CONCATENATE(Table1393[[#Headers],[Transportation]]," - Budget &amp; Tracking")</f>
        <v>Transportation - Budget &amp; Tracking</v>
      </c>
      <c r="D31" s="38"/>
      <c r="E31" s="38"/>
      <c r="F31" s="39"/>
      <c r="G31" s="32"/>
      <c r="H31" s="42"/>
      <c r="J31" s="11"/>
      <c r="K31" s="11"/>
      <c r="L31" s="11"/>
      <c r="M31" s="24"/>
      <c r="N31" s="12"/>
      <c r="O31" s="11"/>
      <c r="Q31" s="42"/>
      <c r="S31" s="30">
        <f t="shared" si="0"/>
        <v>41779</v>
      </c>
      <c r="T31" s="28">
        <f>SUMIFS(Table4420101[Amount],Table4420101[Date],S31,Table4420101[Category],Table13695[[#Headers],[Income]])+SUMIFS(Table44100[Amount],Table44100[Date],S31,Table44100[Category],Table13695[[#Headers],[Income]])</f>
        <v>0</v>
      </c>
      <c r="U31" s="28">
        <f>SUMIFS(Table494[Amount],Table494[Date],S31,Table494[Category],"&lt;&gt;"&amp;Table13695[[#Headers],[Income]])+SUMIFS(Table44100[Amount],Table44100[Date],S31,Table44100[Category],"&lt;&gt;"&amp;Table13695[[#Headers],[Income]])</f>
        <v>0</v>
      </c>
      <c r="V31" s="28">
        <f t="shared" si="1"/>
        <v>1156.74</v>
      </c>
      <c r="W31" s="1">
        <f t="shared" si="2"/>
        <v>1156.7400000000005</v>
      </c>
    </row>
    <row r="32" spans="2:23" x14ac:dyDescent="0.2">
      <c r="B32" s="32"/>
      <c r="C32" s="31" t="s">
        <v>12</v>
      </c>
      <c r="D32" s="31" t="s">
        <v>1</v>
      </c>
      <c r="E32" s="31" t="s">
        <v>2</v>
      </c>
      <c r="F32" s="31" t="s">
        <v>14</v>
      </c>
      <c r="G32" s="32"/>
      <c r="H32" s="42"/>
      <c r="J32" s="11"/>
      <c r="K32" s="11"/>
      <c r="L32" s="11"/>
      <c r="M32" s="24"/>
      <c r="N32" s="12"/>
      <c r="O32" s="11"/>
      <c r="Q32" s="42"/>
      <c r="S32" s="27">
        <f t="shared" si="0"/>
        <v>41780</v>
      </c>
      <c r="T32" s="29">
        <f>SUMIFS(Table4420101[Amount],Table4420101[Date],S32,Table4420101[Category],Table13695[[#Headers],[Income]])+SUMIFS(Table44100[Amount],Table44100[Date],S32,Table44100[Category],Table13695[[#Headers],[Income]])</f>
        <v>0</v>
      </c>
      <c r="U32" s="29">
        <f>SUMIFS(Table494[Amount],Table494[Date],S32,Table494[Category],"&lt;&gt;"&amp;Table13695[[#Headers],[Income]])+SUMIFS(Table44100[Amount],Table44100[Date],S32,Table44100[Category],"&lt;&gt;"&amp;Table13695[[#Headers],[Income]])</f>
        <v>0</v>
      </c>
      <c r="V32" s="29">
        <f t="shared" si="1"/>
        <v>1156.74</v>
      </c>
      <c r="W32" s="1">
        <f t="shared" si="2"/>
        <v>1156.7400000000005</v>
      </c>
    </row>
    <row r="33" spans="2:23" x14ac:dyDescent="0.2">
      <c r="B33" s="32"/>
      <c r="D33" s="2"/>
      <c r="E33" s="2">
        <f>SUMIFS(Table494[Amount],Table494[Category],Table1393[[#Headers],[Transportation]],Table494[Sub-Category],Table1393[[#This Row],[Transportation]])+SUMIFS(Table44100[Amount],Table44100[Category],Table1393[[#Headers],[Transportation]],Table44100[Sub-Category],Table1393[[#This Row],[Transportation]])</f>
        <v>0</v>
      </c>
      <c r="F33" s="3">
        <f>Table1393[[#This Row],[Budget]]-Table1393[[#This Row],[Actual]]</f>
        <v>0</v>
      </c>
      <c r="G33" s="32"/>
      <c r="H33" s="42"/>
      <c r="J33" s="37" t="s">
        <v>44</v>
      </c>
      <c r="K33" s="38"/>
      <c r="L33" s="38"/>
      <c r="M33" s="38"/>
      <c r="N33" s="38"/>
      <c r="O33" s="39"/>
      <c r="Q33" s="42"/>
      <c r="S33" s="30">
        <f t="shared" si="0"/>
        <v>41781</v>
      </c>
      <c r="T33" s="28">
        <f>SUMIFS(Table4420101[Amount],Table4420101[Date],S33,Table4420101[Category],Table13695[[#Headers],[Income]])+SUMIFS(Table44100[Amount],Table44100[Date],S33,Table44100[Category],Table13695[[#Headers],[Income]])</f>
        <v>0</v>
      </c>
      <c r="U33" s="28">
        <f>SUMIFS(Table494[Amount],Table494[Date],S33,Table494[Category],"&lt;&gt;"&amp;Table13695[[#Headers],[Income]])+SUMIFS(Table44100[Amount],Table44100[Date],S33,Table44100[Category],"&lt;&gt;"&amp;Table13695[[#Headers],[Income]])</f>
        <v>0</v>
      </c>
      <c r="V33" s="28">
        <f t="shared" si="1"/>
        <v>1156.74</v>
      </c>
      <c r="W33" s="1">
        <f t="shared" si="2"/>
        <v>1156.7400000000005</v>
      </c>
    </row>
    <row r="34" spans="2:23" x14ac:dyDescent="0.2">
      <c r="B34" s="32"/>
      <c r="D34" s="2"/>
      <c r="E34" s="2">
        <f>SUMIFS(Table494[Amount],Table494[Category],Table1393[[#Headers],[Transportation]],Table494[Sub-Category],Table1393[[#This Row],[Transportation]])+SUMIFS(Table44100[Amount],Table44100[Category],Table1393[[#Headers],[Transportation]],Table44100[Sub-Category],Table1393[[#This Row],[Transportation]])</f>
        <v>0</v>
      </c>
      <c r="F34" s="3">
        <f>Table1393[[#This Row],[Budget]]-Table1393[[#This Row],[Actual]]</f>
        <v>0</v>
      </c>
      <c r="G34" s="32"/>
      <c r="H34" s="42"/>
      <c r="J34" s="31" t="s">
        <v>9</v>
      </c>
      <c r="K34" s="31" t="s">
        <v>0</v>
      </c>
      <c r="L34" s="31" t="s">
        <v>13</v>
      </c>
      <c r="M34" s="31" t="s">
        <v>10</v>
      </c>
      <c r="N34" s="31" t="s">
        <v>11</v>
      </c>
      <c r="O34" s="31" t="s">
        <v>16</v>
      </c>
      <c r="Q34" s="42"/>
      <c r="S34" s="27">
        <f t="shared" si="0"/>
        <v>41782</v>
      </c>
      <c r="T34" s="29">
        <f>SUMIFS(Table4420101[Amount],Table4420101[Date],S34,Table4420101[Category],Table13695[[#Headers],[Income]])+SUMIFS(Table44100[Amount],Table44100[Date],S34,Table44100[Category],Table13695[[#Headers],[Income]])</f>
        <v>0</v>
      </c>
      <c r="U34" s="29">
        <f>SUMIFS(Table494[Amount],Table494[Date],S34,Table494[Category],"&lt;&gt;"&amp;Table13695[[#Headers],[Income]])+SUMIFS(Table44100[Amount],Table44100[Date],S34,Table44100[Category],"&lt;&gt;"&amp;Table13695[[#Headers],[Income]])</f>
        <v>0</v>
      </c>
      <c r="V34" s="29">
        <f t="shared" si="1"/>
        <v>1156.74</v>
      </c>
      <c r="W34" s="1">
        <f t="shared" si="2"/>
        <v>1156.7400000000005</v>
      </c>
    </row>
    <row r="35" spans="2:23" x14ac:dyDescent="0.2">
      <c r="B35" s="32"/>
      <c r="C35" s="11"/>
      <c r="D35" s="12"/>
      <c r="E35" s="13">
        <f>SUMIFS(Table494[Amount],Table494[Category],Table1393[[#Headers],[Transportation]],Table494[Sub-Category],Table1393[[#This Row],[Transportation]])+SUMIFS(Table44100[Amount],Table44100[Category],Table1393[[#Headers],[Transportation]],Table44100[Sub-Category],Table1393[[#This Row],[Transportation]])</f>
        <v>0</v>
      </c>
      <c r="F35" s="13">
        <f>Table1393[[#This Row],[Budget]]-Table1393[[#This Row],[Actual]]</f>
        <v>0</v>
      </c>
      <c r="G35" s="32"/>
      <c r="H35" s="42"/>
      <c r="M35" s="4"/>
      <c r="N35" s="2"/>
      <c r="Q35" s="42"/>
      <c r="S35" s="30">
        <f t="shared" si="0"/>
        <v>41783</v>
      </c>
      <c r="T35" s="28">
        <f>SUMIFS(Table4420101[Amount],Table4420101[Date],S35,Table4420101[Category],Table13695[[#Headers],[Income]])+SUMIFS(Table44100[Amount],Table44100[Date],S35,Table44100[Category],Table13695[[#Headers],[Income]])</f>
        <v>0</v>
      </c>
      <c r="U35" s="28">
        <f>SUMIFS(Table494[Amount],Table494[Date],S35,Table494[Category],"&lt;&gt;"&amp;Table13695[[#Headers],[Income]])+SUMIFS(Table44100[Amount],Table44100[Date],S35,Table44100[Category],"&lt;&gt;"&amp;Table13695[[#Headers],[Income]])</f>
        <v>0</v>
      </c>
      <c r="V35" s="28">
        <f t="shared" si="1"/>
        <v>1156.74</v>
      </c>
      <c r="W35" s="1">
        <f t="shared" si="2"/>
        <v>1156.7400000000005</v>
      </c>
    </row>
    <row r="36" spans="2:23" x14ac:dyDescent="0.2">
      <c r="B36" s="32"/>
      <c r="C36" s="11"/>
      <c r="D36" s="12"/>
      <c r="E36" s="13">
        <f>SUMIFS(Table494[Amount],Table494[Category],Table1393[[#Headers],[Transportation]],Table494[Sub-Category],Table1393[[#This Row],[Transportation]])+SUMIFS(Table44100[Amount],Table44100[Category],Table1393[[#Headers],[Transportation]],Table44100[Sub-Category],Table1393[[#This Row],[Transportation]])</f>
        <v>0</v>
      </c>
      <c r="F36" s="13">
        <f>Table1393[[#This Row],[Budget]]-Table1393[[#This Row],[Actual]]</f>
        <v>0</v>
      </c>
      <c r="G36" s="32"/>
      <c r="H36" s="42"/>
      <c r="M36" s="4"/>
      <c r="N36" s="2"/>
      <c r="Q36" s="42"/>
      <c r="S36" s="27">
        <f t="shared" si="0"/>
        <v>41784</v>
      </c>
      <c r="T36" s="29">
        <f>SUMIFS(Table4420101[Amount],Table4420101[Date],S36,Table4420101[Category],Table13695[[#Headers],[Income]])+SUMIFS(Table44100[Amount],Table44100[Date],S36,Table44100[Category],Table13695[[#Headers],[Income]])</f>
        <v>0</v>
      </c>
      <c r="U36" s="29">
        <f>SUMIFS(Table494[Amount],Table494[Date],S36,Table494[Category],"&lt;&gt;"&amp;Table13695[[#Headers],[Income]])+SUMIFS(Table44100[Amount],Table44100[Date],S36,Table44100[Category],"&lt;&gt;"&amp;Table13695[[#Headers],[Income]])</f>
        <v>0</v>
      </c>
      <c r="V36" s="29">
        <f t="shared" si="1"/>
        <v>1156.74</v>
      </c>
      <c r="W36" s="1">
        <f t="shared" si="2"/>
        <v>1156.7400000000005</v>
      </c>
    </row>
    <row r="37" spans="2:23" x14ac:dyDescent="0.2">
      <c r="B37" s="32"/>
      <c r="C37" s="9" t="s">
        <v>20</v>
      </c>
      <c r="D37" s="10">
        <f>SUBTOTAL(109,Table1393[Budget])</f>
        <v>0</v>
      </c>
      <c r="E37" s="10">
        <f>SUBTOTAL(109,Table1393[Actual])</f>
        <v>0</v>
      </c>
      <c r="F37" s="10">
        <f>SUBTOTAL(109,Table1393[Variance])</f>
        <v>0</v>
      </c>
      <c r="G37" s="32"/>
      <c r="H37" s="42"/>
      <c r="M37" s="4"/>
      <c r="N37" s="2"/>
      <c r="Q37" s="42"/>
      <c r="S37" s="30">
        <f t="shared" si="0"/>
        <v>41785</v>
      </c>
      <c r="T37" s="28">
        <f>SUMIFS(Table4420101[Amount],Table4420101[Date],S37,Table4420101[Category],Table13695[[#Headers],[Income]])+SUMIFS(Table44100[Amount],Table44100[Date],S37,Table44100[Category],Table13695[[#Headers],[Income]])</f>
        <v>0</v>
      </c>
      <c r="U37" s="28">
        <f>SUMIFS(Table494[Amount],Table494[Date],S37,Table494[Category],"&lt;&gt;"&amp;Table13695[[#Headers],[Income]])+SUMIFS(Table44100[Amount],Table44100[Date],S37,Table44100[Category],"&lt;&gt;"&amp;Table13695[[#Headers],[Income]])</f>
        <v>0</v>
      </c>
      <c r="V37" s="28">
        <f t="shared" si="1"/>
        <v>1156.74</v>
      </c>
      <c r="W37" s="1">
        <f t="shared" si="2"/>
        <v>1156.7400000000005</v>
      </c>
    </row>
    <row r="38" spans="2:23" x14ac:dyDescent="0.2">
      <c r="B38" s="32"/>
      <c r="C38" s="26"/>
      <c r="D38" s="23"/>
      <c r="E38" s="23"/>
      <c r="F38" s="23"/>
      <c r="G38" s="32"/>
      <c r="H38" s="42"/>
      <c r="J38" s="11"/>
      <c r="K38" s="11"/>
      <c r="L38" s="11"/>
      <c r="M38" s="24"/>
      <c r="N38" s="12"/>
      <c r="O38" s="11"/>
      <c r="Q38" s="42"/>
      <c r="S38" s="27">
        <f t="shared" si="0"/>
        <v>41786</v>
      </c>
      <c r="T38" s="29">
        <f>SUMIFS(Table4420101[Amount],Table4420101[Date],S38,Table4420101[Category],Table13695[[#Headers],[Income]])+SUMIFS(Table44100[Amount],Table44100[Date],S38,Table44100[Category],Table13695[[#Headers],[Income]])</f>
        <v>0</v>
      </c>
      <c r="U38" s="29">
        <f>SUMIFS(Table494[Amount],Table494[Date],S38,Table494[Category],"&lt;&gt;"&amp;Table13695[[#Headers],[Income]])+SUMIFS(Table44100[Amount],Table44100[Date],S38,Table44100[Category],"&lt;&gt;"&amp;Table13695[[#Headers],[Income]])</f>
        <v>0</v>
      </c>
      <c r="V38" s="29">
        <f t="shared" si="1"/>
        <v>1156.74</v>
      </c>
      <c r="W38" s="1">
        <f t="shared" si="2"/>
        <v>1156.7400000000005</v>
      </c>
    </row>
    <row r="39" spans="2:23" x14ac:dyDescent="0.2">
      <c r="B39" s="32"/>
      <c r="C39" s="37" t="str">
        <f>CONCATENATE(Table1391099[[#Headers],[Bills]]," - Budget &amp; Tracking")</f>
        <v>Bills - Budget &amp; Tracking</v>
      </c>
      <c r="D39" s="38"/>
      <c r="E39" s="38"/>
      <c r="F39" s="39"/>
      <c r="G39" s="32"/>
      <c r="H39" s="42"/>
      <c r="J39" s="11"/>
      <c r="K39" s="11"/>
      <c r="L39" s="11"/>
      <c r="M39" s="24"/>
      <c r="N39" s="12"/>
      <c r="O39" s="11"/>
      <c r="Q39" s="42"/>
      <c r="S39" s="30">
        <f t="shared" si="0"/>
        <v>41787</v>
      </c>
      <c r="T39" s="28">
        <f>SUMIFS(Table4420101[Amount],Table4420101[Date],S39,Table4420101[Category],Table13695[[#Headers],[Income]])+SUMIFS(Table44100[Amount],Table44100[Date],S39,Table44100[Category],Table13695[[#Headers],[Income]])</f>
        <v>0</v>
      </c>
      <c r="U39" s="28">
        <f>SUMIFS(Table494[Amount],Table494[Date],S39,Table494[Category],"&lt;&gt;"&amp;Table13695[[#Headers],[Income]])+SUMIFS(Table44100[Amount],Table44100[Date],S39,Table44100[Category],"&lt;&gt;"&amp;Table13695[[#Headers],[Income]])</f>
        <v>0</v>
      </c>
      <c r="V39" s="28">
        <f t="shared" si="1"/>
        <v>1156.74</v>
      </c>
      <c r="W39" s="1">
        <f t="shared" si="2"/>
        <v>1156.7400000000005</v>
      </c>
    </row>
    <row r="40" spans="2:23" x14ac:dyDescent="0.2">
      <c r="B40" s="32"/>
      <c r="C40" s="31" t="s">
        <v>30</v>
      </c>
      <c r="D40" s="31" t="s">
        <v>1</v>
      </c>
      <c r="E40" s="31" t="s">
        <v>2</v>
      </c>
      <c r="F40" s="31" t="s">
        <v>14</v>
      </c>
      <c r="G40" s="32"/>
      <c r="H40" s="42"/>
      <c r="J40" s="11"/>
      <c r="K40" s="11"/>
      <c r="L40" s="11"/>
      <c r="M40" s="24"/>
      <c r="N40" s="12"/>
      <c r="O40" s="11"/>
      <c r="Q40" s="42"/>
      <c r="S40" s="27">
        <f t="shared" si="0"/>
        <v>41788</v>
      </c>
      <c r="T40" s="29">
        <f>SUMIFS(Table4420101[Amount],Table4420101[Date],S40,Table4420101[Category],Table13695[[#Headers],[Income]])+SUMIFS(Table44100[Amount],Table44100[Date],S40,Table44100[Category],Table13695[[#Headers],[Income]])</f>
        <v>0</v>
      </c>
      <c r="U40" s="29">
        <f>SUMIFS(Table494[Amount],Table494[Date],S40,Table494[Category],"&lt;&gt;"&amp;Table13695[[#Headers],[Income]])+SUMIFS(Table44100[Amount],Table44100[Date],S40,Table44100[Category],"&lt;&gt;"&amp;Table13695[[#Headers],[Income]])</f>
        <v>0</v>
      </c>
      <c r="V40" s="29">
        <f t="shared" si="1"/>
        <v>1156.74</v>
      </c>
      <c r="W40" s="1">
        <f t="shared" si="2"/>
        <v>1156.7400000000005</v>
      </c>
    </row>
    <row r="41" spans="2:23" x14ac:dyDescent="0.2">
      <c r="B41" s="32"/>
      <c r="D41" s="2"/>
      <c r="E41" s="2">
        <f>SUMIFS(Table494[Amount],Table494[Category],Table1391099[[#Headers],[Bills]],Table494[Sub-Category],Table1391099[[#This Row],[Bills]])+SUMIFS(Table44100[Amount],Table44100[Category],Table1391099[[#Headers],[Bills]],Table44100[Sub-Category],Table1391099[[#This Row],[Bills]])</f>
        <v>0</v>
      </c>
      <c r="F41" s="3">
        <f>Table1391099[[#This Row],[Budget]]-Table1391099[[#This Row],[Actual]]</f>
        <v>0</v>
      </c>
      <c r="G41" s="32"/>
      <c r="H41" s="42"/>
      <c r="Q41" s="42"/>
      <c r="S41" s="30">
        <f t="shared" si="0"/>
        <v>41789</v>
      </c>
      <c r="T41" s="28">
        <f>SUMIFS(Table4420101[Amount],Table4420101[Date],S41,Table4420101[Category],Table13695[[#Headers],[Income]])+SUMIFS(Table44100[Amount],Table44100[Date],S41,Table44100[Category],Table13695[[#Headers],[Income]])</f>
        <v>0</v>
      </c>
      <c r="U41" s="28">
        <f>SUMIFS(Table494[Amount],Table494[Date],S41,Table494[Category],"&lt;&gt;"&amp;Table13695[[#Headers],[Income]])+SUMIFS(Table44100[Amount],Table44100[Date],S41,Table44100[Category],"&lt;&gt;"&amp;Table13695[[#Headers],[Income]])</f>
        <v>0</v>
      </c>
      <c r="V41" s="28">
        <f t="shared" si="1"/>
        <v>1156.74</v>
      </c>
      <c r="W41" s="1">
        <f t="shared" si="2"/>
        <v>1156.7400000000005</v>
      </c>
    </row>
    <row r="42" spans="2:23" x14ac:dyDescent="0.2">
      <c r="B42" s="32"/>
      <c r="D42" s="2"/>
      <c r="E42" s="2">
        <f>SUMIFS(Table494[Amount],Table494[Category],Table1391099[[#Headers],[Bills]],Table494[Sub-Category],Table1391099[[#This Row],[Bills]])+SUMIFS(Table44100[Amount],Table44100[Category],Table1391099[[#Headers],[Bills]],Table44100[Sub-Category],Table1391099[[#This Row],[Bills]])</f>
        <v>0</v>
      </c>
      <c r="F42" s="3">
        <f>Table1391099[[#This Row],[Budget]]-Table1391099[[#This Row],[Actual]]</f>
        <v>0</v>
      </c>
      <c r="G42" s="32"/>
      <c r="H42" s="42"/>
      <c r="Q42" s="42"/>
      <c r="S42" s="27">
        <f t="shared" si="0"/>
        <v>41790</v>
      </c>
      <c r="T42" s="29">
        <f>SUMIFS(Table4420101[Amount],Table4420101[Date],S42,Table4420101[Category],Table13695[[#Headers],[Income]])+SUMIFS(Table44100[Amount],Table44100[Date],S42,Table44100[Category],Table13695[[#Headers],[Income]])</f>
        <v>0</v>
      </c>
      <c r="U42" s="29">
        <f>SUMIFS(Table494[Amount],Table494[Date],S42,Table494[Category],"&lt;&gt;"&amp;Table13695[[#Headers],[Income]])+SUMIFS(Table44100[Amount],Table44100[Date],S42,Table44100[Category],"&lt;&gt;"&amp;Table13695[[#Headers],[Income]])</f>
        <v>0</v>
      </c>
      <c r="V42" s="29">
        <f t="shared" si="1"/>
        <v>1156.74</v>
      </c>
      <c r="W42" s="1">
        <f t="shared" si="2"/>
        <v>1156.7400000000005</v>
      </c>
    </row>
    <row r="43" spans="2:23" x14ac:dyDescent="0.2">
      <c r="B43" s="32"/>
      <c r="C43" s="11"/>
      <c r="D43" s="12"/>
      <c r="E43" s="13">
        <f>SUMIFS(Table494[Amount],Table494[Category],Table1391099[[#Headers],[Bills]],Table494[Sub-Category],Table1391099[[#This Row],[Bills]])+SUMIFS(Table44100[Amount],Table44100[Category],Table1391099[[#Headers],[Bills]],Table44100[Sub-Category],Table1391099[[#This Row],[Bills]])</f>
        <v>0</v>
      </c>
      <c r="F43" s="13">
        <f>Table1391099[[#This Row],[Budget]]-Table1391099[[#This Row],[Actual]]</f>
        <v>0</v>
      </c>
      <c r="G43" s="32"/>
      <c r="H43" s="42"/>
      <c r="Q43" s="42"/>
      <c r="S43" s="8"/>
    </row>
    <row r="44" spans="2:23" x14ac:dyDescent="0.2">
      <c r="B44" s="32"/>
      <c r="C44" s="11"/>
      <c r="D44" s="12"/>
      <c r="E44" s="13">
        <f>SUMIFS(Table494[Amount],Table494[Category],Table1391099[[#Headers],[Bills]],Table494[Sub-Category],Table1391099[[#This Row],[Bills]])+SUMIFS(Table44100[Amount],Table44100[Category],Table1391099[[#Headers],[Bills]],Table44100[Sub-Category],Table1391099[[#This Row],[Bills]])</f>
        <v>0</v>
      </c>
      <c r="F44" s="13">
        <f>Table1391099[[#This Row],[Budget]]-Table1391099[[#This Row],[Actual]]</f>
        <v>0</v>
      </c>
      <c r="G44" s="32"/>
      <c r="H44" s="42"/>
      <c r="Q44" s="42"/>
      <c r="S44" s="8"/>
    </row>
    <row r="45" spans="2:23" x14ac:dyDescent="0.2">
      <c r="B45" s="32"/>
      <c r="C45" s="11"/>
      <c r="D45" s="12"/>
      <c r="E45" s="13">
        <f>SUMIFS(Table494[Amount],Table494[Category],Table1391099[[#Headers],[Bills]],Table494[Sub-Category],Table1391099[[#This Row],[Bills]])+SUMIFS(Table44100[Amount],Table44100[Category],Table1391099[[#Headers],[Bills]],Table44100[Sub-Category],Table1391099[[#This Row],[Bills]])</f>
        <v>0</v>
      </c>
      <c r="F45" s="13">
        <f>Table1391099[[#This Row],[Budget]]-Table1391099[[#This Row],[Actual]]</f>
        <v>0</v>
      </c>
      <c r="G45" s="32"/>
      <c r="H45" s="42"/>
      <c r="Q45" s="42"/>
    </row>
    <row r="46" spans="2:23" x14ac:dyDescent="0.2">
      <c r="B46" s="32"/>
      <c r="C46" s="9" t="s">
        <v>20</v>
      </c>
      <c r="D46" s="10">
        <f>SUBTOTAL(109,Table1391099[Budget])</f>
        <v>0</v>
      </c>
      <c r="E46" s="10">
        <f>SUBTOTAL(109,Table1391099[Actual])</f>
        <v>0</v>
      </c>
      <c r="F46" s="10">
        <f>SUBTOTAL(109,Table1391099[Variance])</f>
        <v>0</v>
      </c>
      <c r="G46" s="32"/>
      <c r="H46" s="42"/>
      <c r="Q46" s="42"/>
    </row>
    <row r="47" spans="2:23" x14ac:dyDescent="0.2">
      <c r="B47" s="32"/>
      <c r="C47" s="20"/>
      <c r="D47" s="21"/>
      <c r="E47" s="21"/>
      <c r="F47" s="22"/>
      <c r="G47" s="32"/>
      <c r="H47" s="42"/>
      <c r="Q47" s="42"/>
    </row>
    <row r="48" spans="2:23" x14ac:dyDescent="0.2">
      <c r="B48" s="32"/>
      <c r="C48" s="37" t="str">
        <f>CONCATENATE(Table13796[[#Headers],[Living]]," - Budget &amp; Tracking")</f>
        <v>Living - Budget &amp; Tracking</v>
      </c>
      <c r="D48" s="38"/>
      <c r="E48" s="38"/>
      <c r="F48" s="39"/>
      <c r="G48" s="32"/>
      <c r="H48" s="42"/>
      <c r="Q48" s="42"/>
    </row>
    <row r="49" spans="2:17" x14ac:dyDescent="0.2">
      <c r="B49" s="32"/>
      <c r="C49" s="31" t="s">
        <v>25</v>
      </c>
      <c r="D49" s="31" t="s">
        <v>1</v>
      </c>
      <c r="E49" s="31" t="s">
        <v>2</v>
      </c>
      <c r="F49" s="31" t="s">
        <v>14</v>
      </c>
      <c r="G49" s="32"/>
      <c r="H49" s="42"/>
      <c r="Q49" s="42"/>
    </row>
    <row r="50" spans="2:17" x14ac:dyDescent="0.2">
      <c r="B50" s="32"/>
      <c r="D50" s="2"/>
      <c r="E50" s="2">
        <f>SUMIFS(Table494[Amount],Table494[Category],Table13796[[#Headers],[Living]],Table494[Sub-Category],Table13796[[#This Row],[Living]])+SUMIFS(Table44100[Amount],Table44100[Category],Table13796[[#Headers],[Living]],Table44100[Sub-Category],Table13796[[#This Row],[Living]])</f>
        <v>0</v>
      </c>
      <c r="F50" s="3">
        <f>Table13796[[#This Row],[Budget]]-Table13796[[#This Row],[Actual]]</f>
        <v>0</v>
      </c>
      <c r="G50" s="32"/>
      <c r="H50" s="42"/>
      <c r="Q50" s="42"/>
    </row>
    <row r="51" spans="2:17" x14ac:dyDescent="0.2">
      <c r="B51" s="32"/>
      <c r="D51" s="2"/>
      <c r="E51" s="2">
        <f>SUMIFS(Table494[Amount],Table494[Category],Table13796[[#Headers],[Living]],Table494[Sub-Category],Table13796[[#This Row],[Living]])+SUMIFS(Table44100[Amount],Table44100[Category],Table13796[[#Headers],[Living]],Table44100[Sub-Category],Table13796[[#This Row],[Living]])</f>
        <v>0</v>
      </c>
      <c r="F51" s="3">
        <f>Table13796[[#This Row],[Budget]]-Table13796[[#This Row],[Actual]]</f>
        <v>0</v>
      </c>
      <c r="G51" s="32"/>
      <c r="H51" s="42"/>
      <c r="Q51" s="42"/>
    </row>
    <row r="52" spans="2:17" x14ac:dyDescent="0.2">
      <c r="B52" s="32"/>
      <c r="C52" s="11"/>
      <c r="D52" s="12"/>
      <c r="E52" s="13">
        <f>SUMIFS(Table494[Amount],Table494[Category],Table13796[[#Headers],[Living]],Table494[Sub-Category],Table13796[[#This Row],[Living]])+SUMIFS(Table44100[Amount],Table44100[Category],Table13796[[#Headers],[Living]],Table44100[Sub-Category],Table13796[[#This Row],[Living]])</f>
        <v>0</v>
      </c>
      <c r="F52" s="13">
        <f>Table13796[[#This Row],[Budget]]-Table13796[[#This Row],[Actual]]</f>
        <v>0</v>
      </c>
      <c r="G52" s="32"/>
      <c r="H52" s="42"/>
      <c r="Q52" s="42"/>
    </row>
    <row r="53" spans="2:17" x14ac:dyDescent="0.2">
      <c r="B53" s="32"/>
      <c r="C53" s="11"/>
      <c r="D53" s="12"/>
      <c r="E53" s="13">
        <f>SUMIFS(Table494[Amount],Table494[Category],Table13796[[#Headers],[Living]],Table494[Sub-Category],Table13796[[#This Row],[Living]])+SUMIFS(Table44100[Amount],Table44100[Category],Table13796[[#Headers],[Living]],Table44100[Sub-Category],Table13796[[#This Row],[Living]])</f>
        <v>0</v>
      </c>
      <c r="F53" s="13">
        <f>Table13796[[#This Row],[Budget]]-Table13796[[#This Row],[Actual]]</f>
        <v>0</v>
      </c>
      <c r="G53" s="32"/>
      <c r="H53" s="42"/>
      <c r="Q53" s="42"/>
    </row>
    <row r="54" spans="2:17" x14ac:dyDescent="0.2">
      <c r="B54" s="32"/>
      <c r="C54" s="9" t="s">
        <v>20</v>
      </c>
      <c r="D54" s="10">
        <f>SUBTOTAL(109,Table13796[Budget])</f>
        <v>0</v>
      </c>
      <c r="E54" s="10">
        <f>SUBTOTAL(109,Table13796[Actual])</f>
        <v>0</v>
      </c>
      <c r="F54" s="10">
        <f>SUBTOTAL(109,Table13796[Variance])</f>
        <v>0</v>
      </c>
      <c r="G54" s="32"/>
      <c r="H54" s="42"/>
      <c r="Q54" s="42"/>
    </row>
    <row r="55" spans="2:17" x14ac:dyDescent="0.2">
      <c r="B55" s="32"/>
      <c r="C55" s="20"/>
      <c r="D55" s="21"/>
      <c r="E55" s="21"/>
      <c r="F55" s="22"/>
      <c r="G55" s="32"/>
      <c r="H55" s="42"/>
      <c r="Q55" s="42"/>
    </row>
    <row r="56" spans="2:17" x14ac:dyDescent="0.2">
      <c r="B56" s="32"/>
      <c r="C56" s="37" t="str">
        <f>CONCATENATE(Table13897[[#Headers],[Entertainment]]," - Budget &amp; Tracking")</f>
        <v>Entertainment - Budget &amp; Tracking</v>
      </c>
      <c r="D56" s="38"/>
      <c r="E56" s="38"/>
      <c r="F56" s="39"/>
      <c r="G56" s="32"/>
      <c r="H56" s="42"/>
      <c r="Q56" s="42"/>
    </row>
    <row r="57" spans="2:17" x14ac:dyDescent="0.2">
      <c r="B57" s="32"/>
      <c r="C57" s="31" t="s">
        <v>24</v>
      </c>
      <c r="D57" s="31" t="s">
        <v>1</v>
      </c>
      <c r="E57" s="31" t="s">
        <v>2</v>
      </c>
      <c r="F57" s="31" t="s">
        <v>14</v>
      </c>
      <c r="G57" s="32"/>
      <c r="H57" s="42"/>
      <c r="Q57" s="42"/>
    </row>
    <row r="58" spans="2:17" x14ac:dyDescent="0.2">
      <c r="B58" s="32"/>
      <c r="D58" s="2"/>
      <c r="E58" s="2">
        <f>SUMIFS(Table494[Amount],Table494[Category],Table13897[[#Headers],[Entertainment]],Table494[Sub-Category],Table13897[[#This Row],[Entertainment]])+SUMIFS(Table44100[Amount],Table44100[Category],Table13897[[#Headers],[Entertainment]],Table44100[Sub-Category],Table13897[[#This Row],[Entertainment]])</f>
        <v>0</v>
      </c>
      <c r="F58" s="3">
        <f>Table13897[[#This Row],[Budget]]-Table13897[[#This Row],[Actual]]</f>
        <v>0</v>
      </c>
      <c r="G58" s="32"/>
      <c r="H58" s="42"/>
      <c r="Q58" s="42"/>
    </row>
    <row r="59" spans="2:17" x14ac:dyDescent="0.2">
      <c r="B59" s="33"/>
      <c r="D59" s="2"/>
      <c r="E59" s="2">
        <f>SUMIFS(Table494[Amount],Table494[Category],Table13897[[#Headers],[Entertainment]],Table494[Sub-Category],Table13897[[#This Row],[Entertainment]])+SUMIFS(Table44100[Amount],Table44100[Category],Table13897[[#Headers],[Entertainment]],Table44100[Sub-Category],Table13897[[#This Row],[Entertainment]])</f>
        <v>0</v>
      </c>
      <c r="F59" s="3">
        <f>Table13897[[#This Row],[Budget]]-Table13897[[#This Row],[Actual]]</f>
        <v>0</v>
      </c>
      <c r="G59" s="33"/>
      <c r="H59" s="42"/>
      <c r="Q59" s="42"/>
    </row>
    <row r="60" spans="2:17" x14ac:dyDescent="0.2">
      <c r="C60" s="9" t="s">
        <v>20</v>
      </c>
      <c r="D60" s="10">
        <f>SUBTOTAL(109,Table13897[Budget])</f>
        <v>0</v>
      </c>
      <c r="E60" s="10">
        <f>SUBTOTAL(109,Table13897[Actual])</f>
        <v>0</v>
      </c>
      <c r="F60" s="10">
        <f>SUBTOTAL(109,Table13897[Variance])</f>
        <v>0</v>
      </c>
      <c r="H60" s="42"/>
      <c r="Q60" s="42"/>
    </row>
    <row r="61" spans="2:17" x14ac:dyDescent="0.2">
      <c r="C61" s="26"/>
      <c r="D61" s="23"/>
      <c r="E61" s="23"/>
      <c r="F61" s="23"/>
      <c r="H61" s="42"/>
      <c r="Q61" s="42"/>
    </row>
    <row r="62" spans="2:17" x14ac:dyDescent="0.2">
      <c r="C62" s="37" t="str">
        <f>CONCATENATE(Table13998[[#Headers],[Misc.]]," - Budget &amp; Tracking")</f>
        <v>Misc. - Budget &amp; Tracking</v>
      </c>
      <c r="D62" s="38"/>
      <c r="E62" s="38"/>
      <c r="F62" s="39"/>
      <c r="H62" s="42"/>
      <c r="Q62" s="42"/>
    </row>
    <row r="63" spans="2:17" x14ac:dyDescent="0.2">
      <c r="C63" s="31" t="s">
        <v>27</v>
      </c>
      <c r="D63" s="31" t="s">
        <v>1</v>
      </c>
      <c r="E63" s="31" t="s">
        <v>2</v>
      </c>
      <c r="F63" s="31" t="s">
        <v>14</v>
      </c>
      <c r="H63" s="42"/>
      <c r="Q63" s="42"/>
    </row>
    <row r="64" spans="2:17" x14ac:dyDescent="0.2">
      <c r="C64" s="11"/>
      <c r="D64" s="12"/>
      <c r="E64" s="13">
        <f>SUMIFS(Table494[Amount],Table494[Category],Table13998[[#Headers],[Misc.]],Table494[Sub-Category],Table13998[[#This Row],[Misc.]])+SUMIFS(Table44100[Amount],Table44100[Category],Table13998[[#Headers],[Misc.]],Table44100[Sub-Category],Table13998[[#This Row],[Misc.]])</f>
        <v>0</v>
      </c>
      <c r="F64" s="13">
        <f>Table13998[[#This Row],[Budget]]-Table13998[[#This Row],[Actual]]</f>
        <v>0</v>
      </c>
      <c r="H64" s="42"/>
      <c r="Q64" s="42"/>
    </row>
    <row r="65" spans="3:17" x14ac:dyDescent="0.2">
      <c r="C65" s="11"/>
      <c r="D65" s="12"/>
      <c r="E65" s="13">
        <f>SUMIFS(Table494[Amount],Table494[Category],Table13998[[#Headers],[Misc.]],Table494[Sub-Category],Table13998[[#This Row],[Misc.]])+SUMIFS(Table44100[Amount],Table44100[Category],Table13998[[#Headers],[Misc.]],Table44100[Sub-Category],Table13998[[#This Row],[Misc.]])</f>
        <v>0</v>
      </c>
      <c r="F65" s="13">
        <f>Table13998[[#This Row],[Budget]]-Table13998[[#This Row],[Actual]]</f>
        <v>0</v>
      </c>
      <c r="H65" s="42"/>
      <c r="Q65" s="42"/>
    </row>
    <row r="66" spans="3:17" x14ac:dyDescent="0.2">
      <c r="C66" s="9" t="s">
        <v>20</v>
      </c>
      <c r="D66" s="10">
        <f>SUBTOTAL(109,Table13998[Budget])</f>
        <v>0</v>
      </c>
      <c r="E66" s="10">
        <f>SUBTOTAL(109,Table13998[Actual])</f>
        <v>0</v>
      </c>
      <c r="F66" s="10">
        <f>SUBTOTAL(109,Table13998[Variance])</f>
        <v>0</v>
      </c>
      <c r="H66" s="42"/>
      <c r="Q66" s="42"/>
    </row>
    <row r="67" spans="3:17" x14ac:dyDescent="0.2">
      <c r="C67" s="26"/>
      <c r="D67" s="23"/>
      <c r="E67" s="23"/>
      <c r="F67" s="23"/>
    </row>
    <row r="68" spans="3:17" x14ac:dyDescent="0.2">
      <c r="C68" s="33"/>
      <c r="D68" s="34"/>
      <c r="E68" s="34"/>
      <c r="F68" s="34"/>
    </row>
  </sheetData>
  <mergeCells count="1">
    <mergeCell ref="C1:F1"/>
  </mergeCells>
  <conditionalFormatting sqref="F33:F36">
    <cfRule type="iconSet" priority="23">
      <iconSet iconSet="3Symbols">
        <cfvo type="percent" val="0"/>
        <cfvo type="num" val="0"/>
        <cfvo type="num" val="10"/>
      </iconSet>
    </cfRule>
  </conditionalFormatting>
  <conditionalFormatting sqref="F50:F53">
    <cfRule type="iconSet" priority="21">
      <iconSet iconSet="3Symbols">
        <cfvo type="percent" val="0"/>
        <cfvo type="num" val="0"/>
        <cfvo type="num" val="10"/>
      </iconSet>
    </cfRule>
  </conditionalFormatting>
  <conditionalFormatting sqref="F58:F59">
    <cfRule type="iconSet" priority="20">
      <iconSet iconSet="3Symbols">
        <cfvo type="percent" val="0"/>
        <cfvo type="num" val="0"/>
        <cfvo type="num" val="10"/>
      </iconSet>
    </cfRule>
  </conditionalFormatting>
  <conditionalFormatting sqref="F41:F45">
    <cfRule type="iconSet" priority="19">
      <iconSet iconSet="3Symbols">
        <cfvo type="percent" val="0"/>
        <cfvo type="num" val="0"/>
        <cfvo type="num" val="10"/>
      </iconSet>
    </cfRule>
  </conditionalFormatting>
  <conditionalFormatting sqref="D6:E6">
    <cfRule type="iconSet" priority="18">
      <iconSet iconSet="3Symbols">
        <cfvo type="percent" val="0"/>
        <cfvo type="num" val="0" gte="0"/>
        <cfvo type="num" val="10"/>
      </iconSet>
    </cfRule>
  </conditionalFormatting>
  <conditionalFormatting sqref="F3:F6">
    <cfRule type="iconSet" priority="17">
      <iconSet iconSet="3Arrows">
        <cfvo type="percent" val="0"/>
        <cfvo type="num" val="-50"/>
        <cfvo type="num" val="0" gte="0"/>
      </iconSet>
    </cfRule>
  </conditionalFormatting>
  <conditionalFormatting sqref="F20:F28">
    <cfRule type="iconSet" priority="24">
      <iconSet iconSet="3Symbols">
        <cfvo type="percent" val="0"/>
        <cfvo type="num" val="0"/>
        <cfvo type="num" val="10"/>
      </iconSet>
    </cfRule>
  </conditionalFormatting>
  <conditionalFormatting sqref="S12">
    <cfRule type="cellIs" dxfId="63" priority="16" operator="equal">
      <formula>TODAY()</formula>
    </cfRule>
  </conditionalFormatting>
  <conditionalFormatting sqref="T12 T20:U42">
    <cfRule type="expression" dxfId="62" priority="15">
      <formula>IF($S12=TODAY(),TRUE)</formula>
    </cfRule>
  </conditionalFormatting>
  <conditionalFormatting sqref="U12">
    <cfRule type="expression" dxfId="61" priority="14">
      <formula>IF($S12=TODAY(),TRUE)</formula>
    </cfRule>
  </conditionalFormatting>
  <conditionalFormatting sqref="V12 V20:V42">
    <cfRule type="expression" dxfId="60" priority="13">
      <formula>IF($S12=TODAY(),TRUE)</formula>
    </cfRule>
  </conditionalFormatting>
  <conditionalFormatting sqref="S13:S15">
    <cfRule type="cellIs" dxfId="59" priority="12" operator="equal">
      <formula>TODAY()</formula>
    </cfRule>
  </conditionalFormatting>
  <conditionalFormatting sqref="T13:T15">
    <cfRule type="expression" dxfId="58" priority="11">
      <formula>IF($S13=TODAY(),TRUE)</formula>
    </cfRule>
  </conditionalFormatting>
  <conditionalFormatting sqref="U13:U15">
    <cfRule type="expression" dxfId="57" priority="10">
      <formula>IF($S13=TODAY(),TRUE)</formula>
    </cfRule>
  </conditionalFormatting>
  <conditionalFormatting sqref="V13:V15">
    <cfRule type="expression" dxfId="56" priority="9">
      <formula>IF($S13=TODAY(),TRUE)</formula>
    </cfRule>
  </conditionalFormatting>
  <conditionalFormatting sqref="S16 S20 S24 S28 S32 S36 S40">
    <cfRule type="cellIs" dxfId="55" priority="8" operator="equal">
      <formula>TODAY()</formula>
    </cfRule>
  </conditionalFormatting>
  <conditionalFormatting sqref="T16">
    <cfRule type="expression" dxfId="54" priority="7">
      <formula>IF($S16=TODAY(),TRUE)</formula>
    </cfRule>
  </conditionalFormatting>
  <conditionalFormatting sqref="U16">
    <cfRule type="expression" dxfId="53" priority="6">
      <formula>IF($S16=TODAY(),TRUE)</formula>
    </cfRule>
  </conditionalFormatting>
  <conditionalFormatting sqref="V16">
    <cfRule type="expression" dxfId="52" priority="5">
      <formula>IF($S16=TODAY(),TRUE)</formula>
    </cfRule>
  </conditionalFormatting>
  <conditionalFormatting sqref="S17:S19 S21:S23 S25:S27 S29:S31 S33:S35 S37:S39 S41:S42">
    <cfRule type="cellIs" dxfId="51" priority="4" operator="equal">
      <formula>TODAY()</formula>
    </cfRule>
  </conditionalFormatting>
  <conditionalFormatting sqref="T17:T19">
    <cfRule type="expression" dxfId="50" priority="3">
      <formula>IF($S17=TODAY(),TRUE)</formula>
    </cfRule>
  </conditionalFormatting>
  <conditionalFormatting sqref="U17:U19">
    <cfRule type="expression" dxfId="49" priority="2">
      <formula>IF($S17=TODAY(),TRUE)</formula>
    </cfRule>
  </conditionalFormatting>
  <conditionalFormatting sqref="V17:V19">
    <cfRule type="expression" dxfId="48" priority="1">
      <formula>IF($S17=TODAY(),TRUE)</formula>
    </cfRule>
  </conditionalFormatting>
  <conditionalFormatting sqref="F66:F68">
    <cfRule type="iconSet" priority="25">
      <iconSet iconSet="3Symbols">
        <cfvo type="percent" val="0"/>
        <cfvo type="num" val="0" gte="0"/>
        <cfvo type="num" val="10"/>
      </iconSet>
    </cfRule>
  </conditionalFormatting>
  <conditionalFormatting sqref="F60:F61">
    <cfRule type="iconSet" priority="26">
      <iconSet iconSet="3Symbols">
        <cfvo type="percent" val="0"/>
        <cfvo type="num" val="0" gte="0"/>
        <cfvo type="num" val="10"/>
      </iconSet>
    </cfRule>
  </conditionalFormatting>
  <conditionalFormatting sqref="F54:F55">
    <cfRule type="iconSet" priority="27">
      <iconSet iconSet="3Symbols">
        <cfvo type="percent" val="0"/>
        <cfvo type="num" val="0" gte="0"/>
        <cfvo type="num" val="10" gte="0"/>
      </iconSet>
    </cfRule>
  </conditionalFormatting>
  <conditionalFormatting sqref="F46:F47">
    <cfRule type="iconSet" priority="28">
      <iconSet iconSet="3Symbols">
        <cfvo type="percent" val="0"/>
        <cfvo type="num" val="0" gte="0"/>
        <cfvo type="num" val="10"/>
      </iconSet>
    </cfRule>
  </conditionalFormatting>
  <conditionalFormatting sqref="F37:F38">
    <cfRule type="iconSet" priority="29">
      <iconSet iconSet="3Symbols">
        <cfvo type="percent" val="0"/>
        <cfvo type="num" val="0" gte="0"/>
        <cfvo type="num" val="10"/>
      </iconSet>
    </cfRule>
  </conditionalFormatting>
  <conditionalFormatting sqref="F29:F30">
    <cfRule type="iconSet" priority="30">
      <iconSet iconSet="3Symbols">
        <cfvo type="percent" val="0"/>
        <cfvo type="num" val="0" gte="0"/>
        <cfvo type="num" val="10"/>
      </iconSet>
    </cfRule>
  </conditionalFormatting>
  <conditionalFormatting sqref="F64:F65">
    <cfRule type="iconSet" priority="32">
      <iconSet iconSet="3Symbols">
        <cfvo type="percent" val="0"/>
        <cfvo type="num" val="0"/>
        <cfvo type="num" val="10"/>
      </iconSet>
    </cfRule>
  </conditionalFormatting>
  <dataValidations count="3">
    <dataValidation type="list" allowBlank="1" showInputMessage="1" showErrorMessage="1" sqref="O35:O40 O19:O32 O12:O16">
      <formula1>$U$2:$U$4</formula1>
    </dataValidation>
    <dataValidation type="list" allowBlank="1" showInputMessage="1" showErrorMessage="1" sqref="K35:K40 K19:K32 K12:K16">
      <formula1>$R$2:$R$8</formula1>
    </dataValidation>
    <dataValidation type="list" allowBlank="1" showInputMessage="1" showErrorMessage="1" sqref="L35:L40 L12:L16 L19:L32">
      <formula1>INDIRECT(K12)</formula1>
    </dataValidation>
  </dataValidations>
  <printOptions horizontalCentered="1"/>
  <pageMargins left="0.2" right="0.2" top="0.25" bottom="0.25" header="0.3" footer="0.3"/>
  <pageSetup scale="76" orientation="landscape" r:id="rId1"/>
  <drawing r:id="rId2"/>
  <tableParts count="10">
    <tablePart r:id="rId3"/>
    <tablePart r:id="rId4"/>
    <tablePart r:id="rId5"/>
    <tablePart r:id="rId6"/>
    <tablePart r:id="rId7"/>
    <tablePart r:id="rId8"/>
    <tablePart r:id="rId9"/>
    <tablePart r:id="rId10"/>
    <tablePart r:id="rId11"/>
    <tablePart r:id="rId12"/>
  </tableParts>
  <extLst>
    <ext xmlns:x14="http://schemas.microsoft.com/office/spreadsheetml/2009/9/main" uri="{78C0D931-6437-407d-A8EE-F0AAD7539E65}">
      <x14:conditionalFormattings>
        <x14:conditionalFormatting xmlns:xm="http://schemas.microsoft.com/office/excel/2006/main">
          <x14:cfRule type="iconSet" priority="22" id="{4B42B3FF-EEE9-4C06-8614-64F4D3ADEDE3}">
            <x14:iconSet iconSet="3Symbols" custom="1">
              <x14:cfvo type="percent">
                <xm:f>0</xm:f>
              </x14:cfvo>
              <x14:cfvo type="num">
                <xm:f>0</xm:f>
              </x14:cfvo>
              <x14:cfvo type="num">
                <xm:f>10</xm:f>
              </x14:cfvo>
              <x14:cfIcon iconSet="3Symbols" iconId="0"/>
              <x14:cfIcon iconSet="3Symbols" iconId="1"/>
              <x14:cfIcon iconSet="3Symbols" iconId="2"/>
            </x14:iconSet>
          </x14:cfRule>
          <xm:sqref>F12:F15</xm:sqref>
        </x14:conditionalFormatting>
        <x14:conditionalFormatting xmlns:xm="http://schemas.microsoft.com/office/excel/2006/main">
          <x14:cfRule type="iconSet" priority="31" id="{D33FF984-543A-4AC5-AB1D-E961C9B551E2}">
            <x14:iconSet iconSet="3Symbols" custom="1">
              <x14:cfvo type="percent">
                <xm:f>0</xm:f>
              </x14:cfvo>
              <x14:cfvo type="num" gte="0">
                <xm:f>0</xm:f>
              </x14:cfvo>
              <x14:cfvo type="num">
                <xm:f>10</xm:f>
              </x14:cfvo>
              <x14:cfIcon iconSet="3Symbols" iconId="0"/>
              <x14:cfIcon iconSet="3Symbols" iconId="1"/>
              <x14:cfIcon iconSet="3Symbols" iconId="2"/>
            </x14:iconSet>
          </x14:cfRule>
          <xm:sqref>F16:F17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8"/>
  <sheetViews>
    <sheetView showGridLines="0" zoomScaleNormal="100" workbookViewId="0">
      <selection activeCell="C1" sqref="C1:F1"/>
    </sheetView>
  </sheetViews>
  <sheetFormatPr defaultColWidth="0" defaultRowHeight="12" x14ac:dyDescent="0.2"/>
  <cols>
    <col min="1" max="2" width="0.7109375" style="1" customWidth="1"/>
    <col min="3" max="3" width="15" style="1" bestFit="1" customWidth="1"/>
    <col min="4" max="6" width="12.85546875" style="1" customWidth="1"/>
    <col min="7" max="7" width="0.85546875" style="1" customWidth="1"/>
    <col min="8" max="8" width="0.28515625" style="1" customWidth="1"/>
    <col min="9" max="9" width="0.85546875" style="1" customWidth="1"/>
    <col min="10" max="10" width="24.42578125" style="1" bestFit="1" customWidth="1"/>
    <col min="11" max="11" width="12.140625" style="1" bestFit="1" customWidth="1"/>
    <col min="12" max="12" width="14.140625" style="1" bestFit="1" customWidth="1"/>
    <col min="13" max="13" width="8.5703125" style="1" bestFit="1" customWidth="1"/>
    <col min="14" max="14" width="9.7109375" style="1" bestFit="1" customWidth="1"/>
    <col min="15" max="15" width="8.28515625" style="1" bestFit="1" customWidth="1"/>
    <col min="16" max="16" width="0.85546875" style="1" customWidth="1"/>
    <col min="17" max="17" width="0.28515625" style="1" customWidth="1"/>
    <col min="18" max="18" width="0.85546875" style="1" customWidth="1"/>
    <col min="19" max="19" width="10.28515625" style="1" bestFit="1" customWidth="1"/>
    <col min="20" max="22" width="9.5703125" style="1" customWidth="1"/>
    <col min="23" max="23" width="0.7109375" style="1" customWidth="1"/>
    <col min="24" max="24" width="0.7109375" style="1" hidden="1" customWidth="1"/>
    <col min="25" max="25" width="12.140625" style="1" hidden="1" customWidth="1"/>
    <col min="26" max="27" width="4" style="1" hidden="1" customWidth="1"/>
    <col min="28" max="16384" width="9.140625" style="1" hidden="1"/>
  </cols>
  <sheetData>
    <row r="1" spans="2:23" ht="26.25" x14ac:dyDescent="0.4">
      <c r="C1" s="61">
        <f>DATE(YEAR(Mo.9!C1),MONTH(Mo.9!C1)+1,DAY(Mo.9!C1))</f>
        <v>41791</v>
      </c>
      <c r="D1" s="61"/>
      <c r="E1" s="61"/>
      <c r="F1" s="61"/>
      <c r="R1" s="45" t="s">
        <v>0</v>
      </c>
      <c r="S1" s="45" t="s">
        <v>1</v>
      </c>
      <c r="T1" s="45" t="s">
        <v>2</v>
      </c>
      <c r="U1" s="45" t="s">
        <v>16</v>
      </c>
      <c r="V1" s="45" t="s">
        <v>45</v>
      </c>
    </row>
    <row r="2" spans="2:23" x14ac:dyDescent="0.2">
      <c r="D2" s="18" t="s">
        <v>1</v>
      </c>
      <c r="E2" s="19" t="s">
        <v>2</v>
      </c>
      <c r="F2" s="19" t="s">
        <v>14</v>
      </c>
      <c r="R2" s="45" t="str">
        <f>Table136105[[#Headers],[Income]]</f>
        <v>Income</v>
      </c>
      <c r="S2" s="45">
        <f>SUM(Table136105[Budget])</f>
        <v>0</v>
      </c>
      <c r="T2" s="45">
        <f>SUM(Table136105[Actual])</f>
        <v>0</v>
      </c>
      <c r="U2" s="45" t="s">
        <v>19</v>
      </c>
      <c r="V2" s="45">
        <f>AVERAGE(V12:V42)</f>
        <v>1156.7400000000005</v>
      </c>
    </row>
    <row r="3" spans="2:23" x14ac:dyDescent="0.2">
      <c r="C3" s="17" t="s">
        <v>35</v>
      </c>
      <c r="D3" s="5">
        <f>Mo.9!D6</f>
        <v>1156.74</v>
      </c>
      <c r="E3" s="14">
        <f>Mo.9!E6</f>
        <v>1156.74</v>
      </c>
      <c r="F3" s="14">
        <f>E3-D3</f>
        <v>0</v>
      </c>
      <c r="R3" s="45" t="str">
        <f>Table1102[[#Headers],[Housing]]</f>
        <v>Housing</v>
      </c>
      <c r="S3" s="45">
        <f>SUM(Table1102[Budget])</f>
        <v>0</v>
      </c>
      <c r="T3" s="45">
        <f>SUM(Table1102[Actual])</f>
        <v>0</v>
      </c>
      <c r="U3" s="45" t="s">
        <v>17</v>
      </c>
      <c r="V3" s="45"/>
    </row>
    <row r="4" spans="2:23" x14ac:dyDescent="0.2">
      <c r="C4" s="17" t="s">
        <v>32</v>
      </c>
      <c r="D4" s="5">
        <f>Table136105[[#Totals],[Budget]]</f>
        <v>0</v>
      </c>
      <c r="E4" s="5">
        <f>Table136105[[#Totals],[Actual]]</f>
        <v>0</v>
      </c>
      <c r="F4" s="5">
        <f>E4-D4</f>
        <v>0</v>
      </c>
      <c r="R4" s="45" t="str">
        <f>Table13103[[#Headers],[Transportation]]</f>
        <v>Transportation</v>
      </c>
      <c r="S4" s="45">
        <f>SUM(Table13103[Budget])</f>
        <v>0</v>
      </c>
      <c r="T4" s="45">
        <f>SUM(Table13103[Actual])</f>
        <v>0</v>
      </c>
      <c r="U4" s="45" t="s">
        <v>18</v>
      </c>
      <c r="V4" s="45"/>
    </row>
    <row r="5" spans="2:23" x14ac:dyDescent="0.2">
      <c r="C5" s="17" t="s">
        <v>33</v>
      </c>
      <c r="D5" s="5">
        <f>Table1102[[#Totals],[Budget]]+Table13103[[#Totals],[Budget]]+Table13910109[[#Totals],[Budget]]+Table137106[[#Totals],[Budget]]+Table138107[[#Totals],[Budget]]+Table139108[[#Totals],[Budget]]</f>
        <v>0</v>
      </c>
      <c r="E5" s="5">
        <f>Table1102[[#Totals],[Actual]]+Table13103[[#Totals],[Actual]]+Table13910109[[#Totals],[Actual]]+Table137106[[#Totals],[Actual]]+Table138107[[#Totals],[Actual]]+Table139108[[#Totals],[Actual]]</f>
        <v>0</v>
      </c>
      <c r="F5" s="5">
        <f>E5-D5</f>
        <v>0</v>
      </c>
      <c r="R5" s="45" t="str">
        <f>Table13910109[[#Headers],[Bills]]</f>
        <v>Bills</v>
      </c>
      <c r="S5" s="45">
        <f>SUM(Table13910109[Budget])</f>
        <v>0</v>
      </c>
      <c r="T5" s="45">
        <f>SUM(Table13910109[Actual])</f>
        <v>0</v>
      </c>
      <c r="U5" s="45"/>
      <c r="V5" s="45"/>
    </row>
    <row r="6" spans="2:23" x14ac:dyDescent="0.2">
      <c r="C6" s="15" t="s">
        <v>34</v>
      </c>
      <c r="D6" s="16">
        <f>D3+D4-D5</f>
        <v>1156.74</v>
      </c>
      <c r="E6" s="16">
        <f>E3+E4-E5</f>
        <v>1156.74</v>
      </c>
      <c r="F6" s="16">
        <f>F3+F4-F5</f>
        <v>0</v>
      </c>
      <c r="R6" s="45" t="str">
        <f>Table137106[[#Headers],[Living]]</f>
        <v>Living</v>
      </c>
      <c r="S6" s="45">
        <f>SUM(Table137106[Budget])</f>
        <v>0</v>
      </c>
      <c r="T6" s="45">
        <f>SUM(Table137106[Actual])</f>
        <v>0</v>
      </c>
      <c r="U6" s="45"/>
      <c r="V6" s="45"/>
    </row>
    <row r="7" spans="2:23" ht="3.75" customHeight="1" x14ac:dyDescent="0.2">
      <c r="D7" s="2"/>
      <c r="R7" s="45" t="str">
        <f>Table138107[[#Headers],[Entertainment]]</f>
        <v>Entertainment</v>
      </c>
      <c r="S7" s="45">
        <f>SUM(Table138107[Budget])</f>
        <v>0</v>
      </c>
      <c r="T7" s="45">
        <f>SUM(Table138107[Actual])</f>
        <v>0</v>
      </c>
      <c r="U7" s="45"/>
      <c r="V7" s="45"/>
    </row>
    <row r="8" spans="2:23" ht="1.5" customHeight="1" x14ac:dyDescent="0.2">
      <c r="C8" s="42"/>
      <c r="D8" s="43"/>
      <c r="E8" s="42"/>
      <c r="F8" s="42"/>
      <c r="G8" s="42"/>
      <c r="H8" s="42"/>
      <c r="I8" s="42"/>
      <c r="J8" s="42"/>
      <c r="K8" s="42"/>
      <c r="L8" s="42"/>
      <c r="M8" s="42"/>
      <c r="N8" s="42"/>
      <c r="O8" s="42"/>
      <c r="P8" s="42"/>
      <c r="Q8" s="42"/>
      <c r="R8" s="44" t="str">
        <f>Table139108[[#Headers],[Misc.]]</f>
        <v>Misc.</v>
      </c>
      <c r="S8" s="44">
        <f>SUM(Table139108[Budget])</f>
        <v>0</v>
      </c>
      <c r="T8" s="44">
        <f>SUM(Table139108[Actual])</f>
        <v>0</v>
      </c>
      <c r="U8" s="44"/>
      <c r="V8" s="44"/>
    </row>
    <row r="9" spans="2:23" ht="3.75" customHeight="1" x14ac:dyDescent="0.2">
      <c r="D9" s="2"/>
      <c r="H9" s="42"/>
      <c r="Q9" s="42"/>
    </row>
    <row r="10" spans="2:23" s="25" customFormat="1" x14ac:dyDescent="0.2">
      <c r="B10" s="35"/>
      <c r="C10" s="37" t="str">
        <f>CONCATENATE(Table136105[[#Headers],[Income]]," - Budget &amp; Tracking")</f>
        <v>Income - Budget &amp; Tracking</v>
      </c>
      <c r="D10" s="38"/>
      <c r="E10" s="38"/>
      <c r="F10" s="39"/>
      <c r="G10" s="35"/>
      <c r="H10" s="41"/>
      <c r="J10" s="37" t="s">
        <v>42</v>
      </c>
      <c r="K10" s="38"/>
      <c r="L10" s="38"/>
      <c r="M10" s="38"/>
      <c r="N10" s="38"/>
      <c r="O10" s="39"/>
      <c r="Q10" s="41"/>
      <c r="S10" s="37" t="s">
        <v>40</v>
      </c>
      <c r="T10" s="38"/>
      <c r="U10" s="38"/>
      <c r="V10" s="39"/>
    </row>
    <row r="11" spans="2:23" ht="12.75" thickBot="1" x14ac:dyDescent="0.25">
      <c r="B11" s="32"/>
      <c r="C11" s="31" t="s">
        <v>15</v>
      </c>
      <c r="D11" s="31" t="s">
        <v>1</v>
      </c>
      <c r="E11" s="31" t="s">
        <v>2</v>
      </c>
      <c r="F11" s="31" t="s">
        <v>14</v>
      </c>
      <c r="G11" s="32"/>
      <c r="H11" s="42"/>
      <c r="J11" s="31" t="s">
        <v>9</v>
      </c>
      <c r="K11" s="31" t="s">
        <v>0</v>
      </c>
      <c r="L11" s="31" t="s">
        <v>13</v>
      </c>
      <c r="M11" s="31" t="s">
        <v>10</v>
      </c>
      <c r="N11" s="31" t="s">
        <v>11</v>
      </c>
      <c r="O11" s="31" t="s">
        <v>16</v>
      </c>
      <c r="Q11" s="42"/>
      <c r="S11" s="40" t="s">
        <v>10</v>
      </c>
      <c r="T11" s="40" t="s">
        <v>22</v>
      </c>
      <c r="U11" s="40" t="s">
        <v>21</v>
      </c>
      <c r="V11" s="40" t="s">
        <v>23</v>
      </c>
    </row>
    <row r="12" spans="2:23" x14ac:dyDescent="0.2">
      <c r="B12" s="32"/>
      <c r="D12" s="2"/>
      <c r="E12" s="2">
        <f>SUMIFS(Table4420111[Amount],Table4420111[Category],Table136105[[#Headers],[Income]],Table4420111[Sub-Category],Table136105[[#This Row],[Income]])+SUMIFS(Table44110[Amount],Table44110[Category],Table136105[[#Headers],[Income]],Table44110[Sub-Category],Table136105[[#This Row],[Income]])</f>
        <v>0</v>
      </c>
      <c r="F12" s="3">
        <f>Table136105[[#This Row],[Actual]]-Table136105[[#This Row],[Budget]]</f>
        <v>0</v>
      </c>
      <c r="G12" s="32"/>
      <c r="H12" s="42"/>
      <c r="M12" s="4"/>
      <c r="N12" s="2"/>
      <c r="Q12" s="42"/>
      <c r="S12" s="27">
        <f>C1</f>
        <v>41791</v>
      </c>
      <c r="T12" s="29">
        <f>SUMIFS(Table4420111[Amount],Table4420111[Date],S12,Table4420111[Category],Table136105[[#Headers],[Income]])+SUMIFS(Table44110[Amount],Table44110[Date],S12,Table44110[Category],Table136105[[#Headers],[Income]])</f>
        <v>0</v>
      </c>
      <c r="U12" s="29">
        <f>SUMIFS(Table4104[Amount],Table4104[Date],S12,Table4104[Category],"&lt;&gt;"&amp;Table136105[[#Headers],[Income]])+SUMIFS(Table44110[Amount],Table44110[Date],S12,Table44110[Category],"&lt;&gt;"&amp;Table136105[[#Headers],[Income]])</f>
        <v>0</v>
      </c>
      <c r="V12" s="29">
        <f>E3+T12-U12</f>
        <v>1156.74</v>
      </c>
      <c r="W12" s="1">
        <f>V2</f>
        <v>1156.7400000000005</v>
      </c>
    </row>
    <row r="13" spans="2:23" x14ac:dyDescent="0.2">
      <c r="B13" s="32"/>
      <c r="D13" s="2"/>
      <c r="E13" s="2">
        <f>SUMIFS(Table4420111[Amount],Table4420111[Category],Table136105[[#Headers],[Income]],Table4420111[Sub-Category],Table136105[[#This Row],[Income]])+SUMIFS(Table44110[Amount],Table44110[Category],Table136105[[#Headers],[Income]],Table44110[Sub-Category],Table136105[[#This Row],[Income]])</f>
        <v>0</v>
      </c>
      <c r="F13" s="3">
        <f>Table136105[[#This Row],[Actual]]-Table136105[[#This Row],[Budget]]</f>
        <v>0</v>
      </c>
      <c r="G13" s="32"/>
      <c r="H13" s="42"/>
      <c r="M13" s="4"/>
      <c r="N13" s="2"/>
      <c r="Q13" s="42"/>
      <c r="S13" s="30">
        <f t="shared" ref="S13:S42" si="0">S12+1</f>
        <v>41792</v>
      </c>
      <c r="T13" s="28">
        <f>SUMIFS(Table4420111[Amount],Table4420111[Date],S13,Table4420111[Category],Table136105[[#Headers],[Income]])+SUMIFS(Table44110[Amount],Table44110[Date],S13,Table44110[Category],Table136105[[#Headers],[Income]])</f>
        <v>0</v>
      </c>
      <c r="U13" s="28">
        <f>SUMIFS(Table4104[Amount],Table4104[Date],S13,Table4104[Category],"&lt;&gt;"&amp;Table136105[[#Headers],[Income]])+SUMIFS(Table44110[Amount],Table44110[Date],S13,Table44110[Category],"&lt;&gt;"&amp;Table136105[[#Headers],[Income]])</f>
        <v>0</v>
      </c>
      <c r="V13" s="28">
        <f>V12+T13-U13</f>
        <v>1156.74</v>
      </c>
      <c r="W13" s="1">
        <f>W12</f>
        <v>1156.7400000000005</v>
      </c>
    </row>
    <row r="14" spans="2:23" x14ac:dyDescent="0.2">
      <c r="B14" s="32"/>
      <c r="D14" s="12"/>
      <c r="E14" s="12">
        <f>SUMIFS(Table4420111[Amount],Table4420111[Category],Table136105[[#Headers],[Income]],Table4420111[Sub-Category],Table136105[[#This Row],[Income]])+SUMIFS(Table44110[Amount],Table44110[Category],Table136105[[#Headers],[Income]],Table44110[Sub-Category],Table136105[[#This Row],[Income]])</f>
        <v>0</v>
      </c>
      <c r="F14" s="2">
        <f>Table136105[[#This Row],[Actual]]-Table136105[[#This Row],[Budget]]</f>
        <v>0</v>
      </c>
      <c r="G14" s="32"/>
      <c r="H14" s="42"/>
      <c r="M14" s="4"/>
      <c r="N14" s="2"/>
      <c r="Q14" s="42"/>
      <c r="S14" s="27">
        <f t="shared" si="0"/>
        <v>41793</v>
      </c>
      <c r="T14" s="29">
        <f>SUMIFS(Table4420111[Amount],Table4420111[Date],S14,Table4420111[Category],Table136105[[#Headers],[Income]])+SUMIFS(Table44110[Amount],Table44110[Date],S14,Table44110[Category],Table136105[[#Headers],[Income]])</f>
        <v>0</v>
      </c>
      <c r="U14" s="29">
        <f>SUMIFS(Table4104[Amount],Table4104[Date],S14,Table4104[Category],"&lt;&gt;"&amp;Table136105[[#Headers],[Income]])+SUMIFS(Table44110[Amount],Table44110[Date],S14,Table44110[Category],"&lt;&gt;"&amp;Table136105[[#Headers],[Income]])</f>
        <v>0</v>
      </c>
      <c r="V14" s="29">
        <f t="shared" ref="V14:V42" si="1">V13+T14-U14</f>
        <v>1156.74</v>
      </c>
      <c r="W14" s="1">
        <f t="shared" ref="W14:W42" si="2">W13</f>
        <v>1156.7400000000005</v>
      </c>
    </row>
    <row r="15" spans="2:23" x14ac:dyDescent="0.2">
      <c r="B15" s="32"/>
      <c r="D15" s="2"/>
      <c r="E15" s="3">
        <f>SUMIFS(Table4420111[Amount],Table4420111[Category],Table136105[[#Headers],[Income]],Table4420111[Sub-Category],Table136105[[#This Row],[Income]])+SUMIFS(Table44110[Amount],Table44110[Category],Table136105[[#Headers],[Income]],Table44110[Sub-Category],Table136105[[#This Row],[Income]])</f>
        <v>0</v>
      </c>
      <c r="F15" s="3">
        <f>Table136105[[#This Row],[Actual]]-Table136105[[#This Row],[Budget]]</f>
        <v>0</v>
      </c>
      <c r="G15" s="32"/>
      <c r="H15" s="42"/>
      <c r="J15" s="11"/>
      <c r="K15" s="11"/>
      <c r="L15" s="11"/>
      <c r="M15" s="24"/>
      <c r="N15" s="12"/>
      <c r="O15" s="11"/>
      <c r="Q15" s="42"/>
      <c r="S15" s="30">
        <f t="shared" si="0"/>
        <v>41794</v>
      </c>
      <c r="T15" s="28">
        <f>SUMIFS(Table4420111[Amount],Table4420111[Date],S15,Table4420111[Category],Table136105[[#Headers],[Income]])+SUMIFS(Table44110[Amount],Table44110[Date],S15,Table44110[Category],Table136105[[#Headers],[Income]])</f>
        <v>0</v>
      </c>
      <c r="U15" s="28">
        <f>SUMIFS(Table4104[Amount],Table4104[Date],S15,Table4104[Category],"&lt;&gt;"&amp;Table136105[[#Headers],[Income]])+SUMIFS(Table44110[Amount],Table44110[Date],S15,Table44110[Category],"&lt;&gt;"&amp;Table136105[[#Headers],[Income]])</f>
        <v>0</v>
      </c>
      <c r="V15" s="28">
        <f t="shared" si="1"/>
        <v>1156.74</v>
      </c>
      <c r="W15" s="1">
        <f t="shared" si="2"/>
        <v>1156.7400000000005</v>
      </c>
    </row>
    <row r="16" spans="2:23" x14ac:dyDescent="0.2">
      <c r="B16" s="32"/>
      <c r="C16" s="6" t="s">
        <v>20</v>
      </c>
      <c r="D16" s="7">
        <f>SUBTOTAL(109,Table136105[Budget])</f>
        <v>0</v>
      </c>
      <c r="E16" s="7">
        <f>SUBTOTAL(109,Table136105[Actual])</f>
        <v>0</v>
      </c>
      <c r="F16" s="7">
        <f>SUBTOTAL(109,Table136105[Variance])</f>
        <v>0</v>
      </c>
      <c r="G16" s="36"/>
      <c r="H16" s="43"/>
      <c r="I16" s="2"/>
      <c r="M16" s="4"/>
      <c r="N16" s="2"/>
      <c r="Q16" s="43"/>
      <c r="S16" s="27">
        <f t="shared" si="0"/>
        <v>41795</v>
      </c>
      <c r="T16" s="29">
        <f>SUMIFS(Table4420111[Amount],Table4420111[Date],S16,Table4420111[Category],Table136105[[#Headers],[Income]])+SUMIFS(Table44110[Amount],Table44110[Date],S16,Table44110[Category],Table136105[[#Headers],[Income]])</f>
        <v>0</v>
      </c>
      <c r="U16" s="29">
        <f>SUMIFS(Table4104[Amount],Table4104[Date],S16,Table4104[Category],"&lt;&gt;"&amp;Table136105[[#Headers],[Income]])+SUMIFS(Table44110[Amount],Table44110[Date],S16,Table44110[Category],"&lt;&gt;"&amp;Table136105[[#Headers],[Income]])</f>
        <v>0</v>
      </c>
      <c r="V16" s="29">
        <f t="shared" si="1"/>
        <v>1156.74</v>
      </c>
      <c r="W16" s="1">
        <f t="shared" si="2"/>
        <v>1156.7400000000005</v>
      </c>
    </row>
    <row r="17" spans="2:23" x14ac:dyDescent="0.2">
      <c r="B17" s="32"/>
      <c r="C17" s="20"/>
      <c r="D17" s="21"/>
      <c r="E17" s="21"/>
      <c r="F17" s="21"/>
      <c r="G17" s="36"/>
      <c r="H17" s="43"/>
      <c r="I17" s="2"/>
      <c r="J17" s="37" t="s">
        <v>43</v>
      </c>
      <c r="K17" s="38"/>
      <c r="L17" s="38"/>
      <c r="M17" s="38"/>
      <c r="N17" s="38"/>
      <c r="O17" s="39"/>
      <c r="Q17" s="43"/>
      <c r="S17" s="30">
        <f t="shared" si="0"/>
        <v>41796</v>
      </c>
      <c r="T17" s="28">
        <f>SUMIFS(Table4420111[Amount],Table4420111[Date],S17,Table4420111[Category],Table136105[[#Headers],[Income]])+SUMIFS(Table44110[Amount],Table44110[Date],S17,Table44110[Category],Table136105[[#Headers],[Income]])</f>
        <v>0</v>
      </c>
      <c r="U17" s="28">
        <f>SUMIFS(Table4104[Amount],Table4104[Date],S17,Table4104[Category],"&lt;&gt;"&amp;Table136105[[#Headers],[Income]])+SUMIFS(Table44110[Amount],Table44110[Date],S17,Table44110[Category],"&lt;&gt;"&amp;Table136105[[#Headers],[Income]])</f>
        <v>0</v>
      </c>
      <c r="V17" s="28">
        <f t="shared" si="1"/>
        <v>1156.74</v>
      </c>
      <c r="W17" s="1">
        <f t="shared" si="2"/>
        <v>1156.7400000000005</v>
      </c>
    </row>
    <row r="18" spans="2:23" x14ac:dyDescent="0.2">
      <c r="B18" s="32"/>
      <c r="C18" s="37" t="str">
        <f>CONCATENATE(Table1102[[#Headers],[Housing]]," - Budget &amp; Tracking")</f>
        <v>Housing - Budget &amp; Tracking</v>
      </c>
      <c r="D18" s="38"/>
      <c r="E18" s="38"/>
      <c r="F18" s="39"/>
      <c r="G18" s="36"/>
      <c r="H18" s="43"/>
      <c r="I18" s="2"/>
      <c r="J18" s="31" t="s">
        <v>9</v>
      </c>
      <c r="K18" s="31" t="s">
        <v>0</v>
      </c>
      <c r="L18" s="31" t="s">
        <v>13</v>
      </c>
      <c r="M18" s="31" t="s">
        <v>10</v>
      </c>
      <c r="N18" s="31" t="s">
        <v>11</v>
      </c>
      <c r="O18" s="31" t="s">
        <v>16</v>
      </c>
      <c r="Q18" s="43"/>
      <c r="S18" s="27">
        <f t="shared" si="0"/>
        <v>41797</v>
      </c>
      <c r="T18" s="29">
        <f>SUMIFS(Table4420111[Amount],Table4420111[Date],S18,Table4420111[Category],Table136105[[#Headers],[Income]])+SUMIFS(Table44110[Amount],Table44110[Date],S18,Table44110[Category],Table136105[[#Headers],[Income]])</f>
        <v>0</v>
      </c>
      <c r="U18" s="29">
        <f>SUMIFS(Table4104[Amount],Table4104[Date],S18,Table4104[Category],"&lt;&gt;"&amp;Table136105[[#Headers],[Income]])+SUMIFS(Table44110[Amount],Table44110[Date],S18,Table44110[Category],"&lt;&gt;"&amp;Table136105[[#Headers],[Income]])</f>
        <v>0</v>
      </c>
      <c r="V18" s="29">
        <f t="shared" si="1"/>
        <v>1156.74</v>
      </c>
      <c r="W18" s="1">
        <f t="shared" si="2"/>
        <v>1156.7400000000005</v>
      </c>
    </row>
    <row r="19" spans="2:23" x14ac:dyDescent="0.2">
      <c r="B19" s="32"/>
      <c r="C19" s="31" t="s">
        <v>8</v>
      </c>
      <c r="D19" s="31" t="s">
        <v>1</v>
      </c>
      <c r="E19" s="31" t="s">
        <v>2</v>
      </c>
      <c r="F19" s="31" t="s">
        <v>14</v>
      </c>
      <c r="G19" s="36"/>
      <c r="H19" s="43"/>
      <c r="I19" s="2"/>
      <c r="M19" s="4"/>
      <c r="N19" s="2"/>
      <c r="Q19" s="43"/>
      <c r="S19" s="30">
        <f t="shared" si="0"/>
        <v>41798</v>
      </c>
      <c r="T19" s="28">
        <f>SUMIFS(Table4420111[Amount],Table4420111[Date],S19,Table4420111[Category],Table136105[[#Headers],[Income]])+SUMIFS(Table44110[Amount],Table44110[Date],S19,Table44110[Category],Table136105[[#Headers],[Income]])</f>
        <v>0</v>
      </c>
      <c r="U19" s="28">
        <f>SUMIFS(Table4104[Amount],Table4104[Date],S19,Table4104[Category],"&lt;&gt;"&amp;Table136105[[#Headers],[Income]])+SUMIFS(Table44110[Amount],Table44110[Date],S19,Table44110[Category],"&lt;&gt;"&amp;Table136105[[#Headers],[Income]])</f>
        <v>0</v>
      </c>
      <c r="V19" s="28">
        <f t="shared" si="1"/>
        <v>1156.74</v>
      </c>
      <c r="W19" s="1">
        <f t="shared" si="2"/>
        <v>1156.7400000000005</v>
      </c>
    </row>
    <row r="20" spans="2:23" x14ac:dyDescent="0.2">
      <c r="B20" s="32"/>
      <c r="D20" s="2"/>
      <c r="E20" s="2">
        <f>SUMIFS(Table4104[Amount],Table4104[Category],Table1102[[#Headers],[Housing]],Table4104[Sub-Category],Table1102[[#This Row],[Housing]])+SUMIFS(Table44110[Amount],Table44110[Category],Table1102[[#Headers],[Housing]],Table44110[Sub-Category],Table1102[[#This Row],[Housing]])</f>
        <v>0</v>
      </c>
      <c r="F20" s="3">
        <f>Table1102[[#This Row],[Budget]]-Table1102[[#This Row],[Actual]]</f>
        <v>0</v>
      </c>
      <c r="G20" s="36"/>
      <c r="H20" s="43"/>
      <c r="I20" s="2"/>
      <c r="J20" s="11"/>
      <c r="K20" s="11"/>
      <c r="L20" s="11"/>
      <c r="M20" s="24"/>
      <c r="N20" s="12"/>
      <c r="O20" s="11"/>
      <c r="Q20" s="43"/>
      <c r="S20" s="27">
        <f t="shared" si="0"/>
        <v>41799</v>
      </c>
      <c r="T20" s="29">
        <f>SUMIFS(Table4420111[Amount],Table4420111[Date],S20,Table4420111[Category],Table136105[[#Headers],[Income]])+SUMIFS(Table44110[Amount],Table44110[Date],S20,Table44110[Category],Table136105[[#Headers],[Income]])</f>
        <v>0</v>
      </c>
      <c r="U20" s="29">
        <f>SUMIFS(Table4104[Amount],Table4104[Date],S20,Table4104[Category],"&lt;&gt;"&amp;Table136105[[#Headers],[Income]])+SUMIFS(Table44110[Amount],Table44110[Date],S20,Table44110[Category],"&lt;&gt;"&amp;Table136105[[#Headers],[Income]])</f>
        <v>0</v>
      </c>
      <c r="V20" s="29">
        <f t="shared" si="1"/>
        <v>1156.74</v>
      </c>
      <c r="W20" s="1">
        <f t="shared" si="2"/>
        <v>1156.7400000000005</v>
      </c>
    </row>
    <row r="21" spans="2:23" x14ac:dyDescent="0.2">
      <c r="B21" s="32"/>
      <c r="D21" s="2"/>
      <c r="E21" s="2">
        <f>SUMIFS(Table4104[Amount],Table4104[Category],Table1102[[#Headers],[Housing]],Table4104[Sub-Category],Table1102[[#This Row],[Housing]])+SUMIFS(Table44110[Amount],Table44110[Category],Table1102[[#Headers],[Housing]],Table44110[Sub-Category],Table1102[[#This Row],[Housing]])</f>
        <v>0</v>
      </c>
      <c r="F21" s="3">
        <f>Table1102[[#This Row],[Budget]]-Table1102[[#This Row],[Actual]]</f>
        <v>0</v>
      </c>
      <c r="G21" s="36"/>
      <c r="H21" s="43"/>
      <c r="I21" s="2"/>
      <c r="J21" s="11"/>
      <c r="K21" s="11"/>
      <c r="L21" s="11"/>
      <c r="M21" s="24"/>
      <c r="N21" s="12"/>
      <c r="O21" s="11"/>
      <c r="Q21" s="43"/>
      <c r="S21" s="30">
        <f t="shared" si="0"/>
        <v>41800</v>
      </c>
      <c r="T21" s="28">
        <f>SUMIFS(Table4420111[Amount],Table4420111[Date],S21,Table4420111[Category],Table136105[[#Headers],[Income]])+SUMIFS(Table44110[Amount],Table44110[Date],S21,Table44110[Category],Table136105[[#Headers],[Income]])</f>
        <v>0</v>
      </c>
      <c r="U21" s="28">
        <f>SUMIFS(Table4104[Amount],Table4104[Date],S21,Table4104[Category],"&lt;&gt;"&amp;Table136105[[#Headers],[Income]])+SUMIFS(Table44110[Amount],Table44110[Date],S21,Table44110[Category],"&lt;&gt;"&amp;Table136105[[#Headers],[Income]])</f>
        <v>0</v>
      </c>
      <c r="V21" s="28">
        <f t="shared" si="1"/>
        <v>1156.74</v>
      </c>
      <c r="W21" s="1">
        <f t="shared" si="2"/>
        <v>1156.7400000000005</v>
      </c>
    </row>
    <row r="22" spans="2:23" x14ac:dyDescent="0.2">
      <c r="B22" s="32"/>
      <c r="D22" s="2"/>
      <c r="E22" s="2">
        <f>SUMIFS(Table4104[Amount],Table4104[Category],Table1102[[#Headers],[Housing]],Table4104[Sub-Category],Table1102[[#This Row],[Housing]])+SUMIFS(Table44110[Amount],Table44110[Category],Table1102[[#Headers],[Housing]],Table44110[Sub-Category],Table1102[[#This Row],[Housing]])</f>
        <v>0</v>
      </c>
      <c r="F22" s="3">
        <f>Table1102[[#This Row],[Budget]]-Table1102[[#This Row],[Actual]]</f>
        <v>0</v>
      </c>
      <c r="G22" s="36"/>
      <c r="H22" s="43"/>
      <c r="I22" s="2"/>
      <c r="J22" s="11"/>
      <c r="K22" s="11"/>
      <c r="L22" s="11"/>
      <c r="M22" s="24"/>
      <c r="N22" s="12"/>
      <c r="O22" s="11"/>
      <c r="Q22" s="43"/>
      <c r="S22" s="27">
        <f t="shared" si="0"/>
        <v>41801</v>
      </c>
      <c r="T22" s="29">
        <f>SUMIFS(Table4420111[Amount],Table4420111[Date],S22,Table4420111[Category],Table136105[[#Headers],[Income]])+SUMIFS(Table44110[Amount],Table44110[Date],S22,Table44110[Category],Table136105[[#Headers],[Income]])</f>
        <v>0</v>
      </c>
      <c r="U22" s="29">
        <f>SUMIFS(Table4104[Amount],Table4104[Date],S22,Table4104[Category],"&lt;&gt;"&amp;Table136105[[#Headers],[Income]])+SUMIFS(Table44110[Amount],Table44110[Date],S22,Table44110[Category],"&lt;&gt;"&amp;Table136105[[#Headers],[Income]])</f>
        <v>0</v>
      </c>
      <c r="V22" s="29">
        <f t="shared" si="1"/>
        <v>1156.74</v>
      </c>
      <c r="W22" s="1">
        <f t="shared" si="2"/>
        <v>1156.7400000000005</v>
      </c>
    </row>
    <row r="23" spans="2:23" x14ac:dyDescent="0.2">
      <c r="B23" s="32"/>
      <c r="D23" s="2"/>
      <c r="E23" s="2">
        <f>SUMIFS(Table4104[Amount],Table4104[Category],Table1102[[#Headers],[Housing]],Table4104[Sub-Category],Table1102[[#This Row],[Housing]])+SUMIFS(Table44110[Amount],Table44110[Category],Table1102[[#Headers],[Housing]],Table44110[Sub-Category],Table1102[[#This Row],[Housing]])</f>
        <v>0</v>
      </c>
      <c r="F23" s="3">
        <f>Table1102[[#This Row],[Budget]]-Table1102[[#This Row],[Actual]]</f>
        <v>0</v>
      </c>
      <c r="G23" s="36"/>
      <c r="H23" s="43"/>
      <c r="I23" s="2"/>
      <c r="J23" s="11"/>
      <c r="K23" s="11"/>
      <c r="L23" s="11"/>
      <c r="M23" s="24"/>
      <c r="N23" s="12"/>
      <c r="O23" s="11"/>
      <c r="Q23" s="43"/>
      <c r="S23" s="30">
        <f t="shared" si="0"/>
        <v>41802</v>
      </c>
      <c r="T23" s="28">
        <f>SUMIFS(Table4420111[Amount],Table4420111[Date],S23,Table4420111[Category],Table136105[[#Headers],[Income]])+SUMIFS(Table44110[Amount],Table44110[Date],S23,Table44110[Category],Table136105[[#Headers],[Income]])</f>
        <v>0</v>
      </c>
      <c r="U23" s="28">
        <f>SUMIFS(Table4104[Amount],Table4104[Date],S23,Table4104[Category],"&lt;&gt;"&amp;Table136105[[#Headers],[Income]])+SUMIFS(Table44110[Amount],Table44110[Date],S23,Table44110[Category],"&lt;&gt;"&amp;Table136105[[#Headers],[Income]])</f>
        <v>0</v>
      </c>
      <c r="V23" s="28">
        <f t="shared" si="1"/>
        <v>1156.74</v>
      </c>
      <c r="W23" s="1">
        <f t="shared" si="2"/>
        <v>1156.7400000000005</v>
      </c>
    </row>
    <row r="24" spans="2:23" x14ac:dyDescent="0.2">
      <c r="B24" s="32"/>
      <c r="D24" s="2"/>
      <c r="E24" s="2">
        <f>SUMIFS(Table4104[Amount],Table4104[Category],Table1102[[#Headers],[Housing]],Table4104[Sub-Category],Table1102[[#This Row],[Housing]])+SUMIFS(Table44110[Amount],Table44110[Category],Table1102[[#Headers],[Housing]],Table44110[Sub-Category],Table1102[[#This Row],[Housing]])</f>
        <v>0</v>
      </c>
      <c r="F24" s="3">
        <f>Table1102[[#This Row],[Budget]]-Table1102[[#This Row],[Actual]]</f>
        <v>0</v>
      </c>
      <c r="G24" s="36"/>
      <c r="H24" s="43"/>
      <c r="I24" s="2"/>
      <c r="J24" s="11"/>
      <c r="K24" s="11"/>
      <c r="L24" s="11"/>
      <c r="M24" s="24"/>
      <c r="N24" s="12"/>
      <c r="O24" s="11"/>
      <c r="Q24" s="43"/>
      <c r="S24" s="27">
        <f t="shared" si="0"/>
        <v>41803</v>
      </c>
      <c r="T24" s="29">
        <f>SUMIFS(Table4420111[Amount],Table4420111[Date],S24,Table4420111[Category],Table136105[[#Headers],[Income]])+SUMIFS(Table44110[Amount],Table44110[Date],S24,Table44110[Category],Table136105[[#Headers],[Income]])</f>
        <v>0</v>
      </c>
      <c r="U24" s="29">
        <f>SUMIFS(Table4104[Amount],Table4104[Date],S24,Table4104[Category],"&lt;&gt;"&amp;Table136105[[#Headers],[Income]])+SUMIFS(Table44110[Amount],Table44110[Date],S24,Table44110[Category],"&lt;&gt;"&amp;Table136105[[#Headers],[Income]])</f>
        <v>0</v>
      </c>
      <c r="V24" s="29">
        <f t="shared" si="1"/>
        <v>1156.74</v>
      </c>
      <c r="W24" s="1">
        <f t="shared" si="2"/>
        <v>1156.7400000000005</v>
      </c>
    </row>
    <row r="25" spans="2:23" x14ac:dyDescent="0.2">
      <c r="B25" s="32"/>
      <c r="D25" s="2"/>
      <c r="E25" s="2">
        <f>SUMIFS(Table4104[Amount],Table4104[Category],Table1102[[#Headers],[Housing]],Table4104[Sub-Category],Table1102[[#This Row],[Housing]])+SUMIFS(Table44110[Amount],Table44110[Category],Table1102[[#Headers],[Housing]],Table44110[Sub-Category],Table1102[[#This Row],[Housing]])</f>
        <v>0</v>
      </c>
      <c r="F25" s="3">
        <f>Table1102[[#This Row],[Budget]]-Table1102[[#This Row],[Actual]]</f>
        <v>0</v>
      </c>
      <c r="G25" s="32"/>
      <c r="H25" s="42"/>
      <c r="J25" s="11"/>
      <c r="K25" s="11"/>
      <c r="L25" s="11"/>
      <c r="M25" s="24"/>
      <c r="N25" s="12"/>
      <c r="O25" s="11"/>
      <c r="Q25" s="42"/>
      <c r="S25" s="30">
        <f t="shared" si="0"/>
        <v>41804</v>
      </c>
      <c r="T25" s="28">
        <f>SUMIFS(Table4420111[Amount],Table4420111[Date],S25,Table4420111[Category],Table136105[[#Headers],[Income]])+SUMIFS(Table44110[Amount],Table44110[Date],S25,Table44110[Category],Table136105[[#Headers],[Income]])</f>
        <v>0</v>
      </c>
      <c r="U25" s="28">
        <f>SUMIFS(Table4104[Amount],Table4104[Date],S25,Table4104[Category],"&lt;&gt;"&amp;Table136105[[#Headers],[Income]])+SUMIFS(Table44110[Amount],Table44110[Date],S25,Table44110[Category],"&lt;&gt;"&amp;Table136105[[#Headers],[Income]])</f>
        <v>0</v>
      </c>
      <c r="V25" s="28">
        <f t="shared" si="1"/>
        <v>1156.74</v>
      </c>
      <c r="W25" s="1">
        <f t="shared" si="2"/>
        <v>1156.7400000000005</v>
      </c>
    </row>
    <row r="26" spans="2:23" x14ac:dyDescent="0.2">
      <c r="B26" s="32"/>
      <c r="D26" s="2"/>
      <c r="E26" s="2">
        <f>SUMIFS(Table4104[Amount],Table4104[Category],Table1102[[#Headers],[Housing]],Table4104[Sub-Category],Table1102[[#This Row],[Housing]])+SUMIFS(Table44110[Amount],Table44110[Category],Table1102[[#Headers],[Housing]],Table44110[Sub-Category],Table1102[[#This Row],[Housing]])</f>
        <v>0</v>
      </c>
      <c r="F26" s="3">
        <f>Table1102[[#This Row],[Budget]]-Table1102[[#This Row],[Actual]]</f>
        <v>0</v>
      </c>
      <c r="G26" s="32"/>
      <c r="H26" s="42"/>
      <c r="J26" s="11"/>
      <c r="K26" s="11"/>
      <c r="L26" s="11"/>
      <c r="M26" s="24"/>
      <c r="N26" s="12"/>
      <c r="O26" s="11"/>
      <c r="Q26" s="42"/>
      <c r="S26" s="27">
        <f t="shared" si="0"/>
        <v>41805</v>
      </c>
      <c r="T26" s="29">
        <f>SUMIFS(Table4420111[Amount],Table4420111[Date],S26,Table4420111[Category],Table136105[[#Headers],[Income]])+SUMIFS(Table44110[Amount],Table44110[Date],S26,Table44110[Category],Table136105[[#Headers],[Income]])</f>
        <v>0</v>
      </c>
      <c r="U26" s="29">
        <f>SUMIFS(Table4104[Amount],Table4104[Date],S26,Table4104[Category],"&lt;&gt;"&amp;Table136105[[#Headers],[Income]])+SUMIFS(Table44110[Amount],Table44110[Date],S26,Table44110[Category],"&lt;&gt;"&amp;Table136105[[#Headers],[Income]])</f>
        <v>0</v>
      </c>
      <c r="V26" s="29">
        <f t="shared" si="1"/>
        <v>1156.74</v>
      </c>
      <c r="W26" s="1">
        <f t="shared" si="2"/>
        <v>1156.7400000000005</v>
      </c>
    </row>
    <row r="27" spans="2:23" x14ac:dyDescent="0.2">
      <c r="B27" s="32"/>
      <c r="D27" s="2"/>
      <c r="E27" s="2">
        <f>SUMIFS(Table4104[Amount],Table4104[Category],Table1102[[#Headers],[Housing]],Table4104[Sub-Category],Table1102[[#This Row],[Housing]])+SUMIFS(Table44110[Amount],Table44110[Category],Table1102[[#Headers],[Housing]],Table44110[Sub-Category],Table1102[[#This Row],[Housing]])</f>
        <v>0</v>
      </c>
      <c r="F27" s="3">
        <f>Table1102[[#This Row],[Budget]]-Table1102[[#This Row],[Actual]]</f>
        <v>0</v>
      </c>
      <c r="G27" s="36"/>
      <c r="H27" s="43"/>
      <c r="I27" s="2"/>
      <c r="J27" s="11"/>
      <c r="K27" s="11"/>
      <c r="L27" s="11"/>
      <c r="M27" s="24"/>
      <c r="N27" s="12"/>
      <c r="O27" s="11"/>
      <c r="Q27" s="43"/>
      <c r="S27" s="30">
        <f t="shared" si="0"/>
        <v>41806</v>
      </c>
      <c r="T27" s="28">
        <f>SUMIFS(Table4420111[Amount],Table4420111[Date],S27,Table4420111[Category],Table136105[[#Headers],[Income]])+SUMIFS(Table44110[Amount],Table44110[Date],S27,Table44110[Category],Table136105[[#Headers],[Income]])</f>
        <v>0</v>
      </c>
      <c r="U27" s="28">
        <f>SUMIFS(Table4104[Amount],Table4104[Date],S27,Table4104[Category],"&lt;&gt;"&amp;Table136105[[#Headers],[Income]])+SUMIFS(Table44110[Amount],Table44110[Date],S27,Table44110[Category],"&lt;&gt;"&amp;Table136105[[#Headers],[Income]])</f>
        <v>0</v>
      </c>
      <c r="V27" s="28">
        <f t="shared" si="1"/>
        <v>1156.74</v>
      </c>
      <c r="W27" s="1">
        <f t="shared" si="2"/>
        <v>1156.7400000000005</v>
      </c>
    </row>
    <row r="28" spans="2:23" x14ac:dyDescent="0.2">
      <c r="B28" s="32"/>
      <c r="C28" s="11"/>
      <c r="D28" s="12"/>
      <c r="E28" s="13">
        <f>SUMIFS(Table4104[Amount],Table4104[Category],Table1102[[#Headers],[Housing]],Table4104[Sub-Category],Table1102[[#This Row],[Housing]])+SUMIFS(Table44110[Amount],Table44110[Category],Table1102[[#Headers],[Housing]],Table44110[Sub-Category],Table1102[[#This Row],[Housing]])</f>
        <v>0</v>
      </c>
      <c r="F28" s="13">
        <f>Table1102[[#This Row],[Budget]]-Table1102[[#This Row],[Actual]]</f>
        <v>0</v>
      </c>
      <c r="G28" s="36"/>
      <c r="H28" s="43"/>
      <c r="I28" s="2"/>
      <c r="J28" s="11"/>
      <c r="K28" s="11"/>
      <c r="L28" s="11"/>
      <c r="M28" s="24"/>
      <c r="N28" s="12"/>
      <c r="O28" s="11"/>
      <c r="Q28" s="43"/>
      <c r="S28" s="27">
        <f t="shared" si="0"/>
        <v>41807</v>
      </c>
      <c r="T28" s="29">
        <f>SUMIFS(Table4420111[Amount],Table4420111[Date],S28,Table4420111[Category],Table136105[[#Headers],[Income]])+SUMIFS(Table44110[Amount],Table44110[Date],S28,Table44110[Category],Table136105[[#Headers],[Income]])</f>
        <v>0</v>
      </c>
      <c r="U28" s="29">
        <f>SUMIFS(Table4104[Amount],Table4104[Date],S28,Table4104[Category],"&lt;&gt;"&amp;Table136105[[#Headers],[Income]])+SUMIFS(Table44110[Amount],Table44110[Date],S28,Table44110[Category],"&lt;&gt;"&amp;Table136105[[#Headers],[Income]])</f>
        <v>0</v>
      </c>
      <c r="V28" s="29">
        <f t="shared" si="1"/>
        <v>1156.74</v>
      </c>
      <c r="W28" s="1">
        <f t="shared" si="2"/>
        <v>1156.7400000000005</v>
      </c>
    </row>
    <row r="29" spans="2:23" x14ac:dyDescent="0.2">
      <c r="B29" s="32"/>
      <c r="C29" s="9" t="s">
        <v>20</v>
      </c>
      <c r="D29" s="10">
        <f>SUBTOTAL(109,Table1102[Budget])</f>
        <v>0</v>
      </c>
      <c r="E29" s="10">
        <f>SUBTOTAL(109,Table1102[Actual])</f>
        <v>0</v>
      </c>
      <c r="F29" s="10">
        <f>SUBTOTAL(109,Table1102[Variance])</f>
        <v>0</v>
      </c>
      <c r="G29" s="32"/>
      <c r="H29" s="42"/>
      <c r="J29" s="11"/>
      <c r="K29" s="11"/>
      <c r="L29" s="11"/>
      <c r="M29" s="24"/>
      <c r="N29" s="12"/>
      <c r="O29" s="11"/>
      <c r="Q29" s="42"/>
      <c r="S29" s="30">
        <f t="shared" si="0"/>
        <v>41808</v>
      </c>
      <c r="T29" s="28">
        <f>SUMIFS(Table4420111[Amount],Table4420111[Date],S29,Table4420111[Category],Table136105[[#Headers],[Income]])+SUMIFS(Table44110[Amount],Table44110[Date],S29,Table44110[Category],Table136105[[#Headers],[Income]])</f>
        <v>0</v>
      </c>
      <c r="U29" s="28">
        <f>SUMIFS(Table4104[Amount],Table4104[Date],S29,Table4104[Category],"&lt;&gt;"&amp;Table136105[[#Headers],[Income]])+SUMIFS(Table44110[Amount],Table44110[Date],S29,Table44110[Category],"&lt;&gt;"&amp;Table136105[[#Headers],[Income]])</f>
        <v>0</v>
      </c>
      <c r="V29" s="28">
        <f t="shared" si="1"/>
        <v>1156.74</v>
      </c>
      <c r="W29" s="1">
        <f t="shared" si="2"/>
        <v>1156.7400000000005</v>
      </c>
    </row>
    <row r="30" spans="2:23" x14ac:dyDescent="0.2">
      <c r="B30" s="32"/>
      <c r="C30" s="26"/>
      <c r="D30" s="23"/>
      <c r="E30" s="23"/>
      <c r="F30" s="23"/>
      <c r="G30" s="32"/>
      <c r="H30" s="42"/>
      <c r="J30" s="11"/>
      <c r="K30" s="11"/>
      <c r="L30" s="11"/>
      <c r="M30" s="24"/>
      <c r="N30" s="12"/>
      <c r="O30" s="11"/>
      <c r="Q30" s="42"/>
      <c r="S30" s="27">
        <f t="shared" si="0"/>
        <v>41809</v>
      </c>
      <c r="T30" s="29">
        <f>SUMIFS(Table4420111[Amount],Table4420111[Date],S30,Table4420111[Category],Table136105[[#Headers],[Income]])+SUMIFS(Table44110[Amount],Table44110[Date],S30,Table44110[Category],Table136105[[#Headers],[Income]])</f>
        <v>0</v>
      </c>
      <c r="U30" s="29">
        <f>SUMIFS(Table4104[Amount],Table4104[Date],S30,Table4104[Category],"&lt;&gt;"&amp;Table136105[[#Headers],[Income]])+SUMIFS(Table44110[Amount],Table44110[Date],S30,Table44110[Category],"&lt;&gt;"&amp;Table136105[[#Headers],[Income]])</f>
        <v>0</v>
      </c>
      <c r="V30" s="29">
        <f t="shared" si="1"/>
        <v>1156.74</v>
      </c>
      <c r="W30" s="1">
        <f t="shared" si="2"/>
        <v>1156.7400000000005</v>
      </c>
    </row>
    <row r="31" spans="2:23" x14ac:dyDescent="0.2">
      <c r="B31" s="32"/>
      <c r="C31" s="37" t="str">
        <f>CONCATENATE(Table13103[[#Headers],[Transportation]]," - Budget &amp; Tracking")</f>
        <v>Transportation - Budget &amp; Tracking</v>
      </c>
      <c r="D31" s="38"/>
      <c r="E31" s="38"/>
      <c r="F31" s="39"/>
      <c r="G31" s="32"/>
      <c r="H31" s="42"/>
      <c r="J31" s="11"/>
      <c r="K31" s="11"/>
      <c r="L31" s="11"/>
      <c r="M31" s="24"/>
      <c r="N31" s="12"/>
      <c r="O31" s="11"/>
      <c r="Q31" s="42"/>
      <c r="S31" s="30">
        <f t="shared" si="0"/>
        <v>41810</v>
      </c>
      <c r="T31" s="28">
        <f>SUMIFS(Table4420111[Amount],Table4420111[Date],S31,Table4420111[Category],Table136105[[#Headers],[Income]])+SUMIFS(Table44110[Amount],Table44110[Date],S31,Table44110[Category],Table136105[[#Headers],[Income]])</f>
        <v>0</v>
      </c>
      <c r="U31" s="28">
        <f>SUMIFS(Table4104[Amount],Table4104[Date],S31,Table4104[Category],"&lt;&gt;"&amp;Table136105[[#Headers],[Income]])+SUMIFS(Table44110[Amount],Table44110[Date],S31,Table44110[Category],"&lt;&gt;"&amp;Table136105[[#Headers],[Income]])</f>
        <v>0</v>
      </c>
      <c r="V31" s="28">
        <f t="shared" si="1"/>
        <v>1156.74</v>
      </c>
      <c r="W31" s="1">
        <f t="shared" si="2"/>
        <v>1156.7400000000005</v>
      </c>
    </row>
    <row r="32" spans="2:23" x14ac:dyDescent="0.2">
      <c r="B32" s="32"/>
      <c r="C32" s="31" t="s">
        <v>12</v>
      </c>
      <c r="D32" s="31" t="s">
        <v>1</v>
      </c>
      <c r="E32" s="31" t="s">
        <v>2</v>
      </c>
      <c r="F32" s="31" t="s">
        <v>14</v>
      </c>
      <c r="G32" s="32"/>
      <c r="H32" s="42"/>
      <c r="J32" s="11"/>
      <c r="K32" s="11"/>
      <c r="L32" s="11"/>
      <c r="M32" s="24"/>
      <c r="N32" s="12"/>
      <c r="O32" s="11"/>
      <c r="Q32" s="42"/>
      <c r="S32" s="27">
        <f t="shared" si="0"/>
        <v>41811</v>
      </c>
      <c r="T32" s="29">
        <f>SUMIFS(Table4420111[Amount],Table4420111[Date],S32,Table4420111[Category],Table136105[[#Headers],[Income]])+SUMIFS(Table44110[Amount],Table44110[Date],S32,Table44110[Category],Table136105[[#Headers],[Income]])</f>
        <v>0</v>
      </c>
      <c r="U32" s="29">
        <f>SUMIFS(Table4104[Amount],Table4104[Date],S32,Table4104[Category],"&lt;&gt;"&amp;Table136105[[#Headers],[Income]])+SUMIFS(Table44110[Amount],Table44110[Date],S32,Table44110[Category],"&lt;&gt;"&amp;Table136105[[#Headers],[Income]])</f>
        <v>0</v>
      </c>
      <c r="V32" s="29">
        <f t="shared" si="1"/>
        <v>1156.74</v>
      </c>
      <c r="W32" s="1">
        <f t="shared" si="2"/>
        <v>1156.7400000000005</v>
      </c>
    </row>
    <row r="33" spans="2:23" x14ac:dyDescent="0.2">
      <c r="B33" s="32"/>
      <c r="D33" s="2"/>
      <c r="E33" s="2">
        <f>SUMIFS(Table4104[Amount],Table4104[Category],Table13103[[#Headers],[Transportation]],Table4104[Sub-Category],Table13103[[#This Row],[Transportation]])+SUMIFS(Table44110[Amount],Table44110[Category],Table13103[[#Headers],[Transportation]],Table44110[Sub-Category],Table13103[[#This Row],[Transportation]])</f>
        <v>0</v>
      </c>
      <c r="F33" s="3">
        <f>Table13103[[#This Row],[Budget]]-Table13103[[#This Row],[Actual]]</f>
        <v>0</v>
      </c>
      <c r="G33" s="32"/>
      <c r="H33" s="42"/>
      <c r="J33" s="37" t="s">
        <v>44</v>
      </c>
      <c r="K33" s="38"/>
      <c r="L33" s="38"/>
      <c r="M33" s="38"/>
      <c r="N33" s="38"/>
      <c r="O33" s="39"/>
      <c r="Q33" s="42"/>
      <c r="S33" s="30">
        <f t="shared" si="0"/>
        <v>41812</v>
      </c>
      <c r="T33" s="28">
        <f>SUMIFS(Table4420111[Amount],Table4420111[Date],S33,Table4420111[Category],Table136105[[#Headers],[Income]])+SUMIFS(Table44110[Amount],Table44110[Date],S33,Table44110[Category],Table136105[[#Headers],[Income]])</f>
        <v>0</v>
      </c>
      <c r="U33" s="28">
        <f>SUMIFS(Table4104[Amount],Table4104[Date],S33,Table4104[Category],"&lt;&gt;"&amp;Table136105[[#Headers],[Income]])+SUMIFS(Table44110[Amount],Table44110[Date],S33,Table44110[Category],"&lt;&gt;"&amp;Table136105[[#Headers],[Income]])</f>
        <v>0</v>
      </c>
      <c r="V33" s="28">
        <f t="shared" si="1"/>
        <v>1156.74</v>
      </c>
      <c r="W33" s="1">
        <f t="shared" si="2"/>
        <v>1156.7400000000005</v>
      </c>
    </row>
    <row r="34" spans="2:23" x14ac:dyDescent="0.2">
      <c r="B34" s="32"/>
      <c r="D34" s="2"/>
      <c r="E34" s="2">
        <f>SUMIFS(Table4104[Amount],Table4104[Category],Table13103[[#Headers],[Transportation]],Table4104[Sub-Category],Table13103[[#This Row],[Transportation]])+SUMIFS(Table44110[Amount],Table44110[Category],Table13103[[#Headers],[Transportation]],Table44110[Sub-Category],Table13103[[#This Row],[Transportation]])</f>
        <v>0</v>
      </c>
      <c r="F34" s="3">
        <f>Table13103[[#This Row],[Budget]]-Table13103[[#This Row],[Actual]]</f>
        <v>0</v>
      </c>
      <c r="G34" s="32"/>
      <c r="H34" s="42"/>
      <c r="J34" s="31" t="s">
        <v>9</v>
      </c>
      <c r="K34" s="31" t="s">
        <v>0</v>
      </c>
      <c r="L34" s="31" t="s">
        <v>13</v>
      </c>
      <c r="M34" s="31" t="s">
        <v>10</v>
      </c>
      <c r="N34" s="31" t="s">
        <v>11</v>
      </c>
      <c r="O34" s="31" t="s">
        <v>16</v>
      </c>
      <c r="Q34" s="42"/>
      <c r="S34" s="27">
        <f t="shared" si="0"/>
        <v>41813</v>
      </c>
      <c r="T34" s="29">
        <f>SUMIFS(Table4420111[Amount],Table4420111[Date],S34,Table4420111[Category],Table136105[[#Headers],[Income]])+SUMIFS(Table44110[Amount],Table44110[Date],S34,Table44110[Category],Table136105[[#Headers],[Income]])</f>
        <v>0</v>
      </c>
      <c r="U34" s="29">
        <f>SUMIFS(Table4104[Amount],Table4104[Date],S34,Table4104[Category],"&lt;&gt;"&amp;Table136105[[#Headers],[Income]])+SUMIFS(Table44110[Amount],Table44110[Date],S34,Table44110[Category],"&lt;&gt;"&amp;Table136105[[#Headers],[Income]])</f>
        <v>0</v>
      </c>
      <c r="V34" s="29">
        <f t="shared" si="1"/>
        <v>1156.74</v>
      </c>
      <c r="W34" s="1">
        <f t="shared" si="2"/>
        <v>1156.7400000000005</v>
      </c>
    </row>
    <row r="35" spans="2:23" x14ac:dyDescent="0.2">
      <c r="B35" s="32"/>
      <c r="C35" s="11"/>
      <c r="D35" s="12"/>
      <c r="E35" s="13">
        <f>SUMIFS(Table4104[Amount],Table4104[Category],Table13103[[#Headers],[Transportation]],Table4104[Sub-Category],Table13103[[#This Row],[Transportation]])+SUMIFS(Table44110[Amount],Table44110[Category],Table13103[[#Headers],[Transportation]],Table44110[Sub-Category],Table13103[[#This Row],[Transportation]])</f>
        <v>0</v>
      </c>
      <c r="F35" s="13">
        <f>Table13103[[#This Row],[Budget]]-Table13103[[#This Row],[Actual]]</f>
        <v>0</v>
      </c>
      <c r="G35" s="32"/>
      <c r="H35" s="42"/>
      <c r="M35" s="4"/>
      <c r="N35" s="2"/>
      <c r="Q35" s="42"/>
      <c r="S35" s="30">
        <f t="shared" si="0"/>
        <v>41814</v>
      </c>
      <c r="T35" s="28">
        <f>SUMIFS(Table4420111[Amount],Table4420111[Date],S35,Table4420111[Category],Table136105[[#Headers],[Income]])+SUMIFS(Table44110[Amount],Table44110[Date],S35,Table44110[Category],Table136105[[#Headers],[Income]])</f>
        <v>0</v>
      </c>
      <c r="U35" s="28">
        <f>SUMIFS(Table4104[Amount],Table4104[Date],S35,Table4104[Category],"&lt;&gt;"&amp;Table136105[[#Headers],[Income]])+SUMIFS(Table44110[Amount],Table44110[Date],S35,Table44110[Category],"&lt;&gt;"&amp;Table136105[[#Headers],[Income]])</f>
        <v>0</v>
      </c>
      <c r="V35" s="28">
        <f t="shared" si="1"/>
        <v>1156.74</v>
      </c>
      <c r="W35" s="1">
        <f t="shared" si="2"/>
        <v>1156.7400000000005</v>
      </c>
    </row>
    <row r="36" spans="2:23" x14ac:dyDescent="0.2">
      <c r="B36" s="32"/>
      <c r="C36" s="11"/>
      <c r="D36" s="12"/>
      <c r="E36" s="13">
        <f>SUMIFS(Table4104[Amount],Table4104[Category],Table13103[[#Headers],[Transportation]],Table4104[Sub-Category],Table13103[[#This Row],[Transportation]])+SUMIFS(Table44110[Amount],Table44110[Category],Table13103[[#Headers],[Transportation]],Table44110[Sub-Category],Table13103[[#This Row],[Transportation]])</f>
        <v>0</v>
      </c>
      <c r="F36" s="13">
        <f>Table13103[[#This Row],[Budget]]-Table13103[[#This Row],[Actual]]</f>
        <v>0</v>
      </c>
      <c r="G36" s="32"/>
      <c r="H36" s="42"/>
      <c r="M36" s="4"/>
      <c r="N36" s="2"/>
      <c r="Q36" s="42"/>
      <c r="S36" s="27">
        <f t="shared" si="0"/>
        <v>41815</v>
      </c>
      <c r="T36" s="29">
        <f>SUMIFS(Table4420111[Amount],Table4420111[Date],S36,Table4420111[Category],Table136105[[#Headers],[Income]])+SUMIFS(Table44110[Amount],Table44110[Date],S36,Table44110[Category],Table136105[[#Headers],[Income]])</f>
        <v>0</v>
      </c>
      <c r="U36" s="29">
        <f>SUMIFS(Table4104[Amount],Table4104[Date],S36,Table4104[Category],"&lt;&gt;"&amp;Table136105[[#Headers],[Income]])+SUMIFS(Table44110[Amount],Table44110[Date],S36,Table44110[Category],"&lt;&gt;"&amp;Table136105[[#Headers],[Income]])</f>
        <v>0</v>
      </c>
      <c r="V36" s="29">
        <f t="shared" si="1"/>
        <v>1156.74</v>
      </c>
      <c r="W36" s="1">
        <f t="shared" si="2"/>
        <v>1156.7400000000005</v>
      </c>
    </row>
    <row r="37" spans="2:23" x14ac:dyDescent="0.2">
      <c r="B37" s="32"/>
      <c r="C37" s="9" t="s">
        <v>20</v>
      </c>
      <c r="D37" s="10">
        <f>SUBTOTAL(109,Table13103[Budget])</f>
        <v>0</v>
      </c>
      <c r="E37" s="10">
        <f>SUBTOTAL(109,Table13103[Actual])</f>
        <v>0</v>
      </c>
      <c r="F37" s="10">
        <f>SUBTOTAL(109,Table13103[Variance])</f>
        <v>0</v>
      </c>
      <c r="G37" s="32"/>
      <c r="H37" s="42"/>
      <c r="M37" s="4"/>
      <c r="N37" s="2"/>
      <c r="Q37" s="42"/>
      <c r="S37" s="30">
        <f t="shared" si="0"/>
        <v>41816</v>
      </c>
      <c r="T37" s="28">
        <f>SUMIFS(Table4420111[Amount],Table4420111[Date],S37,Table4420111[Category],Table136105[[#Headers],[Income]])+SUMIFS(Table44110[Amount],Table44110[Date],S37,Table44110[Category],Table136105[[#Headers],[Income]])</f>
        <v>0</v>
      </c>
      <c r="U37" s="28">
        <f>SUMIFS(Table4104[Amount],Table4104[Date],S37,Table4104[Category],"&lt;&gt;"&amp;Table136105[[#Headers],[Income]])+SUMIFS(Table44110[Amount],Table44110[Date],S37,Table44110[Category],"&lt;&gt;"&amp;Table136105[[#Headers],[Income]])</f>
        <v>0</v>
      </c>
      <c r="V37" s="28">
        <f t="shared" si="1"/>
        <v>1156.74</v>
      </c>
      <c r="W37" s="1">
        <f t="shared" si="2"/>
        <v>1156.7400000000005</v>
      </c>
    </row>
    <row r="38" spans="2:23" x14ac:dyDescent="0.2">
      <c r="B38" s="32"/>
      <c r="C38" s="26"/>
      <c r="D38" s="23"/>
      <c r="E38" s="23"/>
      <c r="F38" s="23"/>
      <c r="G38" s="32"/>
      <c r="H38" s="42"/>
      <c r="J38" s="11"/>
      <c r="K38" s="11"/>
      <c r="L38" s="11"/>
      <c r="M38" s="24"/>
      <c r="N38" s="12"/>
      <c r="O38" s="11"/>
      <c r="Q38" s="42"/>
      <c r="S38" s="27">
        <f t="shared" si="0"/>
        <v>41817</v>
      </c>
      <c r="T38" s="29">
        <f>SUMIFS(Table4420111[Amount],Table4420111[Date],S38,Table4420111[Category],Table136105[[#Headers],[Income]])+SUMIFS(Table44110[Amount],Table44110[Date],S38,Table44110[Category],Table136105[[#Headers],[Income]])</f>
        <v>0</v>
      </c>
      <c r="U38" s="29">
        <f>SUMIFS(Table4104[Amount],Table4104[Date],S38,Table4104[Category],"&lt;&gt;"&amp;Table136105[[#Headers],[Income]])+SUMIFS(Table44110[Amount],Table44110[Date],S38,Table44110[Category],"&lt;&gt;"&amp;Table136105[[#Headers],[Income]])</f>
        <v>0</v>
      </c>
      <c r="V38" s="29">
        <f t="shared" si="1"/>
        <v>1156.74</v>
      </c>
      <c r="W38" s="1">
        <f t="shared" si="2"/>
        <v>1156.7400000000005</v>
      </c>
    </row>
    <row r="39" spans="2:23" x14ac:dyDescent="0.2">
      <c r="B39" s="32"/>
      <c r="C39" s="37" t="str">
        <f>CONCATENATE(Table13910109[[#Headers],[Bills]]," - Budget &amp; Tracking")</f>
        <v>Bills - Budget &amp; Tracking</v>
      </c>
      <c r="D39" s="38"/>
      <c r="E39" s="38"/>
      <c r="F39" s="39"/>
      <c r="G39" s="32"/>
      <c r="H39" s="42"/>
      <c r="J39" s="11"/>
      <c r="K39" s="11"/>
      <c r="L39" s="11"/>
      <c r="M39" s="24"/>
      <c r="N39" s="12"/>
      <c r="O39" s="11"/>
      <c r="Q39" s="42"/>
      <c r="S39" s="30">
        <f t="shared" si="0"/>
        <v>41818</v>
      </c>
      <c r="T39" s="28">
        <f>SUMIFS(Table4420111[Amount],Table4420111[Date],S39,Table4420111[Category],Table136105[[#Headers],[Income]])+SUMIFS(Table44110[Amount],Table44110[Date],S39,Table44110[Category],Table136105[[#Headers],[Income]])</f>
        <v>0</v>
      </c>
      <c r="U39" s="28">
        <f>SUMIFS(Table4104[Amount],Table4104[Date],S39,Table4104[Category],"&lt;&gt;"&amp;Table136105[[#Headers],[Income]])+SUMIFS(Table44110[Amount],Table44110[Date],S39,Table44110[Category],"&lt;&gt;"&amp;Table136105[[#Headers],[Income]])</f>
        <v>0</v>
      </c>
      <c r="V39" s="28">
        <f t="shared" si="1"/>
        <v>1156.74</v>
      </c>
      <c r="W39" s="1">
        <f t="shared" si="2"/>
        <v>1156.7400000000005</v>
      </c>
    </row>
    <row r="40" spans="2:23" x14ac:dyDescent="0.2">
      <c r="B40" s="32"/>
      <c r="C40" s="31" t="s">
        <v>30</v>
      </c>
      <c r="D40" s="31" t="s">
        <v>1</v>
      </c>
      <c r="E40" s="31" t="s">
        <v>2</v>
      </c>
      <c r="F40" s="31" t="s">
        <v>14</v>
      </c>
      <c r="G40" s="32"/>
      <c r="H40" s="42"/>
      <c r="J40" s="11"/>
      <c r="K40" s="11"/>
      <c r="L40" s="11"/>
      <c r="M40" s="24"/>
      <c r="N40" s="12"/>
      <c r="O40" s="11"/>
      <c r="Q40" s="42"/>
      <c r="S40" s="27">
        <f t="shared" si="0"/>
        <v>41819</v>
      </c>
      <c r="T40" s="29">
        <f>SUMIFS(Table4420111[Amount],Table4420111[Date],S40,Table4420111[Category],Table136105[[#Headers],[Income]])+SUMIFS(Table44110[Amount],Table44110[Date],S40,Table44110[Category],Table136105[[#Headers],[Income]])</f>
        <v>0</v>
      </c>
      <c r="U40" s="29">
        <f>SUMIFS(Table4104[Amount],Table4104[Date],S40,Table4104[Category],"&lt;&gt;"&amp;Table136105[[#Headers],[Income]])+SUMIFS(Table44110[Amount],Table44110[Date],S40,Table44110[Category],"&lt;&gt;"&amp;Table136105[[#Headers],[Income]])</f>
        <v>0</v>
      </c>
      <c r="V40" s="29">
        <f t="shared" si="1"/>
        <v>1156.74</v>
      </c>
      <c r="W40" s="1">
        <f t="shared" si="2"/>
        <v>1156.7400000000005</v>
      </c>
    </row>
    <row r="41" spans="2:23" x14ac:dyDescent="0.2">
      <c r="B41" s="32"/>
      <c r="D41" s="2"/>
      <c r="E41" s="2">
        <f>SUMIFS(Table4104[Amount],Table4104[Category],Table13910109[[#Headers],[Bills]],Table4104[Sub-Category],Table13910109[[#This Row],[Bills]])+SUMIFS(Table44110[Amount],Table44110[Category],Table13910109[[#Headers],[Bills]],Table44110[Sub-Category],Table13910109[[#This Row],[Bills]])</f>
        <v>0</v>
      </c>
      <c r="F41" s="3">
        <f>Table13910109[[#This Row],[Budget]]-Table13910109[[#This Row],[Actual]]</f>
        <v>0</v>
      </c>
      <c r="G41" s="32"/>
      <c r="H41" s="42"/>
      <c r="Q41" s="42"/>
      <c r="S41" s="30">
        <f t="shared" si="0"/>
        <v>41820</v>
      </c>
      <c r="T41" s="28">
        <f>SUMIFS(Table4420111[Amount],Table4420111[Date],S41,Table4420111[Category],Table136105[[#Headers],[Income]])+SUMIFS(Table44110[Amount],Table44110[Date],S41,Table44110[Category],Table136105[[#Headers],[Income]])</f>
        <v>0</v>
      </c>
      <c r="U41" s="28">
        <f>SUMIFS(Table4104[Amount],Table4104[Date],S41,Table4104[Category],"&lt;&gt;"&amp;Table136105[[#Headers],[Income]])+SUMIFS(Table44110[Amount],Table44110[Date],S41,Table44110[Category],"&lt;&gt;"&amp;Table136105[[#Headers],[Income]])</f>
        <v>0</v>
      </c>
      <c r="V41" s="28">
        <f t="shared" si="1"/>
        <v>1156.74</v>
      </c>
      <c r="W41" s="1">
        <f t="shared" si="2"/>
        <v>1156.7400000000005</v>
      </c>
    </row>
    <row r="42" spans="2:23" x14ac:dyDescent="0.2">
      <c r="B42" s="32"/>
      <c r="D42" s="2"/>
      <c r="E42" s="2">
        <f>SUMIFS(Table4104[Amount],Table4104[Category],Table13910109[[#Headers],[Bills]],Table4104[Sub-Category],Table13910109[[#This Row],[Bills]])+SUMIFS(Table44110[Amount],Table44110[Category],Table13910109[[#Headers],[Bills]],Table44110[Sub-Category],Table13910109[[#This Row],[Bills]])</f>
        <v>0</v>
      </c>
      <c r="F42" s="3">
        <f>Table13910109[[#This Row],[Budget]]-Table13910109[[#This Row],[Actual]]</f>
        <v>0</v>
      </c>
      <c r="G42" s="32"/>
      <c r="H42" s="42"/>
      <c r="Q42" s="42"/>
      <c r="S42" s="27">
        <f t="shared" si="0"/>
        <v>41821</v>
      </c>
      <c r="T42" s="29">
        <f>SUMIFS(Table4420111[Amount],Table4420111[Date],S42,Table4420111[Category],Table136105[[#Headers],[Income]])+SUMIFS(Table44110[Amount],Table44110[Date],S42,Table44110[Category],Table136105[[#Headers],[Income]])</f>
        <v>0</v>
      </c>
      <c r="U42" s="29">
        <f>SUMIFS(Table4104[Amount],Table4104[Date],S42,Table4104[Category],"&lt;&gt;"&amp;Table136105[[#Headers],[Income]])+SUMIFS(Table44110[Amount],Table44110[Date],S42,Table44110[Category],"&lt;&gt;"&amp;Table136105[[#Headers],[Income]])</f>
        <v>0</v>
      </c>
      <c r="V42" s="29">
        <f t="shared" si="1"/>
        <v>1156.74</v>
      </c>
      <c r="W42" s="1">
        <f t="shared" si="2"/>
        <v>1156.7400000000005</v>
      </c>
    </row>
    <row r="43" spans="2:23" x14ac:dyDescent="0.2">
      <c r="B43" s="32"/>
      <c r="C43" s="11"/>
      <c r="D43" s="12"/>
      <c r="E43" s="13">
        <f>SUMIFS(Table4104[Amount],Table4104[Category],Table13910109[[#Headers],[Bills]],Table4104[Sub-Category],Table13910109[[#This Row],[Bills]])+SUMIFS(Table44110[Amount],Table44110[Category],Table13910109[[#Headers],[Bills]],Table44110[Sub-Category],Table13910109[[#This Row],[Bills]])</f>
        <v>0</v>
      </c>
      <c r="F43" s="13">
        <f>Table13910109[[#This Row],[Budget]]-Table13910109[[#This Row],[Actual]]</f>
        <v>0</v>
      </c>
      <c r="G43" s="32"/>
      <c r="H43" s="42"/>
      <c r="Q43" s="42"/>
      <c r="S43" s="8"/>
    </row>
    <row r="44" spans="2:23" x14ac:dyDescent="0.2">
      <c r="B44" s="32"/>
      <c r="C44" s="11"/>
      <c r="D44" s="12"/>
      <c r="E44" s="13">
        <f>SUMIFS(Table4104[Amount],Table4104[Category],Table13910109[[#Headers],[Bills]],Table4104[Sub-Category],Table13910109[[#This Row],[Bills]])+SUMIFS(Table44110[Amount],Table44110[Category],Table13910109[[#Headers],[Bills]],Table44110[Sub-Category],Table13910109[[#This Row],[Bills]])</f>
        <v>0</v>
      </c>
      <c r="F44" s="13">
        <f>Table13910109[[#This Row],[Budget]]-Table13910109[[#This Row],[Actual]]</f>
        <v>0</v>
      </c>
      <c r="G44" s="32"/>
      <c r="H44" s="42"/>
      <c r="Q44" s="42"/>
      <c r="S44" s="8"/>
    </row>
    <row r="45" spans="2:23" x14ac:dyDescent="0.2">
      <c r="B45" s="32"/>
      <c r="C45" s="11"/>
      <c r="D45" s="12"/>
      <c r="E45" s="13">
        <f>SUMIFS(Table4104[Amount],Table4104[Category],Table13910109[[#Headers],[Bills]],Table4104[Sub-Category],Table13910109[[#This Row],[Bills]])+SUMIFS(Table44110[Amount],Table44110[Category],Table13910109[[#Headers],[Bills]],Table44110[Sub-Category],Table13910109[[#This Row],[Bills]])</f>
        <v>0</v>
      </c>
      <c r="F45" s="13">
        <f>Table13910109[[#This Row],[Budget]]-Table13910109[[#This Row],[Actual]]</f>
        <v>0</v>
      </c>
      <c r="G45" s="32"/>
      <c r="H45" s="42"/>
      <c r="Q45" s="42"/>
    </row>
    <row r="46" spans="2:23" x14ac:dyDescent="0.2">
      <c r="B46" s="32"/>
      <c r="C46" s="9" t="s">
        <v>20</v>
      </c>
      <c r="D46" s="10">
        <f>SUBTOTAL(109,Table13910109[Budget])</f>
        <v>0</v>
      </c>
      <c r="E46" s="10">
        <f>SUBTOTAL(109,Table13910109[Actual])</f>
        <v>0</v>
      </c>
      <c r="F46" s="10">
        <f>SUBTOTAL(109,Table13910109[Variance])</f>
        <v>0</v>
      </c>
      <c r="G46" s="32"/>
      <c r="H46" s="42"/>
      <c r="Q46" s="42"/>
    </row>
    <row r="47" spans="2:23" x14ac:dyDescent="0.2">
      <c r="B47" s="32"/>
      <c r="C47" s="20"/>
      <c r="D47" s="21"/>
      <c r="E47" s="21"/>
      <c r="F47" s="22"/>
      <c r="G47" s="32"/>
      <c r="H47" s="42"/>
      <c r="Q47" s="42"/>
    </row>
    <row r="48" spans="2:23" x14ac:dyDescent="0.2">
      <c r="B48" s="32"/>
      <c r="C48" s="37" t="str">
        <f>CONCATENATE(Table137106[[#Headers],[Living]]," - Budget &amp; Tracking")</f>
        <v>Living - Budget &amp; Tracking</v>
      </c>
      <c r="D48" s="38"/>
      <c r="E48" s="38"/>
      <c r="F48" s="39"/>
      <c r="G48" s="32"/>
      <c r="H48" s="42"/>
      <c r="Q48" s="42"/>
    </row>
    <row r="49" spans="2:17" x14ac:dyDescent="0.2">
      <c r="B49" s="32"/>
      <c r="C49" s="31" t="s">
        <v>25</v>
      </c>
      <c r="D49" s="31" t="s">
        <v>1</v>
      </c>
      <c r="E49" s="31" t="s">
        <v>2</v>
      </c>
      <c r="F49" s="31" t="s">
        <v>14</v>
      </c>
      <c r="G49" s="32"/>
      <c r="H49" s="42"/>
      <c r="Q49" s="42"/>
    </row>
    <row r="50" spans="2:17" x14ac:dyDescent="0.2">
      <c r="B50" s="32"/>
      <c r="D50" s="2"/>
      <c r="E50" s="2">
        <f>SUMIFS(Table4104[Amount],Table4104[Category],Table137106[[#Headers],[Living]],Table4104[Sub-Category],Table137106[[#This Row],[Living]])+SUMIFS(Table44110[Amount],Table44110[Category],Table137106[[#Headers],[Living]],Table44110[Sub-Category],Table137106[[#This Row],[Living]])</f>
        <v>0</v>
      </c>
      <c r="F50" s="3">
        <f>Table137106[[#This Row],[Budget]]-Table137106[[#This Row],[Actual]]</f>
        <v>0</v>
      </c>
      <c r="G50" s="32"/>
      <c r="H50" s="42"/>
      <c r="Q50" s="42"/>
    </row>
    <row r="51" spans="2:17" x14ac:dyDescent="0.2">
      <c r="B51" s="32"/>
      <c r="D51" s="2"/>
      <c r="E51" s="2">
        <f>SUMIFS(Table4104[Amount],Table4104[Category],Table137106[[#Headers],[Living]],Table4104[Sub-Category],Table137106[[#This Row],[Living]])+SUMIFS(Table44110[Amount],Table44110[Category],Table137106[[#Headers],[Living]],Table44110[Sub-Category],Table137106[[#This Row],[Living]])</f>
        <v>0</v>
      </c>
      <c r="F51" s="3">
        <f>Table137106[[#This Row],[Budget]]-Table137106[[#This Row],[Actual]]</f>
        <v>0</v>
      </c>
      <c r="G51" s="32"/>
      <c r="H51" s="42"/>
      <c r="Q51" s="42"/>
    </row>
    <row r="52" spans="2:17" x14ac:dyDescent="0.2">
      <c r="B52" s="32"/>
      <c r="C52" s="11"/>
      <c r="D52" s="12"/>
      <c r="E52" s="13">
        <f>SUMIFS(Table4104[Amount],Table4104[Category],Table137106[[#Headers],[Living]],Table4104[Sub-Category],Table137106[[#This Row],[Living]])+SUMIFS(Table44110[Amount],Table44110[Category],Table137106[[#Headers],[Living]],Table44110[Sub-Category],Table137106[[#This Row],[Living]])</f>
        <v>0</v>
      </c>
      <c r="F52" s="13">
        <f>Table137106[[#This Row],[Budget]]-Table137106[[#This Row],[Actual]]</f>
        <v>0</v>
      </c>
      <c r="G52" s="32"/>
      <c r="H52" s="42"/>
      <c r="Q52" s="42"/>
    </row>
    <row r="53" spans="2:17" x14ac:dyDescent="0.2">
      <c r="B53" s="32"/>
      <c r="C53" s="11"/>
      <c r="D53" s="12"/>
      <c r="E53" s="13">
        <f>SUMIFS(Table4104[Amount],Table4104[Category],Table137106[[#Headers],[Living]],Table4104[Sub-Category],Table137106[[#This Row],[Living]])+SUMIFS(Table44110[Amount],Table44110[Category],Table137106[[#Headers],[Living]],Table44110[Sub-Category],Table137106[[#This Row],[Living]])</f>
        <v>0</v>
      </c>
      <c r="F53" s="13">
        <f>Table137106[[#This Row],[Budget]]-Table137106[[#This Row],[Actual]]</f>
        <v>0</v>
      </c>
      <c r="G53" s="32"/>
      <c r="H53" s="42"/>
      <c r="Q53" s="42"/>
    </row>
    <row r="54" spans="2:17" x14ac:dyDescent="0.2">
      <c r="B54" s="32"/>
      <c r="C54" s="9" t="s">
        <v>20</v>
      </c>
      <c r="D54" s="10">
        <f>SUBTOTAL(109,Table137106[Budget])</f>
        <v>0</v>
      </c>
      <c r="E54" s="10">
        <f>SUBTOTAL(109,Table137106[Actual])</f>
        <v>0</v>
      </c>
      <c r="F54" s="10">
        <f>SUBTOTAL(109,Table137106[Variance])</f>
        <v>0</v>
      </c>
      <c r="G54" s="32"/>
      <c r="H54" s="42"/>
      <c r="Q54" s="42"/>
    </row>
    <row r="55" spans="2:17" x14ac:dyDescent="0.2">
      <c r="B55" s="32"/>
      <c r="C55" s="20"/>
      <c r="D55" s="21"/>
      <c r="E55" s="21"/>
      <c r="F55" s="22"/>
      <c r="G55" s="32"/>
      <c r="H55" s="42"/>
      <c r="Q55" s="42"/>
    </row>
    <row r="56" spans="2:17" x14ac:dyDescent="0.2">
      <c r="B56" s="32"/>
      <c r="C56" s="37" t="str">
        <f>CONCATENATE(Table138107[[#Headers],[Entertainment]]," - Budget &amp; Tracking")</f>
        <v>Entertainment - Budget &amp; Tracking</v>
      </c>
      <c r="D56" s="38"/>
      <c r="E56" s="38"/>
      <c r="F56" s="39"/>
      <c r="G56" s="32"/>
      <c r="H56" s="42"/>
      <c r="Q56" s="42"/>
    </row>
    <row r="57" spans="2:17" x14ac:dyDescent="0.2">
      <c r="B57" s="32"/>
      <c r="C57" s="31" t="s">
        <v>24</v>
      </c>
      <c r="D57" s="31" t="s">
        <v>1</v>
      </c>
      <c r="E57" s="31" t="s">
        <v>2</v>
      </c>
      <c r="F57" s="31" t="s">
        <v>14</v>
      </c>
      <c r="G57" s="32"/>
      <c r="H57" s="42"/>
      <c r="Q57" s="42"/>
    </row>
    <row r="58" spans="2:17" x14ac:dyDescent="0.2">
      <c r="B58" s="32"/>
      <c r="D58" s="2"/>
      <c r="E58" s="2">
        <f>SUMIFS(Table4104[Amount],Table4104[Category],Table138107[[#Headers],[Entertainment]],Table4104[Sub-Category],Table138107[[#This Row],[Entertainment]])+SUMIFS(Table44110[Amount],Table44110[Category],Table138107[[#Headers],[Entertainment]],Table44110[Sub-Category],Table138107[[#This Row],[Entertainment]])</f>
        <v>0</v>
      </c>
      <c r="F58" s="3">
        <f>Table138107[[#This Row],[Budget]]-Table138107[[#This Row],[Actual]]</f>
        <v>0</v>
      </c>
      <c r="G58" s="32"/>
      <c r="H58" s="42"/>
      <c r="Q58" s="42"/>
    </row>
    <row r="59" spans="2:17" x14ac:dyDescent="0.2">
      <c r="B59" s="33"/>
      <c r="D59" s="2"/>
      <c r="E59" s="2">
        <f>SUMIFS(Table4104[Amount],Table4104[Category],Table138107[[#Headers],[Entertainment]],Table4104[Sub-Category],Table138107[[#This Row],[Entertainment]])+SUMIFS(Table44110[Amount],Table44110[Category],Table138107[[#Headers],[Entertainment]],Table44110[Sub-Category],Table138107[[#This Row],[Entertainment]])</f>
        <v>0</v>
      </c>
      <c r="F59" s="3">
        <f>Table138107[[#This Row],[Budget]]-Table138107[[#This Row],[Actual]]</f>
        <v>0</v>
      </c>
      <c r="G59" s="33"/>
      <c r="H59" s="42"/>
      <c r="Q59" s="42"/>
    </row>
    <row r="60" spans="2:17" x14ac:dyDescent="0.2">
      <c r="C60" s="9" t="s">
        <v>20</v>
      </c>
      <c r="D60" s="10">
        <f>SUBTOTAL(109,Table138107[Budget])</f>
        <v>0</v>
      </c>
      <c r="E60" s="10">
        <f>SUBTOTAL(109,Table138107[Actual])</f>
        <v>0</v>
      </c>
      <c r="F60" s="10">
        <f>SUBTOTAL(109,Table138107[Variance])</f>
        <v>0</v>
      </c>
      <c r="H60" s="42"/>
      <c r="Q60" s="42"/>
    </row>
    <row r="61" spans="2:17" x14ac:dyDescent="0.2">
      <c r="C61" s="26"/>
      <c r="D61" s="23"/>
      <c r="E61" s="23"/>
      <c r="F61" s="23"/>
      <c r="H61" s="42"/>
      <c r="Q61" s="42"/>
    </row>
    <row r="62" spans="2:17" x14ac:dyDescent="0.2">
      <c r="C62" s="37" t="str">
        <f>CONCATENATE(Table139108[[#Headers],[Misc.]]," - Budget &amp; Tracking")</f>
        <v>Misc. - Budget &amp; Tracking</v>
      </c>
      <c r="D62" s="38"/>
      <c r="E62" s="38"/>
      <c r="F62" s="39"/>
      <c r="H62" s="42"/>
      <c r="Q62" s="42"/>
    </row>
    <row r="63" spans="2:17" x14ac:dyDescent="0.2">
      <c r="C63" s="31" t="s">
        <v>27</v>
      </c>
      <c r="D63" s="31" t="s">
        <v>1</v>
      </c>
      <c r="E63" s="31" t="s">
        <v>2</v>
      </c>
      <c r="F63" s="31" t="s">
        <v>14</v>
      </c>
      <c r="H63" s="42"/>
      <c r="Q63" s="42"/>
    </row>
    <row r="64" spans="2:17" x14ac:dyDescent="0.2">
      <c r="C64" s="11"/>
      <c r="D64" s="12"/>
      <c r="E64" s="13">
        <f>SUMIFS(Table4104[Amount],Table4104[Category],Table139108[[#Headers],[Misc.]],Table4104[Sub-Category],Table139108[[#This Row],[Misc.]])+SUMIFS(Table44110[Amount],Table44110[Category],Table139108[[#Headers],[Misc.]],Table44110[Sub-Category],Table139108[[#This Row],[Misc.]])</f>
        <v>0</v>
      </c>
      <c r="F64" s="13">
        <f>Table139108[[#This Row],[Budget]]-Table139108[[#This Row],[Actual]]</f>
        <v>0</v>
      </c>
      <c r="H64" s="42"/>
      <c r="Q64" s="42"/>
    </row>
    <row r="65" spans="3:17" x14ac:dyDescent="0.2">
      <c r="C65" s="11"/>
      <c r="D65" s="12"/>
      <c r="E65" s="13">
        <f>SUMIFS(Table4104[Amount],Table4104[Category],Table139108[[#Headers],[Misc.]],Table4104[Sub-Category],Table139108[[#This Row],[Misc.]])+SUMIFS(Table44110[Amount],Table44110[Category],Table139108[[#Headers],[Misc.]],Table44110[Sub-Category],Table139108[[#This Row],[Misc.]])</f>
        <v>0</v>
      </c>
      <c r="F65" s="13">
        <f>Table139108[[#This Row],[Budget]]-Table139108[[#This Row],[Actual]]</f>
        <v>0</v>
      </c>
      <c r="H65" s="42"/>
      <c r="Q65" s="42"/>
    </row>
    <row r="66" spans="3:17" x14ac:dyDescent="0.2">
      <c r="C66" s="9" t="s">
        <v>20</v>
      </c>
      <c r="D66" s="10">
        <f>SUBTOTAL(109,Table139108[Budget])</f>
        <v>0</v>
      </c>
      <c r="E66" s="10">
        <f>SUBTOTAL(109,Table139108[Actual])</f>
        <v>0</v>
      </c>
      <c r="F66" s="10">
        <f>SUBTOTAL(109,Table139108[Variance])</f>
        <v>0</v>
      </c>
      <c r="H66" s="42"/>
      <c r="Q66" s="42"/>
    </row>
    <row r="67" spans="3:17" x14ac:dyDescent="0.2">
      <c r="C67" s="26"/>
      <c r="D67" s="23"/>
      <c r="E67" s="23"/>
      <c r="F67" s="23"/>
    </row>
    <row r="68" spans="3:17" x14ac:dyDescent="0.2">
      <c r="C68" s="33"/>
      <c r="D68" s="34"/>
      <c r="E68" s="34"/>
      <c r="F68" s="34"/>
    </row>
  </sheetData>
  <mergeCells count="1">
    <mergeCell ref="C1:F1"/>
  </mergeCells>
  <conditionalFormatting sqref="F33:F36">
    <cfRule type="iconSet" priority="23">
      <iconSet iconSet="3Symbols">
        <cfvo type="percent" val="0"/>
        <cfvo type="num" val="0"/>
        <cfvo type="num" val="10"/>
      </iconSet>
    </cfRule>
  </conditionalFormatting>
  <conditionalFormatting sqref="F50:F53">
    <cfRule type="iconSet" priority="21">
      <iconSet iconSet="3Symbols">
        <cfvo type="percent" val="0"/>
        <cfvo type="num" val="0"/>
        <cfvo type="num" val="10"/>
      </iconSet>
    </cfRule>
  </conditionalFormatting>
  <conditionalFormatting sqref="F58:F59">
    <cfRule type="iconSet" priority="20">
      <iconSet iconSet="3Symbols">
        <cfvo type="percent" val="0"/>
        <cfvo type="num" val="0"/>
        <cfvo type="num" val="10"/>
      </iconSet>
    </cfRule>
  </conditionalFormatting>
  <conditionalFormatting sqref="F41:F45">
    <cfRule type="iconSet" priority="19">
      <iconSet iconSet="3Symbols">
        <cfvo type="percent" val="0"/>
        <cfvo type="num" val="0"/>
        <cfvo type="num" val="10"/>
      </iconSet>
    </cfRule>
  </conditionalFormatting>
  <conditionalFormatting sqref="D6:E6">
    <cfRule type="iconSet" priority="18">
      <iconSet iconSet="3Symbols">
        <cfvo type="percent" val="0"/>
        <cfvo type="num" val="0" gte="0"/>
        <cfvo type="num" val="10"/>
      </iconSet>
    </cfRule>
  </conditionalFormatting>
  <conditionalFormatting sqref="F3:F6">
    <cfRule type="iconSet" priority="17">
      <iconSet iconSet="3Arrows">
        <cfvo type="percent" val="0"/>
        <cfvo type="num" val="-50"/>
        <cfvo type="num" val="0" gte="0"/>
      </iconSet>
    </cfRule>
  </conditionalFormatting>
  <conditionalFormatting sqref="F20:F28">
    <cfRule type="iconSet" priority="24">
      <iconSet iconSet="3Symbols">
        <cfvo type="percent" val="0"/>
        <cfvo type="num" val="0"/>
        <cfvo type="num" val="10"/>
      </iconSet>
    </cfRule>
  </conditionalFormatting>
  <conditionalFormatting sqref="S12">
    <cfRule type="cellIs" dxfId="47" priority="16" operator="equal">
      <formula>TODAY()</formula>
    </cfRule>
  </conditionalFormatting>
  <conditionalFormatting sqref="T12 T20:U42">
    <cfRule type="expression" dxfId="46" priority="15">
      <formula>IF($S12=TODAY(),TRUE)</formula>
    </cfRule>
  </conditionalFormatting>
  <conditionalFormatting sqref="U12">
    <cfRule type="expression" dxfId="45" priority="14">
      <formula>IF($S12=TODAY(),TRUE)</formula>
    </cfRule>
  </conditionalFormatting>
  <conditionalFormatting sqref="V12 V20:V42">
    <cfRule type="expression" dxfId="44" priority="13">
      <formula>IF($S12=TODAY(),TRUE)</formula>
    </cfRule>
  </conditionalFormatting>
  <conditionalFormatting sqref="S13:S15">
    <cfRule type="cellIs" dxfId="43" priority="12" operator="equal">
      <formula>TODAY()</formula>
    </cfRule>
  </conditionalFormatting>
  <conditionalFormatting sqref="T13:T15">
    <cfRule type="expression" dxfId="42" priority="11">
      <formula>IF($S13=TODAY(),TRUE)</formula>
    </cfRule>
  </conditionalFormatting>
  <conditionalFormatting sqref="U13:U15">
    <cfRule type="expression" dxfId="41" priority="10">
      <formula>IF($S13=TODAY(),TRUE)</formula>
    </cfRule>
  </conditionalFormatting>
  <conditionalFormatting sqref="V13:V15">
    <cfRule type="expression" dxfId="40" priority="9">
      <formula>IF($S13=TODAY(),TRUE)</formula>
    </cfRule>
  </conditionalFormatting>
  <conditionalFormatting sqref="S16 S20 S24 S28 S32 S36 S40">
    <cfRule type="cellIs" dxfId="39" priority="8" operator="equal">
      <formula>TODAY()</formula>
    </cfRule>
  </conditionalFormatting>
  <conditionalFormatting sqref="T16">
    <cfRule type="expression" dxfId="38" priority="7">
      <formula>IF($S16=TODAY(),TRUE)</formula>
    </cfRule>
  </conditionalFormatting>
  <conditionalFormatting sqref="U16">
    <cfRule type="expression" dxfId="37" priority="6">
      <formula>IF($S16=TODAY(),TRUE)</formula>
    </cfRule>
  </conditionalFormatting>
  <conditionalFormatting sqref="V16">
    <cfRule type="expression" dxfId="36" priority="5">
      <formula>IF($S16=TODAY(),TRUE)</formula>
    </cfRule>
  </conditionalFormatting>
  <conditionalFormatting sqref="S17:S19 S21:S23 S25:S27 S29:S31 S33:S35 S37:S39 S41:S42">
    <cfRule type="cellIs" dxfId="35" priority="4" operator="equal">
      <formula>TODAY()</formula>
    </cfRule>
  </conditionalFormatting>
  <conditionalFormatting sqref="T17:T19">
    <cfRule type="expression" dxfId="34" priority="3">
      <formula>IF($S17=TODAY(),TRUE)</formula>
    </cfRule>
  </conditionalFormatting>
  <conditionalFormatting sqref="U17:U19">
    <cfRule type="expression" dxfId="33" priority="2">
      <formula>IF($S17=TODAY(),TRUE)</formula>
    </cfRule>
  </conditionalFormatting>
  <conditionalFormatting sqref="V17:V19">
    <cfRule type="expression" dxfId="32" priority="1">
      <formula>IF($S17=TODAY(),TRUE)</formula>
    </cfRule>
  </conditionalFormatting>
  <conditionalFormatting sqref="F66:F68">
    <cfRule type="iconSet" priority="25">
      <iconSet iconSet="3Symbols">
        <cfvo type="percent" val="0"/>
        <cfvo type="num" val="0" gte="0"/>
        <cfvo type="num" val="10"/>
      </iconSet>
    </cfRule>
  </conditionalFormatting>
  <conditionalFormatting sqref="F60:F61">
    <cfRule type="iconSet" priority="26">
      <iconSet iconSet="3Symbols">
        <cfvo type="percent" val="0"/>
        <cfvo type="num" val="0" gte="0"/>
        <cfvo type="num" val="10"/>
      </iconSet>
    </cfRule>
  </conditionalFormatting>
  <conditionalFormatting sqref="F54:F55">
    <cfRule type="iconSet" priority="27">
      <iconSet iconSet="3Symbols">
        <cfvo type="percent" val="0"/>
        <cfvo type="num" val="0" gte="0"/>
        <cfvo type="num" val="10" gte="0"/>
      </iconSet>
    </cfRule>
  </conditionalFormatting>
  <conditionalFormatting sqref="F46:F47">
    <cfRule type="iconSet" priority="28">
      <iconSet iconSet="3Symbols">
        <cfvo type="percent" val="0"/>
        <cfvo type="num" val="0" gte="0"/>
        <cfvo type="num" val="10"/>
      </iconSet>
    </cfRule>
  </conditionalFormatting>
  <conditionalFormatting sqref="F37:F38">
    <cfRule type="iconSet" priority="29">
      <iconSet iconSet="3Symbols">
        <cfvo type="percent" val="0"/>
        <cfvo type="num" val="0" gte="0"/>
        <cfvo type="num" val="10"/>
      </iconSet>
    </cfRule>
  </conditionalFormatting>
  <conditionalFormatting sqref="F29:F30">
    <cfRule type="iconSet" priority="30">
      <iconSet iconSet="3Symbols">
        <cfvo type="percent" val="0"/>
        <cfvo type="num" val="0" gte="0"/>
        <cfvo type="num" val="10"/>
      </iconSet>
    </cfRule>
  </conditionalFormatting>
  <conditionalFormatting sqref="F64:F65">
    <cfRule type="iconSet" priority="32">
      <iconSet iconSet="3Symbols">
        <cfvo type="percent" val="0"/>
        <cfvo type="num" val="0"/>
        <cfvo type="num" val="10"/>
      </iconSet>
    </cfRule>
  </conditionalFormatting>
  <dataValidations count="3">
    <dataValidation type="list" allowBlank="1" showInputMessage="1" showErrorMessage="1" sqref="O35:O40 O19:O32 O12:O16">
      <formula1>$U$2:$U$4</formula1>
    </dataValidation>
    <dataValidation type="list" allowBlank="1" showInputMessage="1" showErrorMessage="1" sqref="K35:K40 K19:K32 K12:K16">
      <formula1>$R$2:$R$8</formula1>
    </dataValidation>
    <dataValidation type="list" allowBlank="1" showInputMessage="1" showErrorMessage="1" sqref="L35:L40 L12:L16 L19:L32">
      <formula1>INDIRECT(K12)</formula1>
    </dataValidation>
  </dataValidations>
  <printOptions horizontalCentered="1"/>
  <pageMargins left="0.2" right="0.2" top="0.25" bottom="0.25" header="0.3" footer="0.3"/>
  <pageSetup scale="76" orientation="landscape" r:id="rId1"/>
  <drawing r:id="rId2"/>
  <tableParts count="10">
    <tablePart r:id="rId3"/>
    <tablePart r:id="rId4"/>
    <tablePart r:id="rId5"/>
    <tablePart r:id="rId6"/>
    <tablePart r:id="rId7"/>
    <tablePart r:id="rId8"/>
    <tablePart r:id="rId9"/>
    <tablePart r:id="rId10"/>
    <tablePart r:id="rId11"/>
    <tablePart r:id="rId12"/>
  </tableParts>
  <extLst>
    <ext xmlns:x14="http://schemas.microsoft.com/office/spreadsheetml/2009/9/main" uri="{78C0D931-6437-407d-A8EE-F0AAD7539E65}">
      <x14:conditionalFormattings>
        <x14:conditionalFormatting xmlns:xm="http://schemas.microsoft.com/office/excel/2006/main">
          <x14:cfRule type="iconSet" priority="22" id="{E21969D3-EA21-4C0E-9176-421F5D6D402D}">
            <x14:iconSet iconSet="3Symbols" custom="1">
              <x14:cfvo type="percent">
                <xm:f>0</xm:f>
              </x14:cfvo>
              <x14:cfvo type="num">
                <xm:f>0</xm:f>
              </x14:cfvo>
              <x14:cfvo type="num">
                <xm:f>10</xm:f>
              </x14:cfvo>
              <x14:cfIcon iconSet="3Symbols" iconId="0"/>
              <x14:cfIcon iconSet="3Symbols" iconId="1"/>
              <x14:cfIcon iconSet="3Symbols" iconId="2"/>
            </x14:iconSet>
          </x14:cfRule>
          <xm:sqref>F12:F15</xm:sqref>
        </x14:conditionalFormatting>
        <x14:conditionalFormatting xmlns:xm="http://schemas.microsoft.com/office/excel/2006/main">
          <x14:cfRule type="iconSet" priority="31" id="{36F019A6-A3A0-4D81-A1C7-1B4022171A1E}">
            <x14:iconSet iconSet="3Symbols" custom="1">
              <x14:cfvo type="percent">
                <xm:f>0</xm:f>
              </x14:cfvo>
              <x14:cfvo type="num" gte="0">
                <xm:f>0</xm:f>
              </x14:cfvo>
              <x14:cfvo type="num">
                <xm:f>10</xm:f>
              </x14:cfvo>
              <x14:cfIcon iconSet="3Symbols" iconId="0"/>
              <x14:cfIcon iconSet="3Symbols" iconId="1"/>
              <x14:cfIcon iconSet="3Symbols" iconId="2"/>
            </x14:iconSet>
          </x14:cfRule>
          <xm:sqref>F16:F17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8"/>
  <sheetViews>
    <sheetView showGridLines="0" zoomScaleNormal="100" workbookViewId="0">
      <selection activeCell="C1" sqref="C1:F1"/>
    </sheetView>
  </sheetViews>
  <sheetFormatPr defaultColWidth="0" defaultRowHeight="12" x14ac:dyDescent="0.2"/>
  <cols>
    <col min="1" max="2" width="0.7109375" style="1" customWidth="1"/>
    <col min="3" max="3" width="15" style="1" bestFit="1" customWidth="1"/>
    <col min="4" max="6" width="12.85546875" style="1" customWidth="1"/>
    <col min="7" max="7" width="0.85546875" style="1" customWidth="1"/>
    <col min="8" max="8" width="0.28515625" style="1" customWidth="1"/>
    <col min="9" max="9" width="0.85546875" style="1" customWidth="1"/>
    <col min="10" max="10" width="24.42578125" style="1" bestFit="1" customWidth="1"/>
    <col min="11" max="11" width="12.140625" style="1" bestFit="1" customWidth="1"/>
    <col min="12" max="12" width="14.140625" style="1" bestFit="1" customWidth="1"/>
    <col min="13" max="13" width="8.5703125" style="1" bestFit="1" customWidth="1"/>
    <col min="14" max="14" width="9.7109375" style="1" bestFit="1" customWidth="1"/>
    <col min="15" max="15" width="8.28515625" style="1" bestFit="1" customWidth="1"/>
    <col min="16" max="16" width="0.85546875" style="1" customWidth="1"/>
    <col min="17" max="17" width="0.28515625" style="1" customWidth="1"/>
    <col min="18" max="18" width="0.85546875" style="1" customWidth="1"/>
    <col min="19" max="19" width="10.28515625" style="1" bestFit="1" customWidth="1"/>
    <col min="20" max="22" width="9.5703125" style="1" customWidth="1"/>
    <col min="23" max="23" width="0.7109375" style="1" customWidth="1"/>
    <col min="24" max="24" width="0.7109375" style="1" hidden="1" customWidth="1"/>
    <col min="25" max="25" width="12.140625" style="1" hidden="1" customWidth="1"/>
    <col min="26" max="27" width="4" style="1" hidden="1" customWidth="1"/>
    <col min="28" max="16384" width="9.140625" style="1" hidden="1"/>
  </cols>
  <sheetData>
    <row r="1" spans="2:23" ht="26.25" x14ac:dyDescent="0.4">
      <c r="C1" s="61">
        <f>DATE(YEAR(Mo.10!C1),MONTH(Mo.10!C1)+1,DAY(Mo.10!C1))</f>
        <v>41821</v>
      </c>
      <c r="D1" s="61"/>
      <c r="E1" s="61"/>
      <c r="F1" s="61"/>
      <c r="R1" s="45" t="s">
        <v>0</v>
      </c>
      <c r="S1" s="45" t="s">
        <v>1</v>
      </c>
      <c r="T1" s="45" t="s">
        <v>2</v>
      </c>
      <c r="U1" s="45" t="s">
        <v>16</v>
      </c>
      <c r="V1" s="45" t="s">
        <v>45</v>
      </c>
    </row>
    <row r="2" spans="2:23" x14ac:dyDescent="0.2">
      <c r="D2" s="18" t="s">
        <v>1</v>
      </c>
      <c r="E2" s="19" t="s">
        <v>2</v>
      </c>
      <c r="F2" s="19" t="s">
        <v>14</v>
      </c>
      <c r="R2" s="45" t="str">
        <f>Table136115[[#Headers],[Income]]</f>
        <v>Income</v>
      </c>
      <c r="S2" s="45">
        <f>SUM(Table136115[Budget])</f>
        <v>0</v>
      </c>
      <c r="T2" s="45">
        <f>SUM(Table136115[Actual])</f>
        <v>0</v>
      </c>
      <c r="U2" s="45" t="s">
        <v>19</v>
      </c>
      <c r="V2" s="45">
        <f>AVERAGE(V12:V42)</f>
        <v>1156.7400000000005</v>
      </c>
    </row>
    <row r="3" spans="2:23" x14ac:dyDescent="0.2">
      <c r="C3" s="17" t="s">
        <v>35</v>
      </c>
      <c r="D3" s="5">
        <f>Mo.10!D6</f>
        <v>1156.74</v>
      </c>
      <c r="E3" s="14">
        <f>Mo.10!E6</f>
        <v>1156.74</v>
      </c>
      <c r="F3" s="14">
        <f>E3-D3</f>
        <v>0</v>
      </c>
      <c r="R3" s="45" t="str">
        <f>Table1112[[#Headers],[Housing]]</f>
        <v>Housing</v>
      </c>
      <c r="S3" s="45">
        <f>SUM(Table1112[Budget])</f>
        <v>0</v>
      </c>
      <c r="T3" s="45">
        <f>SUM(Table1112[Actual])</f>
        <v>0</v>
      </c>
      <c r="U3" s="45" t="s">
        <v>17</v>
      </c>
      <c r="V3" s="45"/>
    </row>
    <row r="4" spans="2:23" x14ac:dyDescent="0.2">
      <c r="C4" s="17" t="s">
        <v>32</v>
      </c>
      <c r="D4" s="5">
        <f>Table136115[[#Totals],[Budget]]</f>
        <v>0</v>
      </c>
      <c r="E4" s="5">
        <f>Table136115[[#Totals],[Actual]]</f>
        <v>0</v>
      </c>
      <c r="F4" s="5">
        <f>E4-D4</f>
        <v>0</v>
      </c>
      <c r="R4" s="45" t="str">
        <f>Table13113[[#Headers],[Transportation]]</f>
        <v>Transportation</v>
      </c>
      <c r="S4" s="45">
        <f>SUM(Table13113[Budget])</f>
        <v>0</v>
      </c>
      <c r="T4" s="45">
        <f>SUM(Table13113[Actual])</f>
        <v>0</v>
      </c>
      <c r="U4" s="45" t="s">
        <v>18</v>
      </c>
      <c r="V4" s="45"/>
    </row>
    <row r="5" spans="2:23" x14ac:dyDescent="0.2">
      <c r="C5" s="17" t="s">
        <v>33</v>
      </c>
      <c r="D5" s="5">
        <f>Table1112[[#Totals],[Budget]]+Table13113[[#Totals],[Budget]]+Table13910119[[#Totals],[Budget]]+Table137116[[#Totals],[Budget]]+Table138117[[#Totals],[Budget]]+Table139118[[#Totals],[Budget]]</f>
        <v>0</v>
      </c>
      <c r="E5" s="5">
        <f>Table1112[[#Totals],[Actual]]+Table13113[[#Totals],[Actual]]+Table13910119[[#Totals],[Actual]]+Table137116[[#Totals],[Actual]]+Table138117[[#Totals],[Actual]]+Table139118[[#Totals],[Actual]]</f>
        <v>0</v>
      </c>
      <c r="F5" s="5">
        <f>E5-D5</f>
        <v>0</v>
      </c>
      <c r="R5" s="45" t="str">
        <f>Table13910119[[#Headers],[Bills]]</f>
        <v>Bills</v>
      </c>
      <c r="S5" s="45">
        <f>SUM(Table13910119[Budget])</f>
        <v>0</v>
      </c>
      <c r="T5" s="45">
        <f>SUM(Table13910119[Actual])</f>
        <v>0</v>
      </c>
      <c r="U5" s="45"/>
      <c r="V5" s="45"/>
    </row>
    <row r="6" spans="2:23" x14ac:dyDescent="0.2">
      <c r="C6" s="15" t="s">
        <v>34</v>
      </c>
      <c r="D6" s="16">
        <f>D3+D4-D5</f>
        <v>1156.74</v>
      </c>
      <c r="E6" s="16">
        <f>E3+E4-E5</f>
        <v>1156.74</v>
      </c>
      <c r="F6" s="16">
        <f>F3+F4-F5</f>
        <v>0</v>
      </c>
      <c r="R6" s="45" t="str">
        <f>Table137116[[#Headers],[Living]]</f>
        <v>Living</v>
      </c>
      <c r="S6" s="45">
        <f>SUM(Table137116[Budget])</f>
        <v>0</v>
      </c>
      <c r="T6" s="45">
        <f>SUM(Table137116[Actual])</f>
        <v>0</v>
      </c>
      <c r="U6" s="45"/>
      <c r="V6" s="45"/>
    </row>
    <row r="7" spans="2:23" ht="3.75" customHeight="1" x14ac:dyDescent="0.2">
      <c r="D7" s="2"/>
      <c r="R7" s="45" t="str">
        <f>Table138117[[#Headers],[Entertainment]]</f>
        <v>Entertainment</v>
      </c>
      <c r="S7" s="45">
        <f>SUM(Table138117[Budget])</f>
        <v>0</v>
      </c>
      <c r="T7" s="45">
        <f>SUM(Table138117[Actual])</f>
        <v>0</v>
      </c>
      <c r="U7" s="45"/>
      <c r="V7" s="45"/>
    </row>
    <row r="8" spans="2:23" ht="1.5" customHeight="1" x14ac:dyDescent="0.2">
      <c r="C8" s="42"/>
      <c r="D8" s="43"/>
      <c r="E8" s="42"/>
      <c r="F8" s="42"/>
      <c r="G8" s="42"/>
      <c r="H8" s="42"/>
      <c r="I8" s="42"/>
      <c r="J8" s="42"/>
      <c r="K8" s="42"/>
      <c r="L8" s="42"/>
      <c r="M8" s="42"/>
      <c r="N8" s="42"/>
      <c r="O8" s="42"/>
      <c r="P8" s="42"/>
      <c r="Q8" s="42"/>
      <c r="R8" s="44" t="str">
        <f>Table139118[[#Headers],[Misc.]]</f>
        <v>Misc.</v>
      </c>
      <c r="S8" s="44">
        <f>SUM(Table139118[Budget])</f>
        <v>0</v>
      </c>
      <c r="T8" s="44">
        <f>SUM(Table139118[Actual])</f>
        <v>0</v>
      </c>
      <c r="U8" s="44"/>
      <c r="V8" s="44"/>
    </row>
    <row r="9" spans="2:23" ht="3.75" customHeight="1" x14ac:dyDescent="0.2">
      <c r="D9" s="2"/>
      <c r="H9" s="42"/>
      <c r="Q9" s="42"/>
    </row>
    <row r="10" spans="2:23" s="25" customFormat="1" x14ac:dyDescent="0.2">
      <c r="B10" s="35"/>
      <c r="C10" s="37" t="str">
        <f>CONCATENATE(Table136115[[#Headers],[Income]]," - Budget &amp; Tracking")</f>
        <v>Income - Budget &amp; Tracking</v>
      </c>
      <c r="D10" s="38"/>
      <c r="E10" s="38"/>
      <c r="F10" s="39"/>
      <c r="G10" s="35"/>
      <c r="H10" s="41"/>
      <c r="J10" s="37" t="s">
        <v>42</v>
      </c>
      <c r="K10" s="38"/>
      <c r="L10" s="38"/>
      <c r="M10" s="38"/>
      <c r="N10" s="38"/>
      <c r="O10" s="39"/>
      <c r="Q10" s="41"/>
      <c r="S10" s="37" t="s">
        <v>40</v>
      </c>
      <c r="T10" s="38"/>
      <c r="U10" s="38"/>
      <c r="V10" s="39"/>
    </row>
    <row r="11" spans="2:23" ht="12.75" thickBot="1" x14ac:dyDescent="0.25">
      <c r="B11" s="32"/>
      <c r="C11" s="31" t="s">
        <v>15</v>
      </c>
      <c r="D11" s="31" t="s">
        <v>1</v>
      </c>
      <c r="E11" s="31" t="s">
        <v>2</v>
      </c>
      <c r="F11" s="31" t="s">
        <v>14</v>
      </c>
      <c r="G11" s="32"/>
      <c r="H11" s="42"/>
      <c r="J11" s="31" t="s">
        <v>9</v>
      </c>
      <c r="K11" s="31" t="s">
        <v>0</v>
      </c>
      <c r="L11" s="31" t="s">
        <v>13</v>
      </c>
      <c r="M11" s="31" t="s">
        <v>10</v>
      </c>
      <c r="N11" s="31" t="s">
        <v>11</v>
      </c>
      <c r="O11" s="31" t="s">
        <v>16</v>
      </c>
      <c r="Q11" s="42"/>
      <c r="S11" s="40" t="s">
        <v>10</v>
      </c>
      <c r="T11" s="40" t="s">
        <v>22</v>
      </c>
      <c r="U11" s="40" t="s">
        <v>21</v>
      </c>
      <c r="V11" s="40" t="s">
        <v>23</v>
      </c>
    </row>
    <row r="12" spans="2:23" x14ac:dyDescent="0.2">
      <c r="B12" s="32"/>
      <c r="D12" s="2"/>
      <c r="E12" s="2">
        <f>SUMIFS(Table4420121[Amount],Table4420121[Category],Table136115[[#Headers],[Income]],Table4420121[Sub-Category],Table136115[[#This Row],[Income]])+SUMIFS(Table44120[Amount],Table44120[Category],Table136115[[#Headers],[Income]],Table44120[Sub-Category],Table136115[[#This Row],[Income]])</f>
        <v>0</v>
      </c>
      <c r="F12" s="3">
        <f>Table136115[[#This Row],[Actual]]-Table136115[[#This Row],[Budget]]</f>
        <v>0</v>
      </c>
      <c r="G12" s="32"/>
      <c r="H12" s="42"/>
      <c r="M12" s="4"/>
      <c r="N12" s="2"/>
      <c r="Q12" s="42"/>
      <c r="S12" s="27">
        <f>C1</f>
        <v>41821</v>
      </c>
      <c r="T12" s="29">
        <f>SUMIFS(Table4420121[Amount],Table4420121[Date],S12,Table4420121[Category],Table136115[[#Headers],[Income]])+SUMIFS(Table44120[Amount],Table44120[Date],S12,Table44120[Category],Table136115[[#Headers],[Income]])</f>
        <v>0</v>
      </c>
      <c r="U12" s="29">
        <f>SUMIFS(Table4114[Amount],Table4114[Date],S12,Table4114[Category],"&lt;&gt;"&amp;Table136115[[#Headers],[Income]])+SUMIFS(Table44120[Amount],Table44120[Date],S12,Table44120[Category],"&lt;&gt;"&amp;Table136115[[#Headers],[Income]])</f>
        <v>0</v>
      </c>
      <c r="V12" s="29">
        <f>E3+T12-U12</f>
        <v>1156.74</v>
      </c>
      <c r="W12" s="1">
        <f>V2</f>
        <v>1156.7400000000005</v>
      </c>
    </row>
    <row r="13" spans="2:23" x14ac:dyDescent="0.2">
      <c r="B13" s="32"/>
      <c r="D13" s="2"/>
      <c r="E13" s="2">
        <f>SUMIFS(Table4420121[Amount],Table4420121[Category],Table136115[[#Headers],[Income]],Table4420121[Sub-Category],Table136115[[#This Row],[Income]])+SUMIFS(Table44120[Amount],Table44120[Category],Table136115[[#Headers],[Income]],Table44120[Sub-Category],Table136115[[#This Row],[Income]])</f>
        <v>0</v>
      </c>
      <c r="F13" s="3">
        <f>Table136115[[#This Row],[Actual]]-Table136115[[#This Row],[Budget]]</f>
        <v>0</v>
      </c>
      <c r="G13" s="32"/>
      <c r="H13" s="42"/>
      <c r="M13" s="4"/>
      <c r="N13" s="2"/>
      <c r="Q13" s="42"/>
      <c r="S13" s="30">
        <f t="shared" ref="S13:S42" si="0">S12+1</f>
        <v>41822</v>
      </c>
      <c r="T13" s="28">
        <f>SUMIFS(Table4420121[Amount],Table4420121[Date],S13,Table4420121[Category],Table136115[[#Headers],[Income]])+SUMIFS(Table44120[Amount],Table44120[Date],S13,Table44120[Category],Table136115[[#Headers],[Income]])</f>
        <v>0</v>
      </c>
      <c r="U13" s="28">
        <f>SUMIFS(Table4114[Amount],Table4114[Date],S13,Table4114[Category],"&lt;&gt;"&amp;Table136115[[#Headers],[Income]])+SUMIFS(Table44120[Amount],Table44120[Date],S13,Table44120[Category],"&lt;&gt;"&amp;Table136115[[#Headers],[Income]])</f>
        <v>0</v>
      </c>
      <c r="V13" s="28">
        <f>V12+T13-U13</f>
        <v>1156.74</v>
      </c>
      <c r="W13" s="1">
        <f>W12</f>
        <v>1156.7400000000005</v>
      </c>
    </row>
    <row r="14" spans="2:23" x14ac:dyDescent="0.2">
      <c r="B14" s="32"/>
      <c r="D14" s="12"/>
      <c r="E14" s="12">
        <f>SUMIFS(Table4420121[Amount],Table4420121[Category],Table136115[[#Headers],[Income]],Table4420121[Sub-Category],Table136115[[#This Row],[Income]])+SUMIFS(Table44120[Amount],Table44120[Category],Table136115[[#Headers],[Income]],Table44120[Sub-Category],Table136115[[#This Row],[Income]])</f>
        <v>0</v>
      </c>
      <c r="F14" s="2">
        <f>Table136115[[#This Row],[Actual]]-Table136115[[#This Row],[Budget]]</f>
        <v>0</v>
      </c>
      <c r="G14" s="32"/>
      <c r="H14" s="42"/>
      <c r="M14" s="4"/>
      <c r="N14" s="2"/>
      <c r="Q14" s="42"/>
      <c r="S14" s="27">
        <f t="shared" si="0"/>
        <v>41823</v>
      </c>
      <c r="T14" s="29">
        <f>SUMIFS(Table4420121[Amount],Table4420121[Date],S14,Table4420121[Category],Table136115[[#Headers],[Income]])+SUMIFS(Table44120[Amount],Table44120[Date],S14,Table44120[Category],Table136115[[#Headers],[Income]])</f>
        <v>0</v>
      </c>
      <c r="U14" s="29">
        <f>SUMIFS(Table4114[Amount],Table4114[Date],S14,Table4114[Category],"&lt;&gt;"&amp;Table136115[[#Headers],[Income]])+SUMIFS(Table44120[Amount],Table44120[Date],S14,Table44120[Category],"&lt;&gt;"&amp;Table136115[[#Headers],[Income]])</f>
        <v>0</v>
      </c>
      <c r="V14" s="29">
        <f t="shared" ref="V14:V42" si="1">V13+T14-U14</f>
        <v>1156.74</v>
      </c>
      <c r="W14" s="1">
        <f t="shared" ref="W14:W42" si="2">W13</f>
        <v>1156.7400000000005</v>
      </c>
    </row>
    <row r="15" spans="2:23" x14ac:dyDescent="0.2">
      <c r="B15" s="32"/>
      <c r="D15" s="2"/>
      <c r="E15" s="3">
        <f>SUMIFS(Table4420121[Amount],Table4420121[Category],Table136115[[#Headers],[Income]],Table4420121[Sub-Category],Table136115[[#This Row],[Income]])+SUMIFS(Table44120[Amount],Table44120[Category],Table136115[[#Headers],[Income]],Table44120[Sub-Category],Table136115[[#This Row],[Income]])</f>
        <v>0</v>
      </c>
      <c r="F15" s="3">
        <f>Table136115[[#This Row],[Actual]]-Table136115[[#This Row],[Budget]]</f>
        <v>0</v>
      </c>
      <c r="G15" s="32"/>
      <c r="H15" s="42"/>
      <c r="J15" s="11"/>
      <c r="K15" s="11"/>
      <c r="L15" s="11"/>
      <c r="M15" s="24"/>
      <c r="N15" s="12"/>
      <c r="O15" s="11"/>
      <c r="Q15" s="42"/>
      <c r="S15" s="30">
        <f t="shared" si="0"/>
        <v>41824</v>
      </c>
      <c r="T15" s="28">
        <f>SUMIFS(Table4420121[Amount],Table4420121[Date],S15,Table4420121[Category],Table136115[[#Headers],[Income]])+SUMIFS(Table44120[Amount],Table44120[Date],S15,Table44120[Category],Table136115[[#Headers],[Income]])</f>
        <v>0</v>
      </c>
      <c r="U15" s="28">
        <f>SUMIFS(Table4114[Amount],Table4114[Date],S15,Table4114[Category],"&lt;&gt;"&amp;Table136115[[#Headers],[Income]])+SUMIFS(Table44120[Amount],Table44120[Date],S15,Table44120[Category],"&lt;&gt;"&amp;Table136115[[#Headers],[Income]])</f>
        <v>0</v>
      </c>
      <c r="V15" s="28">
        <f t="shared" si="1"/>
        <v>1156.74</v>
      </c>
      <c r="W15" s="1">
        <f t="shared" si="2"/>
        <v>1156.7400000000005</v>
      </c>
    </row>
    <row r="16" spans="2:23" x14ac:dyDescent="0.2">
      <c r="B16" s="32"/>
      <c r="C16" s="6" t="s">
        <v>20</v>
      </c>
      <c r="D16" s="7">
        <f>SUBTOTAL(109,Table136115[Budget])</f>
        <v>0</v>
      </c>
      <c r="E16" s="7">
        <f>SUBTOTAL(109,Table136115[Actual])</f>
        <v>0</v>
      </c>
      <c r="F16" s="7">
        <f>SUBTOTAL(109,Table136115[Variance])</f>
        <v>0</v>
      </c>
      <c r="G16" s="36"/>
      <c r="H16" s="43"/>
      <c r="I16" s="2"/>
      <c r="M16" s="4"/>
      <c r="N16" s="2"/>
      <c r="Q16" s="43"/>
      <c r="S16" s="27">
        <f t="shared" si="0"/>
        <v>41825</v>
      </c>
      <c r="T16" s="29">
        <f>SUMIFS(Table4420121[Amount],Table4420121[Date],S16,Table4420121[Category],Table136115[[#Headers],[Income]])+SUMIFS(Table44120[Amount],Table44120[Date],S16,Table44120[Category],Table136115[[#Headers],[Income]])</f>
        <v>0</v>
      </c>
      <c r="U16" s="29">
        <f>SUMIFS(Table4114[Amount],Table4114[Date],S16,Table4114[Category],"&lt;&gt;"&amp;Table136115[[#Headers],[Income]])+SUMIFS(Table44120[Amount],Table44120[Date],S16,Table44120[Category],"&lt;&gt;"&amp;Table136115[[#Headers],[Income]])</f>
        <v>0</v>
      </c>
      <c r="V16" s="29">
        <f t="shared" si="1"/>
        <v>1156.74</v>
      </c>
      <c r="W16" s="1">
        <f t="shared" si="2"/>
        <v>1156.7400000000005</v>
      </c>
    </row>
    <row r="17" spans="2:23" x14ac:dyDescent="0.2">
      <c r="B17" s="32"/>
      <c r="C17" s="20"/>
      <c r="D17" s="21"/>
      <c r="E17" s="21"/>
      <c r="F17" s="21"/>
      <c r="G17" s="36"/>
      <c r="H17" s="43"/>
      <c r="I17" s="2"/>
      <c r="J17" s="37" t="s">
        <v>43</v>
      </c>
      <c r="K17" s="38"/>
      <c r="L17" s="38"/>
      <c r="M17" s="38"/>
      <c r="N17" s="38"/>
      <c r="O17" s="39"/>
      <c r="Q17" s="43"/>
      <c r="S17" s="30">
        <f t="shared" si="0"/>
        <v>41826</v>
      </c>
      <c r="T17" s="28">
        <f>SUMIFS(Table4420121[Amount],Table4420121[Date],S17,Table4420121[Category],Table136115[[#Headers],[Income]])+SUMIFS(Table44120[Amount],Table44120[Date],S17,Table44120[Category],Table136115[[#Headers],[Income]])</f>
        <v>0</v>
      </c>
      <c r="U17" s="28">
        <f>SUMIFS(Table4114[Amount],Table4114[Date],S17,Table4114[Category],"&lt;&gt;"&amp;Table136115[[#Headers],[Income]])+SUMIFS(Table44120[Amount],Table44120[Date],S17,Table44120[Category],"&lt;&gt;"&amp;Table136115[[#Headers],[Income]])</f>
        <v>0</v>
      </c>
      <c r="V17" s="28">
        <f t="shared" si="1"/>
        <v>1156.74</v>
      </c>
      <c r="W17" s="1">
        <f t="shared" si="2"/>
        <v>1156.7400000000005</v>
      </c>
    </row>
    <row r="18" spans="2:23" x14ac:dyDescent="0.2">
      <c r="B18" s="32"/>
      <c r="C18" s="37" t="str">
        <f>CONCATENATE(Table1112[[#Headers],[Housing]]," - Budget &amp; Tracking")</f>
        <v>Housing - Budget &amp; Tracking</v>
      </c>
      <c r="D18" s="38"/>
      <c r="E18" s="38"/>
      <c r="F18" s="39"/>
      <c r="G18" s="36"/>
      <c r="H18" s="43"/>
      <c r="I18" s="2"/>
      <c r="J18" s="31" t="s">
        <v>9</v>
      </c>
      <c r="K18" s="31" t="s">
        <v>0</v>
      </c>
      <c r="L18" s="31" t="s">
        <v>13</v>
      </c>
      <c r="M18" s="31" t="s">
        <v>10</v>
      </c>
      <c r="N18" s="31" t="s">
        <v>11</v>
      </c>
      <c r="O18" s="31" t="s">
        <v>16</v>
      </c>
      <c r="Q18" s="43"/>
      <c r="S18" s="27">
        <f t="shared" si="0"/>
        <v>41827</v>
      </c>
      <c r="T18" s="29">
        <f>SUMIFS(Table4420121[Amount],Table4420121[Date],S18,Table4420121[Category],Table136115[[#Headers],[Income]])+SUMIFS(Table44120[Amount],Table44120[Date],S18,Table44120[Category],Table136115[[#Headers],[Income]])</f>
        <v>0</v>
      </c>
      <c r="U18" s="29">
        <f>SUMIFS(Table4114[Amount],Table4114[Date],S18,Table4114[Category],"&lt;&gt;"&amp;Table136115[[#Headers],[Income]])+SUMIFS(Table44120[Amount],Table44120[Date],S18,Table44120[Category],"&lt;&gt;"&amp;Table136115[[#Headers],[Income]])</f>
        <v>0</v>
      </c>
      <c r="V18" s="29">
        <f t="shared" si="1"/>
        <v>1156.74</v>
      </c>
      <c r="W18" s="1">
        <f t="shared" si="2"/>
        <v>1156.7400000000005</v>
      </c>
    </row>
    <row r="19" spans="2:23" x14ac:dyDescent="0.2">
      <c r="B19" s="32"/>
      <c r="C19" s="31" t="s">
        <v>8</v>
      </c>
      <c r="D19" s="31" t="s">
        <v>1</v>
      </c>
      <c r="E19" s="31" t="s">
        <v>2</v>
      </c>
      <c r="F19" s="31" t="s">
        <v>14</v>
      </c>
      <c r="G19" s="36"/>
      <c r="H19" s="43"/>
      <c r="I19" s="2"/>
      <c r="M19" s="4"/>
      <c r="N19" s="2"/>
      <c r="Q19" s="43"/>
      <c r="S19" s="30">
        <f t="shared" si="0"/>
        <v>41828</v>
      </c>
      <c r="T19" s="28">
        <f>SUMIFS(Table4420121[Amount],Table4420121[Date],S19,Table4420121[Category],Table136115[[#Headers],[Income]])+SUMIFS(Table44120[Amount],Table44120[Date],S19,Table44120[Category],Table136115[[#Headers],[Income]])</f>
        <v>0</v>
      </c>
      <c r="U19" s="28">
        <f>SUMIFS(Table4114[Amount],Table4114[Date],S19,Table4114[Category],"&lt;&gt;"&amp;Table136115[[#Headers],[Income]])+SUMIFS(Table44120[Amount],Table44120[Date],S19,Table44120[Category],"&lt;&gt;"&amp;Table136115[[#Headers],[Income]])</f>
        <v>0</v>
      </c>
      <c r="V19" s="28">
        <f t="shared" si="1"/>
        <v>1156.74</v>
      </c>
      <c r="W19" s="1">
        <f t="shared" si="2"/>
        <v>1156.7400000000005</v>
      </c>
    </row>
    <row r="20" spans="2:23" x14ac:dyDescent="0.2">
      <c r="B20" s="32"/>
      <c r="D20" s="2"/>
      <c r="E20" s="2">
        <f>SUMIFS(Table4114[Amount],Table4114[Category],Table1112[[#Headers],[Housing]],Table4114[Sub-Category],Table1112[[#This Row],[Housing]])+SUMIFS(Table44120[Amount],Table44120[Category],Table1112[[#Headers],[Housing]],Table44120[Sub-Category],Table1112[[#This Row],[Housing]])</f>
        <v>0</v>
      </c>
      <c r="F20" s="3">
        <f>Table1112[[#This Row],[Budget]]-Table1112[[#This Row],[Actual]]</f>
        <v>0</v>
      </c>
      <c r="G20" s="36"/>
      <c r="H20" s="43"/>
      <c r="I20" s="2"/>
      <c r="J20" s="11"/>
      <c r="K20" s="11"/>
      <c r="L20" s="11"/>
      <c r="M20" s="24"/>
      <c r="N20" s="12"/>
      <c r="O20" s="11"/>
      <c r="Q20" s="43"/>
      <c r="S20" s="27">
        <f t="shared" si="0"/>
        <v>41829</v>
      </c>
      <c r="T20" s="29">
        <f>SUMIFS(Table4420121[Amount],Table4420121[Date],S20,Table4420121[Category],Table136115[[#Headers],[Income]])+SUMIFS(Table44120[Amount],Table44120[Date],S20,Table44120[Category],Table136115[[#Headers],[Income]])</f>
        <v>0</v>
      </c>
      <c r="U20" s="29">
        <f>SUMIFS(Table4114[Amount],Table4114[Date],S20,Table4114[Category],"&lt;&gt;"&amp;Table136115[[#Headers],[Income]])+SUMIFS(Table44120[Amount],Table44120[Date],S20,Table44120[Category],"&lt;&gt;"&amp;Table136115[[#Headers],[Income]])</f>
        <v>0</v>
      </c>
      <c r="V20" s="29">
        <f t="shared" si="1"/>
        <v>1156.74</v>
      </c>
      <c r="W20" s="1">
        <f t="shared" si="2"/>
        <v>1156.7400000000005</v>
      </c>
    </row>
    <row r="21" spans="2:23" x14ac:dyDescent="0.2">
      <c r="B21" s="32"/>
      <c r="D21" s="2"/>
      <c r="E21" s="2">
        <f>SUMIFS(Table4114[Amount],Table4114[Category],Table1112[[#Headers],[Housing]],Table4114[Sub-Category],Table1112[[#This Row],[Housing]])+SUMIFS(Table44120[Amount],Table44120[Category],Table1112[[#Headers],[Housing]],Table44120[Sub-Category],Table1112[[#This Row],[Housing]])</f>
        <v>0</v>
      </c>
      <c r="F21" s="3">
        <f>Table1112[[#This Row],[Budget]]-Table1112[[#This Row],[Actual]]</f>
        <v>0</v>
      </c>
      <c r="G21" s="36"/>
      <c r="H21" s="43"/>
      <c r="I21" s="2"/>
      <c r="J21" s="11"/>
      <c r="K21" s="11"/>
      <c r="L21" s="11"/>
      <c r="M21" s="24"/>
      <c r="N21" s="12"/>
      <c r="O21" s="11"/>
      <c r="Q21" s="43"/>
      <c r="S21" s="30">
        <f t="shared" si="0"/>
        <v>41830</v>
      </c>
      <c r="T21" s="28">
        <f>SUMIFS(Table4420121[Amount],Table4420121[Date],S21,Table4420121[Category],Table136115[[#Headers],[Income]])+SUMIFS(Table44120[Amount],Table44120[Date],S21,Table44120[Category],Table136115[[#Headers],[Income]])</f>
        <v>0</v>
      </c>
      <c r="U21" s="28">
        <f>SUMIFS(Table4114[Amount],Table4114[Date],S21,Table4114[Category],"&lt;&gt;"&amp;Table136115[[#Headers],[Income]])+SUMIFS(Table44120[Amount],Table44120[Date],S21,Table44120[Category],"&lt;&gt;"&amp;Table136115[[#Headers],[Income]])</f>
        <v>0</v>
      </c>
      <c r="V21" s="28">
        <f t="shared" si="1"/>
        <v>1156.74</v>
      </c>
      <c r="W21" s="1">
        <f t="shared" si="2"/>
        <v>1156.7400000000005</v>
      </c>
    </row>
    <row r="22" spans="2:23" x14ac:dyDescent="0.2">
      <c r="B22" s="32"/>
      <c r="D22" s="2"/>
      <c r="E22" s="2">
        <f>SUMIFS(Table4114[Amount],Table4114[Category],Table1112[[#Headers],[Housing]],Table4114[Sub-Category],Table1112[[#This Row],[Housing]])+SUMIFS(Table44120[Amount],Table44120[Category],Table1112[[#Headers],[Housing]],Table44120[Sub-Category],Table1112[[#This Row],[Housing]])</f>
        <v>0</v>
      </c>
      <c r="F22" s="3">
        <f>Table1112[[#This Row],[Budget]]-Table1112[[#This Row],[Actual]]</f>
        <v>0</v>
      </c>
      <c r="G22" s="36"/>
      <c r="H22" s="43"/>
      <c r="I22" s="2"/>
      <c r="J22" s="11"/>
      <c r="K22" s="11"/>
      <c r="L22" s="11"/>
      <c r="M22" s="24"/>
      <c r="N22" s="12"/>
      <c r="O22" s="11"/>
      <c r="Q22" s="43"/>
      <c r="S22" s="27">
        <f t="shared" si="0"/>
        <v>41831</v>
      </c>
      <c r="T22" s="29">
        <f>SUMIFS(Table4420121[Amount],Table4420121[Date],S22,Table4420121[Category],Table136115[[#Headers],[Income]])+SUMIFS(Table44120[Amount],Table44120[Date],S22,Table44120[Category],Table136115[[#Headers],[Income]])</f>
        <v>0</v>
      </c>
      <c r="U22" s="29">
        <f>SUMIFS(Table4114[Amount],Table4114[Date],S22,Table4114[Category],"&lt;&gt;"&amp;Table136115[[#Headers],[Income]])+SUMIFS(Table44120[Amount],Table44120[Date],S22,Table44120[Category],"&lt;&gt;"&amp;Table136115[[#Headers],[Income]])</f>
        <v>0</v>
      </c>
      <c r="V22" s="29">
        <f t="shared" si="1"/>
        <v>1156.74</v>
      </c>
      <c r="W22" s="1">
        <f t="shared" si="2"/>
        <v>1156.7400000000005</v>
      </c>
    </row>
    <row r="23" spans="2:23" x14ac:dyDescent="0.2">
      <c r="B23" s="32"/>
      <c r="D23" s="2"/>
      <c r="E23" s="2">
        <f>SUMIFS(Table4114[Amount],Table4114[Category],Table1112[[#Headers],[Housing]],Table4114[Sub-Category],Table1112[[#This Row],[Housing]])+SUMIFS(Table44120[Amount],Table44120[Category],Table1112[[#Headers],[Housing]],Table44120[Sub-Category],Table1112[[#This Row],[Housing]])</f>
        <v>0</v>
      </c>
      <c r="F23" s="3">
        <f>Table1112[[#This Row],[Budget]]-Table1112[[#This Row],[Actual]]</f>
        <v>0</v>
      </c>
      <c r="G23" s="36"/>
      <c r="H23" s="43"/>
      <c r="I23" s="2"/>
      <c r="J23" s="11"/>
      <c r="K23" s="11"/>
      <c r="L23" s="11"/>
      <c r="M23" s="24"/>
      <c r="N23" s="12"/>
      <c r="O23" s="11"/>
      <c r="Q23" s="43"/>
      <c r="S23" s="30">
        <f t="shared" si="0"/>
        <v>41832</v>
      </c>
      <c r="T23" s="28">
        <f>SUMIFS(Table4420121[Amount],Table4420121[Date],S23,Table4420121[Category],Table136115[[#Headers],[Income]])+SUMIFS(Table44120[Amount],Table44120[Date],S23,Table44120[Category],Table136115[[#Headers],[Income]])</f>
        <v>0</v>
      </c>
      <c r="U23" s="28">
        <f>SUMIFS(Table4114[Amount],Table4114[Date],S23,Table4114[Category],"&lt;&gt;"&amp;Table136115[[#Headers],[Income]])+SUMIFS(Table44120[Amount],Table44120[Date],S23,Table44120[Category],"&lt;&gt;"&amp;Table136115[[#Headers],[Income]])</f>
        <v>0</v>
      </c>
      <c r="V23" s="28">
        <f t="shared" si="1"/>
        <v>1156.74</v>
      </c>
      <c r="W23" s="1">
        <f t="shared" si="2"/>
        <v>1156.7400000000005</v>
      </c>
    </row>
    <row r="24" spans="2:23" x14ac:dyDescent="0.2">
      <c r="B24" s="32"/>
      <c r="D24" s="2"/>
      <c r="E24" s="2">
        <f>SUMIFS(Table4114[Amount],Table4114[Category],Table1112[[#Headers],[Housing]],Table4114[Sub-Category],Table1112[[#This Row],[Housing]])+SUMIFS(Table44120[Amount],Table44120[Category],Table1112[[#Headers],[Housing]],Table44120[Sub-Category],Table1112[[#This Row],[Housing]])</f>
        <v>0</v>
      </c>
      <c r="F24" s="3">
        <f>Table1112[[#This Row],[Budget]]-Table1112[[#This Row],[Actual]]</f>
        <v>0</v>
      </c>
      <c r="G24" s="36"/>
      <c r="H24" s="43"/>
      <c r="I24" s="2"/>
      <c r="J24" s="11"/>
      <c r="K24" s="11"/>
      <c r="L24" s="11"/>
      <c r="M24" s="24"/>
      <c r="N24" s="12"/>
      <c r="O24" s="11"/>
      <c r="Q24" s="43"/>
      <c r="S24" s="27">
        <f t="shared" si="0"/>
        <v>41833</v>
      </c>
      <c r="T24" s="29">
        <f>SUMIFS(Table4420121[Amount],Table4420121[Date],S24,Table4420121[Category],Table136115[[#Headers],[Income]])+SUMIFS(Table44120[Amount],Table44120[Date],S24,Table44120[Category],Table136115[[#Headers],[Income]])</f>
        <v>0</v>
      </c>
      <c r="U24" s="29">
        <f>SUMIFS(Table4114[Amount],Table4114[Date],S24,Table4114[Category],"&lt;&gt;"&amp;Table136115[[#Headers],[Income]])+SUMIFS(Table44120[Amount],Table44120[Date],S24,Table44120[Category],"&lt;&gt;"&amp;Table136115[[#Headers],[Income]])</f>
        <v>0</v>
      </c>
      <c r="V24" s="29">
        <f t="shared" si="1"/>
        <v>1156.74</v>
      </c>
      <c r="W24" s="1">
        <f t="shared" si="2"/>
        <v>1156.7400000000005</v>
      </c>
    </row>
    <row r="25" spans="2:23" x14ac:dyDescent="0.2">
      <c r="B25" s="32"/>
      <c r="D25" s="2"/>
      <c r="E25" s="2">
        <f>SUMIFS(Table4114[Amount],Table4114[Category],Table1112[[#Headers],[Housing]],Table4114[Sub-Category],Table1112[[#This Row],[Housing]])+SUMIFS(Table44120[Amount],Table44120[Category],Table1112[[#Headers],[Housing]],Table44120[Sub-Category],Table1112[[#This Row],[Housing]])</f>
        <v>0</v>
      </c>
      <c r="F25" s="3">
        <f>Table1112[[#This Row],[Budget]]-Table1112[[#This Row],[Actual]]</f>
        <v>0</v>
      </c>
      <c r="G25" s="32"/>
      <c r="H25" s="42"/>
      <c r="J25" s="11"/>
      <c r="K25" s="11"/>
      <c r="L25" s="11"/>
      <c r="M25" s="24"/>
      <c r="N25" s="12"/>
      <c r="O25" s="11"/>
      <c r="Q25" s="42"/>
      <c r="S25" s="30">
        <f t="shared" si="0"/>
        <v>41834</v>
      </c>
      <c r="T25" s="28">
        <f>SUMIFS(Table4420121[Amount],Table4420121[Date],S25,Table4420121[Category],Table136115[[#Headers],[Income]])+SUMIFS(Table44120[Amount],Table44120[Date],S25,Table44120[Category],Table136115[[#Headers],[Income]])</f>
        <v>0</v>
      </c>
      <c r="U25" s="28">
        <f>SUMIFS(Table4114[Amount],Table4114[Date],S25,Table4114[Category],"&lt;&gt;"&amp;Table136115[[#Headers],[Income]])+SUMIFS(Table44120[Amount],Table44120[Date],S25,Table44120[Category],"&lt;&gt;"&amp;Table136115[[#Headers],[Income]])</f>
        <v>0</v>
      </c>
      <c r="V25" s="28">
        <f t="shared" si="1"/>
        <v>1156.74</v>
      </c>
      <c r="W25" s="1">
        <f t="shared" si="2"/>
        <v>1156.7400000000005</v>
      </c>
    </row>
    <row r="26" spans="2:23" x14ac:dyDescent="0.2">
      <c r="B26" s="32"/>
      <c r="D26" s="2"/>
      <c r="E26" s="2">
        <f>SUMIFS(Table4114[Amount],Table4114[Category],Table1112[[#Headers],[Housing]],Table4114[Sub-Category],Table1112[[#This Row],[Housing]])+SUMIFS(Table44120[Amount],Table44120[Category],Table1112[[#Headers],[Housing]],Table44120[Sub-Category],Table1112[[#This Row],[Housing]])</f>
        <v>0</v>
      </c>
      <c r="F26" s="3">
        <f>Table1112[[#This Row],[Budget]]-Table1112[[#This Row],[Actual]]</f>
        <v>0</v>
      </c>
      <c r="G26" s="32"/>
      <c r="H26" s="42"/>
      <c r="J26" s="11"/>
      <c r="K26" s="11"/>
      <c r="L26" s="11"/>
      <c r="M26" s="24"/>
      <c r="N26" s="12"/>
      <c r="O26" s="11"/>
      <c r="Q26" s="42"/>
      <c r="S26" s="27">
        <f t="shared" si="0"/>
        <v>41835</v>
      </c>
      <c r="T26" s="29">
        <f>SUMIFS(Table4420121[Amount],Table4420121[Date],S26,Table4420121[Category],Table136115[[#Headers],[Income]])+SUMIFS(Table44120[Amount],Table44120[Date],S26,Table44120[Category],Table136115[[#Headers],[Income]])</f>
        <v>0</v>
      </c>
      <c r="U26" s="29">
        <f>SUMIFS(Table4114[Amount],Table4114[Date],S26,Table4114[Category],"&lt;&gt;"&amp;Table136115[[#Headers],[Income]])+SUMIFS(Table44120[Amount],Table44120[Date],S26,Table44120[Category],"&lt;&gt;"&amp;Table136115[[#Headers],[Income]])</f>
        <v>0</v>
      </c>
      <c r="V26" s="29">
        <f t="shared" si="1"/>
        <v>1156.74</v>
      </c>
      <c r="W26" s="1">
        <f t="shared" si="2"/>
        <v>1156.7400000000005</v>
      </c>
    </row>
    <row r="27" spans="2:23" x14ac:dyDescent="0.2">
      <c r="B27" s="32"/>
      <c r="D27" s="2"/>
      <c r="E27" s="2">
        <f>SUMIFS(Table4114[Amount],Table4114[Category],Table1112[[#Headers],[Housing]],Table4114[Sub-Category],Table1112[[#This Row],[Housing]])+SUMIFS(Table44120[Amount],Table44120[Category],Table1112[[#Headers],[Housing]],Table44120[Sub-Category],Table1112[[#This Row],[Housing]])</f>
        <v>0</v>
      </c>
      <c r="F27" s="3">
        <f>Table1112[[#This Row],[Budget]]-Table1112[[#This Row],[Actual]]</f>
        <v>0</v>
      </c>
      <c r="G27" s="36"/>
      <c r="H27" s="43"/>
      <c r="I27" s="2"/>
      <c r="J27" s="11"/>
      <c r="K27" s="11"/>
      <c r="L27" s="11"/>
      <c r="M27" s="24"/>
      <c r="N27" s="12"/>
      <c r="O27" s="11"/>
      <c r="Q27" s="43"/>
      <c r="S27" s="30">
        <f t="shared" si="0"/>
        <v>41836</v>
      </c>
      <c r="T27" s="28">
        <f>SUMIFS(Table4420121[Amount],Table4420121[Date],S27,Table4420121[Category],Table136115[[#Headers],[Income]])+SUMIFS(Table44120[Amount],Table44120[Date],S27,Table44120[Category],Table136115[[#Headers],[Income]])</f>
        <v>0</v>
      </c>
      <c r="U27" s="28">
        <f>SUMIFS(Table4114[Amount],Table4114[Date],S27,Table4114[Category],"&lt;&gt;"&amp;Table136115[[#Headers],[Income]])+SUMIFS(Table44120[Amount],Table44120[Date],S27,Table44120[Category],"&lt;&gt;"&amp;Table136115[[#Headers],[Income]])</f>
        <v>0</v>
      </c>
      <c r="V27" s="28">
        <f t="shared" si="1"/>
        <v>1156.74</v>
      </c>
      <c r="W27" s="1">
        <f t="shared" si="2"/>
        <v>1156.7400000000005</v>
      </c>
    </row>
    <row r="28" spans="2:23" x14ac:dyDescent="0.2">
      <c r="B28" s="32"/>
      <c r="C28" s="11"/>
      <c r="D28" s="12"/>
      <c r="E28" s="13">
        <f>SUMIFS(Table4114[Amount],Table4114[Category],Table1112[[#Headers],[Housing]],Table4114[Sub-Category],Table1112[[#This Row],[Housing]])+SUMIFS(Table44120[Amount],Table44120[Category],Table1112[[#Headers],[Housing]],Table44120[Sub-Category],Table1112[[#This Row],[Housing]])</f>
        <v>0</v>
      </c>
      <c r="F28" s="13">
        <f>Table1112[[#This Row],[Budget]]-Table1112[[#This Row],[Actual]]</f>
        <v>0</v>
      </c>
      <c r="G28" s="36"/>
      <c r="H28" s="43"/>
      <c r="I28" s="2"/>
      <c r="J28" s="11"/>
      <c r="K28" s="11"/>
      <c r="L28" s="11"/>
      <c r="M28" s="24"/>
      <c r="N28" s="12"/>
      <c r="O28" s="11"/>
      <c r="Q28" s="43"/>
      <c r="S28" s="27">
        <f t="shared" si="0"/>
        <v>41837</v>
      </c>
      <c r="T28" s="29">
        <f>SUMIFS(Table4420121[Amount],Table4420121[Date],S28,Table4420121[Category],Table136115[[#Headers],[Income]])+SUMIFS(Table44120[Amount],Table44120[Date],S28,Table44120[Category],Table136115[[#Headers],[Income]])</f>
        <v>0</v>
      </c>
      <c r="U28" s="29">
        <f>SUMIFS(Table4114[Amount],Table4114[Date],S28,Table4114[Category],"&lt;&gt;"&amp;Table136115[[#Headers],[Income]])+SUMIFS(Table44120[Amount],Table44120[Date],S28,Table44120[Category],"&lt;&gt;"&amp;Table136115[[#Headers],[Income]])</f>
        <v>0</v>
      </c>
      <c r="V28" s="29">
        <f t="shared" si="1"/>
        <v>1156.74</v>
      </c>
      <c r="W28" s="1">
        <f t="shared" si="2"/>
        <v>1156.7400000000005</v>
      </c>
    </row>
    <row r="29" spans="2:23" x14ac:dyDescent="0.2">
      <c r="B29" s="32"/>
      <c r="C29" s="9" t="s">
        <v>20</v>
      </c>
      <c r="D29" s="10">
        <f>SUBTOTAL(109,Table1112[Budget])</f>
        <v>0</v>
      </c>
      <c r="E29" s="10">
        <f>SUBTOTAL(109,Table1112[Actual])</f>
        <v>0</v>
      </c>
      <c r="F29" s="10">
        <f>SUBTOTAL(109,Table1112[Variance])</f>
        <v>0</v>
      </c>
      <c r="G29" s="32"/>
      <c r="H29" s="42"/>
      <c r="J29" s="11"/>
      <c r="K29" s="11"/>
      <c r="L29" s="11"/>
      <c r="M29" s="24"/>
      <c r="N29" s="12"/>
      <c r="O29" s="11"/>
      <c r="Q29" s="42"/>
      <c r="S29" s="30">
        <f t="shared" si="0"/>
        <v>41838</v>
      </c>
      <c r="T29" s="28">
        <f>SUMIFS(Table4420121[Amount],Table4420121[Date],S29,Table4420121[Category],Table136115[[#Headers],[Income]])+SUMIFS(Table44120[Amount],Table44120[Date],S29,Table44120[Category],Table136115[[#Headers],[Income]])</f>
        <v>0</v>
      </c>
      <c r="U29" s="28">
        <f>SUMIFS(Table4114[Amount],Table4114[Date],S29,Table4114[Category],"&lt;&gt;"&amp;Table136115[[#Headers],[Income]])+SUMIFS(Table44120[Amount],Table44120[Date],S29,Table44120[Category],"&lt;&gt;"&amp;Table136115[[#Headers],[Income]])</f>
        <v>0</v>
      </c>
      <c r="V29" s="28">
        <f t="shared" si="1"/>
        <v>1156.74</v>
      </c>
      <c r="W29" s="1">
        <f t="shared" si="2"/>
        <v>1156.7400000000005</v>
      </c>
    </row>
    <row r="30" spans="2:23" x14ac:dyDescent="0.2">
      <c r="B30" s="32"/>
      <c r="C30" s="26"/>
      <c r="D30" s="23"/>
      <c r="E30" s="23"/>
      <c r="F30" s="23"/>
      <c r="G30" s="32"/>
      <c r="H30" s="42"/>
      <c r="J30" s="11"/>
      <c r="K30" s="11"/>
      <c r="L30" s="11"/>
      <c r="M30" s="24"/>
      <c r="N30" s="12"/>
      <c r="O30" s="11"/>
      <c r="Q30" s="42"/>
      <c r="S30" s="27">
        <f t="shared" si="0"/>
        <v>41839</v>
      </c>
      <c r="T30" s="29">
        <f>SUMIFS(Table4420121[Amount],Table4420121[Date],S30,Table4420121[Category],Table136115[[#Headers],[Income]])+SUMIFS(Table44120[Amount],Table44120[Date],S30,Table44120[Category],Table136115[[#Headers],[Income]])</f>
        <v>0</v>
      </c>
      <c r="U30" s="29">
        <f>SUMIFS(Table4114[Amount],Table4114[Date],S30,Table4114[Category],"&lt;&gt;"&amp;Table136115[[#Headers],[Income]])+SUMIFS(Table44120[Amount],Table44120[Date],S30,Table44120[Category],"&lt;&gt;"&amp;Table136115[[#Headers],[Income]])</f>
        <v>0</v>
      </c>
      <c r="V30" s="29">
        <f t="shared" si="1"/>
        <v>1156.74</v>
      </c>
      <c r="W30" s="1">
        <f t="shared" si="2"/>
        <v>1156.7400000000005</v>
      </c>
    </row>
    <row r="31" spans="2:23" x14ac:dyDescent="0.2">
      <c r="B31" s="32"/>
      <c r="C31" s="37" t="str">
        <f>CONCATENATE(Table13113[[#Headers],[Transportation]]," - Budget &amp; Tracking")</f>
        <v>Transportation - Budget &amp; Tracking</v>
      </c>
      <c r="D31" s="38"/>
      <c r="E31" s="38"/>
      <c r="F31" s="39"/>
      <c r="G31" s="32"/>
      <c r="H31" s="42"/>
      <c r="J31" s="11"/>
      <c r="K31" s="11"/>
      <c r="L31" s="11"/>
      <c r="M31" s="24"/>
      <c r="N31" s="12"/>
      <c r="O31" s="11"/>
      <c r="Q31" s="42"/>
      <c r="S31" s="30">
        <f t="shared" si="0"/>
        <v>41840</v>
      </c>
      <c r="T31" s="28">
        <f>SUMIFS(Table4420121[Amount],Table4420121[Date],S31,Table4420121[Category],Table136115[[#Headers],[Income]])+SUMIFS(Table44120[Amount],Table44120[Date],S31,Table44120[Category],Table136115[[#Headers],[Income]])</f>
        <v>0</v>
      </c>
      <c r="U31" s="28">
        <f>SUMIFS(Table4114[Amount],Table4114[Date],S31,Table4114[Category],"&lt;&gt;"&amp;Table136115[[#Headers],[Income]])+SUMIFS(Table44120[Amount],Table44120[Date],S31,Table44120[Category],"&lt;&gt;"&amp;Table136115[[#Headers],[Income]])</f>
        <v>0</v>
      </c>
      <c r="V31" s="28">
        <f t="shared" si="1"/>
        <v>1156.74</v>
      </c>
      <c r="W31" s="1">
        <f t="shared" si="2"/>
        <v>1156.7400000000005</v>
      </c>
    </row>
    <row r="32" spans="2:23" x14ac:dyDescent="0.2">
      <c r="B32" s="32"/>
      <c r="C32" s="31" t="s">
        <v>12</v>
      </c>
      <c r="D32" s="31" t="s">
        <v>1</v>
      </c>
      <c r="E32" s="31" t="s">
        <v>2</v>
      </c>
      <c r="F32" s="31" t="s">
        <v>14</v>
      </c>
      <c r="G32" s="32"/>
      <c r="H32" s="42"/>
      <c r="J32" s="11"/>
      <c r="K32" s="11"/>
      <c r="L32" s="11"/>
      <c r="M32" s="24"/>
      <c r="N32" s="12"/>
      <c r="O32" s="11"/>
      <c r="Q32" s="42"/>
      <c r="S32" s="27">
        <f t="shared" si="0"/>
        <v>41841</v>
      </c>
      <c r="T32" s="29">
        <f>SUMIFS(Table4420121[Amount],Table4420121[Date],S32,Table4420121[Category],Table136115[[#Headers],[Income]])+SUMIFS(Table44120[Amount],Table44120[Date],S32,Table44120[Category],Table136115[[#Headers],[Income]])</f>
        <v>0</v>
      </c>
      <c r="U32" s="29">
        <f>SUMIFS(Table4114[Amount],Table4114[Date],S32,Table4114[Category],"&lt;&gt;"&amp;Table136115[[#Headers],[Income]])+SUMIFS(Table44120[Amount],Table44120[Date],S32,Table44120[Category],"&lt;&gt;"&amp;Table136115[[#Headers],[Income]])</f>
        <v>0</v>
      </c>
      <c r="V32" s="29">
        <f t="shared" si="1"/>
        <v>1156.74</v>
      </c>
      <c r="W32" s="1">
        <f t="shared" si="2"/>
        <v>1156.7400000000005</v>
      </c>
    </row>
    <row r="33" spans="2:23" x14ac:dyDescent="0.2">
      <c r="B33" s="32"/>
      <c r="D33" s="2"/>
      <c r="E33" s="2">
        <f>SUMIFS(Table4114[Amount],Table4114[Category],Table13113[[#Headers],[Transportation]],Table4114[Sub-Category],Table13113[[#This Row],[Transportation]])+SUMIFS(Table44120[Amount],Table44120[Category],Table13113[[#Headers],[Transportation]],Table44120[Sub-Category],Table13113[[#This Row],[Transportation]])</f>
        <v>0</v>
      </c>
      <c r="F33" s="3">
        <f>Table13113[[#This Row],[Budget]]-Table13113[[#This Row],[Actual]]</f>
        <v>0</v>
      </c>
      <c r="G33" s="32"/>
      <c r="H33" s="42"/>
      <c r="J33" s="37" t="s">
        <v>44</v>
      </c>
      <c r="K33" s="38"/>
      <c r="L33" s="38"/>
      <c r="M33" s="38"/>
      <c r="N33" s="38"/>
      <c r="O33" s="39"/>
      <c r="Q33" s="42"/>
      <c r="S33" s="30">
        <f t="shared" si="0"/>
        <v>41842</v>
      </c>
      <c r="T33" s="28">
        <f>SUMIFS(Table4420121[Amount],Table4420121[Date],S33,Table4420121[Category],Table136115[[#Headers],[Income]])+SUMIFS(Table44120[Amount],Table44120[Date],S33,Table44120[Category],Table136115[[#Headers],[Income]])</f>
        <v>0</v>
      </c>
      <c r="U33" s="28">
        <f>SUMIFS(Table4114[Amount],Table4114[Date],S33,Table4114[Category],"&lt;&gt;"&amp;Table136115[[#Headers],[Income]])+SUMIFS(Table44120[Amount],Table44120[Date],S33,Table44120[Category],"&lt;&gt;"&amp;Table136115[[#Headers],[Income]])</f>
        <v>0</v>
      </c>
      <c r="V33" s="28">
        <f t="shared" si="1"/>
        <v>1156.74</v>
      </c>
      <c r="W33" s="1">
        <f t="shared" si="2"/>
        <v>1156.7400000000005</v>
      </c>
    </row>
    <row r="34" spans="2:23" x14ac:dyDescent="0.2">
      <c r="B34" s="32"/>
      <c r="D34" s="2"/>
      <c r="E34" s="2">
        <f>SUMIFS(Table4114[Amount],Table4114[Category],Table13113[[#Headers],[Transportation]],Table4114[Sub-Category],Table13113[[#This Row],[Transportation]])+SUMIFS(Table44120[Amount],Table44120[Category],Table13113[[#Headers],[Transportation]],Table44120[Sub-Category],Table13113[[#This Row],[Transportation]])</f>
        <v>0</v>
      </c>
      <c r="F34" s="3">
        <f>Table13113[[#This Row],[Budget]]-Table13113[[#This Row],[Actual]]</f>
        <v>0</v>
      </c>
      <c r="G34" s="32"/>
      <c r="H34" s="42"/>
      <c r="J34" s="31" t="s">
        <v>9</v>
      </c>
      <c r="K34" s="31" t="s">
        <v>0</v>
      </c>
      <c r="L34" s="31" t="s">
        <v>13</v>
      </c>
      <c r="M34" s="31" t="s">
        <v>10</v>
      </c>
      <c r="N34" s="31" t="s">
        <v>11</v>
      </c>
      <c r="O34" s="31" t="s">
        <v>16</v>
      </c>
      <c r="Q34" s="42"/>
      <c r="S34" s="27">
        <f t="shared" si="0"/>
        <v>41843</v>
      </c>
      <c r="T34" s="29">
        <f>SUMIFS(Table4420121[Amount],Table4420121[Date],S34,Table4420121[Category],Table136115[[#Headers],[Income]])+SUMIFS(Table44120[Amount],Table44120[Date],S34,Table44120[Category],Table136115[[#Headers],[Income]])</f>
        <v>0</v>
      </c>
      <c r="U34" s="29">
        <f>SUMIFS(Table4114[Amount],Table4114[Date],S34,Table4114[Category],"&lt;&gt;"&amp;Table136115[[#Headers],[Income]])+SUMIFS(Table44120[Amount],Table44120[Date],S34,Table44120[Category],"&lt;&gt;"&amp;Table136115[[#Headers],[Income]])</f>
        <v>0</v>
      </c>
      <c r="V34" s="29">
        <f t="shared" si="1"/>
        <v>1156.74</v>
      </c>
      <c r="W34" s="1">
        <f t="shared" si="2"/>
        <v>1156.7400000000005</v>
      </c>
    </row>
    <row r="35" spans="2:23" x14ac:dyDescent="0.2">
      <c r="B35" s="32"/>
      <c r="C35" s="11"/>
      <c r="D35" s="12"/>
      <c r="E35" s="13">
        <f>SUMIFS(Table4114[Amount],Table4114[Category],Table13113[[#Headers],[Transportation]],Table4114[Sub-Category],Table13113[[#This Row],[Transportation]])+SUMIFS(Table44120[Amount],Table44120[Category],Table13113[[#Headers],[Transportation]],Table44120[Sub-Category],Table13113[[#This Row],[Transportation]])</f>
        <v>0</v>
      </c>
      <c r="F35" s="13">
        <f>Table13113[[#This Row],[Budget]]-Table13113[[#This Row],[Actual]]</f>
        <v>0</v>
      </c>
      <c r="G35" s="32"/>
      <c r="H35" s="42"/>
      <c r="M35" s="4"/>
      <c r="N35" s="2"/>
      <c r="Q35" s="42"/>
      <c r="S35" s="30">
        <f t="shared" si="0"/>
        <v>41844</v>
      </c>
      <c r="T35" s="28">
        <f>SUMIFS(Table4420121[Amount],Table4420121[Date],S35,Table4420121[Category],Table136115[[#Headers],[Income]])+SUMIFS(Table44120[Amount],Table44120[Date],S35,Table44120[Category],Table136115[[#Headers],[Income]])</f>
        <v>0</v>
      </c>
      <c r="U35" s="28">
        <f>SUMIFS(Table4114[Amount],Table4114[Date],S35,Table4114[Category],"&lt;&gt;"&amp;Table136115[[#Headers],[Income]])+SUMIFS(Table44120[Amount],Table44120[Date],S35,Table44120[Category],"&lt;&gt;"&amp;Table136115[[#Headers],[Income]])</f>
        <v>0</v>
      </c>
      <c r="V35" s="28">
        <f t="shared" si="1"/>
        <v>1156.74</v>
      </c>
      <c r="W35" s="1">
        <f t="shared" si="2"/>
        <v>1156.7400000000005</v>
      </c>
    </row>
    <row r="36" spans="2:23" x14ac:dyDescent="0.2">
      <c r="B36" s="32"/>
      <c r="C36" s="11"/>
      <c r="D36" s="12"/>
      <c r="E36" s="13">
        <f>SUMIFS(Table4114[Amount],Table4114[Category],Table13113[[#Headers],[Transportation]],Table4114[Sub-Category],Table13113[[#This Row],[Transportation]])+SUMIFS(Table44120[Amount],Table44120[Category],Table13113[[#Headers],[Transportation]],Table44120[Sub-Category],Table13113[[#This Row],[Transportation]])</f>
        <v>0</v>
      </c>
      <c r="F36" s="13">
        <f>Table13113[[#This Row],[Budget]]-Table13113[[#This Row],[Actual]]</f>
        <v>0</v>
      </c>
      <c r="G36" s="32"/>
      <c r="H36" s="42"/>
      <c r="M36" s="4"/>
      <c r="N36" s="2"/>
      <c r="Q36" s="42"/>
      <c r="S36" s="27">
        <f t="shared" si="0"/>
        <v>41845</v>
      </c>
      <c r="T36" s="29">
        <f>SUMIFS(Table4420121[Amount],Table4420121[Date],S36,Table4420121[Category],Table136115[[#Headers],[Income]])+SUMIFS(Table44120[Amount],Table44120[Date],S36,Table44120[Category],Table136115[[#Headers],[Income]])</f>
        <v>0</v>
      </c>
      <c r="U36" s="29">
        <f>SUMIFS(Table4114[Amount],Table4114[Date],S36,Table4114[Category],"&lt;&gt;"&amp;Table136115[[#Headers],[Income]])+SUMIFS(Table44120[Amount],Table44120[Date],S36,Table44120[Category],"&lt;&gt;"&amp;Table136115[[#Headers],[Income]])</f>
        <v>0</v>
      </c>
      <c r="V36" s="29">
        <f t="shared" si="1"/>
        <v>1156.74</v>
      </c>
      <c r="W36" s="1">
        <f t="shared" si="2"/>
        <v>1156.7400000000005</v>
      </c>
    </row>
    <row r="37" spans="2:23" x14ac:dyDescent="0.2">
      <c r="B37" s="32"/>
      <c r="C37" s="9" t="s">
        <v>20</v>
      </c>
      <c r="D37" s="10">
        <f>SUBTOTAL(109,Table13113[Budget])</f>
        <v>0</v>
      </c>
      <c r="E37" s="10">
        <f>SUBTOTAL(109,Table13113[Actual])</f>
        <v>0</v>
      </c>
      <c r="F37" s="10">
        <f>SUBTOTAL(109,Table13113[Variance])</f>
        <v>0</v>
      </c>
      <c r="G37" s="32"/>
      <c r="H37" s="42"/>
      <c r="M37" s="4"/>
      <c r="N37" s="2"/>
      <c r="Q37" s="42"/>
      <c r="S37" s="30">
        <f t="shared" si="0"/>
        <v>41846</v>
      </c>
      <c r="T37" s="28">
        <f>SUMIFS(Table4420121[Amount],Table4420121[Date],S37,Table4420121[Category],Table136115[[#Headers],[Income]])+SUMIFS(Table44120[Amount],Table44120[Date],S37,Table44120[Category],Table136115[[#Headers],[Income]])</f>
        <v>0</v>
      </c>
      <c r="U37" s="28">
        <f>SUMIFS(Table4114[Amount],Table4114[Date],S37,Table4114[Category],"&lt;&gt;"&amp;Table136115[[#Headers],[Income]])+SUMIFS(Table44120[Amount],Table44120[Date],S37,Table44120[Category],"&lt;&gt;"&amp;Table136115[[#Headers],[Income]])</f>
        <v>0</v>
      </c>
      <c r="V37" s="28">
        <f t="shared" si="1"/>
        <v>1156.74</v>
      </c>
      <c r="W37" s="1">
        <f t="shared" si="2"/>
        <v>1156.7400000000005</v>
      </c>
    </row>
    <row r="38" spans="2:23" x14ac:dyDescent="0.2">
      <c r="B38" s="32"/>
      <c r="C38" s="26"/>
      <c r="D38" s="23"/>
      <c r="E38" s="23"/>
      <c r="F38" s="23"/>
      <c r="G38" s="32"/>
      <c r="H38" s="42"/>
      <c r="J38" s="11"/>
      <c r="K38" s="11"/>
      <c r="L38" s="11"/>
      <c r="M38" s="24"/>
      <c r="N38" s="12"/>
      <c r="O38" s="11"/>
      <c r="Q38" s="42"/>
      <c r="S38" s="27">
        <f t="shared" si="0"/>
        <v>41847</v>
      </c>
      <c r="T38" s="29">
        <f>SUMIFS(Table4420121[Amount],Table4420121[Date],S38,Table4420121[Category],Table136115[[#Headers],[Income]])+SUMIFS(Table44120[Amount],Table44120[Date],S38,Table44120[Category],Table136115[[#Headers],[Income]])</f>
        <v>0</v>
      </c>
      <c r="U38" s="29">
        <f>SUMIFS(Table4114[Amount],Table4114[Date],S38,Table4114[Category],"&lt;&gt;"&amp;Table136115[[#Headers],[Income]])+SUMIFS(Table44120[Amount],Table44120[Date],S38,Table44120[Category],"&lt;&gt;"&amp;Table136115[[#Headers],[Income]])</f>
        <v>0</v>
      </c>
      <c r="V38" s="29">
        <f t="shared" si="1"/>
        <v>1156.74</v>
      </c>
      <c r="W38" s="1">
        <f t="shared" si="2"/>
        <v>1156.7400000000005</v>
      </c>
    </row>
    <row r="39" spans="2:23" x14ac:dyDescent="0.2">
      <c r="B39" s="32"/>
      <c r="C39" s="37" t="str">
        <f>CONCATENATE(Table13910119[[#Headers],[Bills]]," - Budget &amp; Tracking")</f>
        <v>Bills - Budget &amp; Tracking</v>
      </c>
      <c r="D39" s="38"/>
      <c r="E39" s="38"/>
      <c r="F39" s="39"/>
      <c r="G39" s="32"/>
      <c r="H39" s="42"/>
      <c r="J39" s="11"/>
      <c r="K39" s="11"/>
      <c r="L39" s="11"/>
      <c r="M39" s="24"/>
      <c r="N39" s="12"/>
      <c r="O39" s="11"/>
      <c r="Q39" s="42"/>
      <c r="S39" s="30">
        <f t="shared" si="0"/>
        <v>41848</v>
      </c>
      <c r="T39" s="28">
        <f>SUMIFS(Table4420121[Amount],Table4420121[Date],S39,Table4420121[Category],Table136115[[#Headers],[Income]])+SUMIFS(Table44120[Amount],Table44120[Date],S39,Table44120[Category],Table136115[[#Headers],[Income]])</f>
        <v>0</v>
      </c>
      <c r="U39" s="28">
        <f>SUMIFS(Table4114[Amount],Table4114[Date],S39,Table4114[Category],"&lt;&gt;"&amp;Table136115[[#Headers],[Income]])+SUMIFS(Table44120[Amount],Table44120[Date],S39,Table44120[Category],"&lt;&gt;"&amp;Table136115[[#Headers],[Income]])</f>
        <v>0</v>
      </c>
      <c r="V39" s="28">
        <f t="shared" si="1"/>
        <v>1156.74</v>
      </c>
      <c r="W39" s="1">
        <f t="shared" si="2"/>
        <v>1156.7400000000005</v>
      </c>
    </row>
    <row r="40" spans="2:23" x14ac:dyDescent="0.2">
      <c r="B40" s="32"/>
      <c r="C40" s="31" t="s">
        <v>30</v>
      </c>
      <c r="D40" s="31" t="s">
        <v>1</v>
      </c>
      <c r="E40" s="31" t="s">
        <v>2</v>
      </c>
      <c r="F40" s="31" t="s">
        <v>14</v>
      </c>
      <c r="G40" s="32"/>
      <c r="H40" s="42"/>
      <c r="J40" s="11"/>
      <c r="K40" s="11"/>
      <c r="L40" s="11"/>
      <c r="M40" s="24"/>
      <c r="N40" s="12"/>
      <c r="O40" s="11"/>
      <c r="Q40" s="42"/>
      <c r="S40" s="27">
        <f t="shared" si="0"/>
        <v>41849</v>
      </c>
      <c r="T40" s="29">
        <f>SUMIFS(Table4420121[Amount],Table4420121[Date],S40,Table4420121[Category],Table136115[[#Headers],[Income]])+SUMIFS(Table44120[Amount],Table44120[Date],S40,Table44120[Category],Table136115[[#Headers],[Income]])</f>
        <v>0</v>
      </c>
      <c r="U40" s="29">
        <f>SUMIFS(Table4114[Amount],Table4114[Date],S40,Table4114[Category],"&lt;&gt;"&amp;Table136115[[#Headers],[Income]])+SUMIFS(Table44120[Amount],Table44120[Date],S40,Table44120[Category],"&lt;&gt;"&amp;Table136115[[#Headers],[Income]])</f>
        <v>0</v>
      </c>
      <c r="V40" s="29">
        <f t="shared" si="1"/>
        <v>1156.74</v>
      </c>
      <c r="W40" s="1">
        <f t="shared" si="2"/>
        <v>1156.7400000000005</v>
      </c>
    </row>
    <row r="41" spans="2:23" x14ac:dyDescent="0.2">
      <c r="B41" s="32"/>
      <c r="D41" s="2"/>
      <c r="E41" s="2">
        <f>SUMIFS(Table4114[Amount],Table4114[Category],Table13910119[[#Headers],[Bills]],Table4114[Sub-Category],Table13910119[[#This Row],[Bills]])+SUMIFS(Table44120[Amount],Table44120[Category],Table13910119[[#Headers],[Bills]],Table44120[Sub-Category],Table13910119[[#This Row],[Bills]])</f>
        <v>0</v>
      </c>
      <c r="F41" s="3">
        <f>Table13910119[[#This Row],[Budget]]-Table13910119[[#This Row],[Actual]]</f>
        <v>0</v>
      </c>
      <c r="G41" s="32"/>
      <c r="H41" s="42"/>
      <c r="Q41" s="42"/>
      <c r="S41" s="30">
        <f t="shared" si="0"/>
        <v>41850</v>
      </c>
      <c r="T41" s="28">
        <f>SUMIFS(Table4420121[Amount],Table4420121[Date],S41,Table4420121[Category],Table136115[[#Headers],[Income]])+SUMIFS(Table44120[Amount],Table44120[Date],S41,Table44120[Category],Table136115[[#Headers],[Income]])</f>
        <v>0</v>
      </c>
      <c r="U41" s="28">
        <f>SUMIFS(Table4114[Amount],Table4114[Date],S41,Table4114[Category],"&lt;&gt;"&amp;Table136115[[#Headers],[Income]])+SUMIFS(Table44120[Amount],Table44120[Date],S41,Table44120[Category],"&lt;&gt;"&amp;Table136115[[#Headers],[Income]])</f>
        <v>0</v>
      </c>
      <c r="V41" s="28">
        <f t="shared" si="1"/>
        <v>1156.74</v>
      </c>
      <c r="W41" s="1">
        <f t="shared" si="2"/>
        <v>1156.7400000000005</v>
      </c>
    </row>
    <row r="42" spans="2:23" x14ac:dyDescent="0.2">
      <c r="B42" s="32"/>
      <c r="D42" s="2"/>
      <c r="E42" s="2">
        <f>SUMIFS(Table4114[Amount],Table4114[Category],Table13910119[[#Headers],[Bills]],Table4114[Sub-Category],Table13910119[[#This Row],[Bills]])+SUMIFS(Table44120[Amount],Table44120[Category],Table13910119[[#Headers],[Bills]],Table44120[Sub-Category],Table13910119[[#This Row],[Bills]])</f>
        <v>0</v>
      </c>
      <c r="F42" s="3">
        <f>Table13910119[[#This Row],[Budget]]-Table13910119[[#This Row],[Actual]]</f>
        <v>0</v>
      </c>
      <c r="G42" s="32"/>
      <c r="H42" s="42"/>
      <c r="Q42" s="42"/>
      <c r="S42" s="27">
        <f t="shared" si="0"/>
        <v>41851</v>
      </c>
      <c r="T42" s="29">
        <f>SUMIFS(Table4420121[Amount],Table4420121[Date],S42,Table4420121[Category],Table136115[[#Headers],[Income]])+SUMIFS(Table44120[Amount],Table44120[Date],S42,Table44120[Category],Table136115[[#Headers],[Income]])</f>
        <v>0</v>
      </c>
      <c r="U42" s="29">
        <f>SUMIFS(Table4114[Amount],Table4114[Date],S42,Table4114[Category],"&lt;&gt;"&amp;Table136115[[#Headers],[Income]])+SUMIFS(Table44120[Amount],Table44120[Date],S42,Table44120[Category],"&lt;&gt;"&amp;Table136115[[#Headers],[Income]])</f>
        <v>0</v>
      </c>
      <c r="V42" s="29">
        <f t="shared" si="1"/>
        <v>1156.74</v>
      </c>
      <c r="W42" s="1">
        <f t="shared" si="2"/>
        <v>1156.7400000000005</v>
      </c>
    </row>
    <row r="43" spans="2:23" x14ac:dyDescent="0.2">
      <c r="B43" s="32"/>
      <c r="C43" s="11"/>
      <c r="D43" s="12"/>
      <c r="E43" s="13">
        <f>SUMIFS(Table4114[Amount],Table4114[Category],Table13910119[[#Headers],[Bills]],Table4114[Sub-Category],Table13910119[[#This Row],[Bills]])+SUMIFS(Table44120[Amount],Table44120[Category],Table13910119[[#Headers],[Bills]],Table44120[Sub-Category],Table13910119[[#This Row],[Bills]])</f>
        <v>0</v>
      </c>
      <c r="F43" s="13">
        <f>Table13910119[[#This Row],[Budget]]-Table13910119[[#This Row],[Actual]]</f>
        <v>0</v>
      </c>
      <c r="G43" s="32"/>
      <c r="H43" s="42"/>
      <c r="Q43" s="42"/>
      <c r="S43" s="8"/>
    </row>
    <row r="44" spans="2:23" x14ac:dyDescent="0.2">
      <c r="B44" s="32"/>
      <c r="C44" s="11"/>
      <c r="D44" s="12"/>
      <c r="E44" s="13">
        <f>SUMIFS(Table4114[Amount],Table4114[Category],Table13910119[[#Headers],[Bills]],Table4114[Sub-Category],Table13910119[[#This Row],[Bills]])+SUMIFS(Table44120[Amount],Table44120[Category],Table13910119[[#Headers],[Bills]],Table44120[Sub-Category],Table13910119[[#This Row],[Bills]])</f>
        <v>0</v>
      </c>
      <c r="F44" s="13">
        <f>Table13910119[[#This Row],[Budget]]-Table13910119[[#This Row],[Actual]]</f>
        <v>0</v>
      </c>
      <c r="G44" s="32"/>
      <c r="H44" s="42"/>
      <c r="Q44" s="42"/>
      <c r="S44" s="8"/>
    </row>
    <row r="45" spans="2:23" x14ac:dyDescent="0.2">
      <c r="B45" s="32"/>
      <c r="C45" s="11"/>
      <c r="D45" s="12"/>
      <c r="E45" s="13">
        <f>SUMIFS(Table4114[Amount],Table4114[Category],Table13910119[[#Headers],[Bills]],Table4114[Sub-Category],Table13910119[[#This Row],[Bills]])+SUMIFS(Table44120[Amount],Table44120[Category],Table13910119[[#Headers],[Bills]],Table44120[Sub-Category],Table13910119[[#This Row],[Bills]])</f>
        <v>0</v>
      </c>
      <c r="F45" s="13">
        <f>Table13910119[[#This Row],[Budget]]-Table13910119[[#This Row],[Actual]]</f>
        <v>0</v>
      </c>
      <c r="G45" s="32"/>
      <c r="H45" s="42"/>
      <c r="Q45" s="42"/>
    </row>
    <row r="46" spans="2:23" x14ac:dyDescent="0.2">
      <c r="B46" s="32"/>
      <c r="C46" s="9" t="s">
        <v>20</v>
      </c>
      <c r="D46" s="10">
        <f>SUBTOTAL(109,Table13910119[Budget])</f>
        <v>0</v>
      </c>
      <c r="E46" s="10">
        <f>SUBTOTAL(109,Table13910119[Actual])</f>
        <v>0</v>
      </c>
      <c r="F46" s="10">
        <f>SUBTOTAL(109,Table13910119[Variance])</f>
        <v>0</v>
      </c>
      <c r="G46" s="32"/>
      <c r="H46" s="42"/>
      <c r="Q46" s="42"/>
    </row>
    <row r="47" spans="2:23" x14ac:dyDescent="0.2">
      <c r="B47" s="32"/>
      <c r="C47" s="20"/>
      <c r="D47" s="21"/>
      <c r="E47" s="21"/>
      <c r="F47" s="22"/>
      <c r="G47" s="32"/>
      <c r="H47" s="42"/>
      <c r="Q47" s="42"/>
    </row>
    <row r="48" spans="2:23" x14ac:dyDescent="0.2">
      <c r="B48" s="32"/>
      <c r="C48" s="37" t="str">
        <f>CONCATENATE(Table137116[[#Headers],[Living]]," - Budget &amp; Tracking")</f>
        <v>Living - Budget &amp; Tracking</v>
      </c>
      <c r="D48" s="38"/>
      <c r="E48" s="38"/>
      <c r="F48" s="39"/>
      <c r="G48" s="32"/>
      <c r="H48" s="42"/>
      <c r="Q48" s="42"/>
    </row>
    <row r="49" spans="2:17" x14ac:dyDescent="0.2">
      <c r="B49" s="32"/>
      <c r="C49" s="31" t="s">
        <v>25</v>
      </c>
      <c r="D49" s="31" t="s">
        <v>1</v>
      </c>
      <c r="E49" s="31" t="s">
        <v>2</v>
      </c>
      <c r="F49" s="31" t="s">
        <v>14</v>
      </c>
      <c r="G49" s="32"/>
      <c r="H49" s="42"/>
      <c r="Q49" s="42"/>
    </row>
    <row r="50" spans="2:17" x14ac:dyDescent="0.2">
      <c r="B50" s="32"/>
      <c r="D50" s="2"/>
      <c r="E50" s="2">
        <f>SUMIFS(Table4114[Amount],Table4114[Category],Table137116[[#Headers],[Living]],Table4114[Sub-Category],Table137116[[#This Row],[Living]])+SUMIFS(Table44120[Amount],Table44120[Category],Table137116[[#Headers],[Living]],Table44120[Sub-Category],Table137116[[#This Row],[Living]])</f>
        <v>0</v>
      </c>
      <c r="F50" s="3">
        <f>Table137116[[#This Row],[Budget]]-Table137116[[#This Row],[Actual]]</f>
        <v>0</v>
      </c>
      <c r="G50" s="32"/>
      <c r="H50" s="42"/>
      <c r="Q50" s="42"/>
    </row>
    <row r="51" spans="2:17" x14ac:dyDescent="0.2">
      <c r="B51" s="32"/>
      <c r="D51" s="2"/>
      <c r="E51" s="2">
        <f>SUMIFS(Table4114[Amount],Table4114[Category],Table137116[[#Headers],[Living]],Table4114[Sub-Category],Table137116[[#This Row],[Living]])+SUMIFS(Table44120[Amount],Table44120[Category],Table137116[[#Headers],[Living]],Table44120[Sub-Category],Table137116[[#This Row],[Living]])</f>
        <v>0</v>
      </c>
      <c r="F51" s="3">
        <f>Table137116[[#This Row],[Budget]]-Table137116[[#This Row],[Actual]]</f>
        <v>0</v>
      </c>
      <c r="G51" s="32"/>
      <c r="H51" s="42"/>
      <c r="Q51" s="42"/>
    </row>
    <row r="52" spans="2:17" x14ac:dyDescent="0.2">
      <c r="B52" s="32"/>
      <c r="C52" s="11"/>
      <c r="D52" s="12"/>
      <c r="E52" s="13">
        <f>SUMIFS(Table4114[Amount],Table4114[Category],Table137116[[#Headers],[Living]],Table4114[Sub-Category],Table137116[[#This Row],[Living]])+SUMIFS(Table44120[Amount],Table44120[Category],Table137116[[#Headers],[Living]],Table44120[Sub-Category],Table137116[[#This Row],[Living]])</f>
        <v>0</v>
      </c>
      <c r="F52" s="13">
        <f>Table137116[[#This Row],[Budget]]-Table137116[[#This Row],[Actual]]</f>
        <v>0</v>
      </c>
      <c r="G52" s="32"/>
      <c r="H52" s="42"/>
      <c r="Q52" s="42"/>
    </row>
    <row r="53" spans="2:17" x14ac:dyDescent="0.2">
      <c r="B53" s="32"/>
      <c r="C53" s="11"/>
      <c r="D53" s="12"/>
      <c r="E53" s="13">
        <f>SUMIFS(Table4114[Amount],Table4114[Category],Table137116[[#Headers],[Living]],Table4114[Sub-Category],Table137116[[#This Row],[Living]])+SUMIFS(Table44120[Amount],Table44120[Category],Table137116[[#Headers],[Living]],Table44120[Sub-Category],Table137116[[#This Row],[Living]])</f>
        <v>0</v>
      </c>
      <c r="F53" s="13">
        <f>Table137116[[#This Row],[Budget]]-Table137116[[#This Row],[Actual]]</f>
        <v>0</v>
      </c>
      <c r="G53" s="32"/>
      <c r="H53" s="42"/>
      <c r="Q53" s="42"/>
    </row>
    <row r="54" spans="2:17" x14ac:dyDescent="0.2">
      <c r="B54" s="32"/>
      <c r="C54" s="9" t="s">
        <v>20</v>
      </c>
      <c r="D54" s="10">
        <f>SUBTOTAL(109,Table137116[Budget])</f>
        <v>0</v>
      </c>
      <c r="E54" s="10">
        <f>SUBTOTAL(109,Table137116[Actual])</f>
        <v>0</v>
      </c>
      <c r="F54" s="10">
        <f>SUBTOTAL(109,Table137116[Variance])</f>
        <v>0</v>
      </c>
      <c r="G54" s="32"/>
      <c r="H54" s="42"/>
      <c r="Q54" s="42"/>
    </row>
    <row r="55" spans="2:17" x14ac:dyDescent="0.2">
      <c r="B55" s="32"/>
      <c r="C55" s="20"/>
      <c r="D55" s="21"/>
      <c r="E55" s="21"/>
      <c r="F55" s="22"/>
      <c r="G55" s="32"/>
      <c r="H55" s="42"/>
      <c r="Q55" s="42"/>
    </row>
    <row r="56" spans="2:17" x14ac:dyDescent="0.2">
      <c r="B56" s="32"/>
      <c r="C56" s="37" t="str">
        <f>CONCATENATE(Table138117[[#Headers],[Entertainment]]," - Budget &amp; Tracking")</f>
        <v>Entertainment - Budget &amp; Tracking</v>
      </c>
      <c r="D56" s="38"/>
      <c r="E56" s="38"/>
      <c r="F56" s="39"/>
      <c r="G56" s="32"/>
      <c r="H56" s="42"/>
      <c r="Q56" s="42"/>
    </row>
    <row r="57" spans="2:17" x14ac:dyDescent="0.2">
      <c r="B57" s="32"/>
      <c r="C57" s="31" t="s">
        <v>24</v>
      </c>
      <c r="D57" s="31" t="s">
        <v>1</v>
      </c>
      <c r="E57" s="31" t="s">
        <v>2</v>
      </c>
      <c r="F57" s="31" t="s">
        <v>14</v>
      </c>
      <c r="G57" s="32"/>
      <c r="H57" s="42"/>
      <c r="Q57" s="42"/>
    </row>
    <row r="58" spans="2:17" x14ac:dyDescent="0.2">
      <c r="B58" s="32"/>
      <c r="D58" s="2"/>
      <c r="E58" s="2">
        <f>SUMIFS(Table4114[Amount],Table4114[Category],Table138117[[#Headers],[Entertainment]],Table4114[Sub-Category],Table138117[[#This Row],[Entertainment]])+SUMIFS(Table44120[Amount],Table44120[Category],Table138117[[#Headers],[Entertainment]],Table44120[Sub-Category],Table138117[[#This Row],[Entertainment]])</f>
        <v>0</v>
      </c>
      <c r="F58" s="3">
        <f>Table138117[[#This Row],[Budget]]-Table138117[[#This Row],[Actual]]</f>
        <v>0</v>
      </c>
      <c r="G58" s="32"/>
      <c r="H58" s="42"/>
      <c r="Q58" s="42"/>
    </row>
    <row r="59" spans="2:17" x14ac:dyDescent="0.2">
      <c r="B59" s="33"/>
      <c r="D59" s="2"/>
      <c r="E59" s="2">
        <f>SUMIFS(Table4114[Amount],Table4114[Category],Table138117[[#Headers],[Entertainment]],Table4114[Sub-Category],Table138117[[#This Row],[Entertainment]])+SUMIFS(Table44120[Amount],Table44120[Category],Table138117[[#Headers],[Entertainment]],Table44120[Sub-Category],Table138117[[#This Row],[Entertainment]])</f>
        <v>0</v>
      </c>
      <c r="F59" s="3">
        <f>Table138117[[#This Row],[Budget]]-Table138117[[#This Row],[Actual]]</f>
        <v>0</v>
      </c>
      <c r="G59" s="33"/>
      <c r="H59" s="42"/>
      <c r="Q59" s="42"/>
    </row>
    <row r="60" spans="2:17" x14ac:dyDescent="0.2">
      <c r="C60" s="9" t="s">
        <v>20</v>
      </c>
      <c r="D60" s="10">
        <f>SUBTOTAL(109,Table138117[Budget])</f>
        <v>0</v>
      </c>
      <c r="E60" s="10">
        <f>SUBTOTAL(109,Table138117[Actual])</f>
        <v>0</v>
      </c>
      <c r="F60" s="10">
        <f>SUBTOTAL(109,Table138117[Variance])</f>
        <v>0</v>
      </c>
      <c r="H60" s="42"/>
      <c r="Q60" s="42"/>
    </row>
    <row r="61" spans="2:17" x14ac:dyDescent="0.2">
      <c r="C61" s="26"/>
      <c r="D61" s="23"/>
      <c r="E61" s="23"/>
      <c r="F61" s="23"/>
      <c r="H61" s="42"/>
      <c r="Q61" s="42"/>
    </row>
    <row r="62" spans="2:17" x14ac:dyDescent="0.2">
      <c r="C62" s="37" t="str">
        <f>CONCATENATE(Table139118[[#Headers],[Misc.]]," - Budget &amp; Tracking")</f>
        <v>Misc. - Budget &amp; Tracking</v>
      </c>
      <c r="D62" s="38"/>
      <c r="E62" s="38"/>
      <c r="F62" s="39"/>
      <c r="H62" s="42"/>
      <c r="Q62" s="42"/>
    </row>
    <row r="63" spans="2:17" x14ac:dyDescent="0.2">
      <c r="C63" s="31" t="s">
        <v>27</v>
      </c>
      <c r="D63" s="31" t="s">
        <v>1</v>
      </c>
      <c r="E63" s="31" t="s">
        <v>2</v>
      </c>
      <c r="F63" s="31" t="s">
        <v>14</v>
      </c>
      <c r="H63" s="42"/>
      <c r="Q63" s="42"/>
    </row>
    <row r="64" spans="2:17" x14ac:dyDescent="0.2">
      <c r="C64" s="11"/>
      <c r="D64" s="12"/>
      <c r="E64" s="13">
        <f>SUMIFS(Table4114[Amount],Table4114[Category],Table139118[[#Headers],[Misc.]],Table4114[Sub-Category],Table139118[[#This Row],[Misc.]])+SUMIFS(Table44120[Amount],Table44120[Category],Table139118[[#Headers],[Misc.]],Table44120[Sub-Category],Table139118[[#This Row],[Misc.]])</f>
        <v>0</v>
      </c>
      <c r="F64" s="13">
        <f>Table139118[[#This Row],[Budget]]-Table139118[[#This Row],[Actual]]</f>
        <v>0</v>
      </c>
      <c r="H64" s="42"/>
      <c r="Q64" s="42"/>
    </row>
    <row r="65" spans="3:17" x14ac:dyDescent="0.2">
      <c r="C65" s="11"/>
      <c r="D65" s="12"/>
      <c r="E65" s="13">
        <f>SUMIFS(Table4114[Amount],Table4114[Category],Table139118[[#Headers],[Misc.]],Table4114[Sub-Category],Table139118[[#This Row],[Misc.]])+SUMIFS(Table44120[Amount],Table44120[Category],Table139118[[#Headers],[Misc.]],Table44120[Sub-Category],Table139118[[#This Row],[Misc.]])</f>
        <v>0</v>
      </c>
      <c r="F65" s="13">
        <f>Table139118[[#This Row],[Budget]]-Table139118[[#This Row],[Actual]]</f>
        <v>0</v>
      </c>
      <c r="H65" s="42"/>
      <c r="Q65" s="42"/>
    </row>
    <row r="66" spans="3:17" x14ac:dyDescent="0.2">
      <c r="C66" s="9" t="s">
        <v>20</v>
      </c>
      <c r="D66" s="10">
        <f>SUBTOTAL(109,Table139118[Budget])</f>
        <v>0</v>
      </c>
      <c r="E66" s="10">
        <f>SUBTOTAL(109,Table139118[Actual])</f>
        <v>0</v>
      </c>
      <c r="F66" s="10">
        <f>SUBTOTAL(109,Table139118[Variance])</f>
        <v>0</v>
      </c>
      <c r="H66" s="42"/>
      <c r="Q66" s="42"/>
    </row>
    <row r="67" spans="3:17" x14ac:dyDescent="0.2">
      <c r="C67" s="26"/>
      <c r="D67" s="23"/>
      <c r="E67" s="23"/>
      <c r="F67" s="23"/>
    </row>
    <row r="68" spans="3:17" x14ac:dyDescent="0.2">
      <c r="C68" s="33"/>
      <c r="D68" s="34"/>
      <c r="E68" s="34"/>
      <c r="F68" s="34"/>
    </row>
  </sheetData>
  <mergeCells count="1">
    <mergeCell ref="C1:F1"/>
  </mergeCells>
  <conditionalFormatting sqref="F33:F36">
    <cfRule type="iconSet" priority="23">
      <iconSet iconSet="3Symbols">
        <cfvo type="percent" val="0"/>
        <cfvo type="num" val="0"/>
        <cfvo type="num" val="10"/>
      </iconSet>
    </cfRule>
  </conditionalFormatting>
  <conditionalFormatting sqref="F50:F53">
    <cfRule type="iconSet" priority="21">
      <iconSet iconSet="3Symbols">
        <cfvo type="percent" val="0"/>
        <cfvo type="num" val="0"/>
        <cfvo type="num" val="10"/>
      </iconSet>
    </cfRule>
  </conditionalFormatting>
  <conditionalFormatting sqref="F58:F59">
    <cfRule type="iconSet" priority="20">
      <iconSet iconSet="3Symbols">
        <cfvo type="percent" val="0"/>
        <cfvo type="num" val="0"/>
        <cfvo type="num" val="10"/>
      </iconSet>
    </cfRule>
  </conditionalFormatting>
  <conditionalFormatting sqref="F41:F45">
    <cfRule type="iconSet" priority="19">
      <iconSet iconSet="3Symbols">
        <cfvo type="percent" val="0"/>
        <cfvo type="num" val="0"/>
        <cfvo type="num" val="10"/>
      </iconSet>
    </cfRule>
  </conditionalFormatting>
  <conditionalFormatting sqref="D6:E6">
    <cfRule type="iconSet" priority="18">
      <iconSet iconSet="3Symbols">
        <cfvo type="percent" val="0"/>
        <cfvo type="num" val="0" gte="0"/>
        <cfvo type="num" val="10"/>
      </iconSet>
    </cfRule>
  </conditionalFormatting>
  <conditionalFormatting sqref="F3:F6">
    <cfRule type="iconSet" priority="17">
      <iconSet iconSet="3Arrows">
        <cfvo type="percent" val="0"/>
        <cfvo type="num" val="-50"/>
        <cfvo type="num" val="0" gte="0"/>
      </iconSet>
    </cfRule>
  </conditionalFormatting>
  <conditionalFormatting sqref="F20:F28">
    <cfRule type="iconSet" priority="24">
      <iconSet iconSet="3Symbols">
        <cfvo type="percent" val="0"/>
        <cfvo type="num" val="0"/>
        <cfvo type="num" val="10"/>
      </iconSet>
    </cfRule>
  </conditionalFormatting>
  <conditionalFormatting sqref="S12">
    <cfRule type="cellIs" dxfId="31" priority="16" operator="equal">
      <formula>TODAY()</formula>
    </cfRule>
  </conditionalFormatting>
  <conditionalFormatting sqref="T12 T20:U42">
    <cfRule type="expression" dxfId="30" priority="15">
      <formula>IF($S12=TODAY(),TRUE)</formula>
    </cfRule>
  </conditionalFormatting>
  <conditionalFormatting sqref="U12">
    <cfRule type="expression" dxfId="29" priority="14">
      <formula>IF($S12=TODAY(),TRUE)</formula>
    </cfRule>
  </conditionalFormatting>
  <conditionalFormatting sqref="V12 V20:V42">
    <cfRule type="expression" dxfId="28" priority="13">
      <formula>IF($S12=TODAY(),TRUE)</formula>
    </cfRule>
  </conditionalFormatting>
  <conditionalFormatting sqref="S13:S15">
    <cfRule type="cellIs" dxfId="27" priority="12" operator="equal">
      <formula>TODAY()</formula>
    </cfRule>
  </conditionalFormatting>
  <conditionalFormatting sqref="T13:T15">
    <cfRule type="expression" dxfId="26" priority="11">
      <formula>IF($S13=TODAY(),TRUE)</formula>
    </cfRule>
  </conditionalFormatting>
  <conditionalFormatting sqref="U13:U15">
    <cfRule type="expression" dxfId="25" priority="10">
      <formula>IF($S13=TODAY(),TRUE)</formula>
    </cfRule>
  </conditionalFormatting>
  <conditionalFormatting sqref="V13:V15">
    <cfRule type="expression" dxfId="24" priority="9">
      <formula>IF($S13=TODAY(),TRUE)</formula>
    </cfRule>
  </conditionalFormatting>
  <conditionalFormatting sqref="S16 S20 S24 S28 S32 S36 S40">
    <cfRule type="cellIs" dxfId="23" priority="8" operator="equal">
      <formula>TODAY()</formula>
    </cfRule>
  </conditionalFormatting>
  <conditionalFormatting sqref="T16">
    <cfRule type="expression" dxfId="22" priority="7">
      <formula>IF($S16=TODAY(),TRUE)</formula>
    </cfRule>
  </conditionalFormatting>
  <conditionalFormatting sqref="U16">
    <cfRule type="expression" dxfId="21" priority="6">
      <formula>IF($S16=TODAY(),TRUE)</formula>
    </cfRule>
  </conditionalFormatting>
  <conditionalFormatting sqref="V16">
    <cfRule type="expression" dxfId="20" priority="5">
      <formula>IF($S16=TODAY(),TRUE)</formula>
    </cfRule>
  </conditionalFormatting>
  <conditionalFormatting sqref="S17:S19 S21:S23 S25:S27 S29:S31 S33:S35 S37:S39 S41:S42">
    <cfRule type="cellIs" dxfId="19" priority="4" operator="equal">
      <formula>TODAY()</formula>
    </cfRule>
  </conditionalFormatting>
  <conditionalFormatting sqref="T17:T19">
    <cfRule type="expression" dxfId="18" priority="3">
      <formula>IF($S17=TODAY(),TRUE)</formula>
    </cfRule>
  </conditionalFormatting>
  <conditionalFormatting sqref="U17:U19">
    <cfRule type="expression" dxfId="17" priority="2">
      <formula>IF($S17=TODAY(),TRUE)</formula>
    </cfRule>
  </conditionalFormatting>
  <conditionalFormatting sqref="V17:V19">
    <cfRule type="expression" dxfId="16" priority="1">
      <formula>IF($S17=TODAY(),TRUE)</formula>
    </cfRule>
  </conditionalFormatting>
  <conditionalFormatting sqref="F66:F68">
    <cfRule type="iconSet" priority="25">
      <iconSet iconSet="3Symbols">
        <cfvo type="percent" val="0"/>
        <cfvo type="num" val="0" gte="0"/>
        <cfvo type="num" val="10"/>
      </iconSet>
    </cfRule>
  </conditionalFormatting>
  <conditionalFormatting sqref="F60:F61">
    <cfRule type="iconSet" priority="26">
      <iconSet iconSet="3Symbols">
        <cfvo type="percent" val="0"/>
        <cfvo type="num" val="0" gte="0"/>
        <cfvo type="num" val="10"/>
      </iconSet>
    </cfRule>
  </conditionalFormatting>
  <conditionalFormatting sqref="F54:F55">
    <cfRule type="iconSet" priority="27">
      <iconSet iconSet="3Symbols">
        <cfvo type="percent" val="0"/>
        <cfvo type="num" val="0" gte="0"/>
        <cfvo type="num" val="10" gte="0"/>
      </iconSet>
    </cfRule>
  </conditionalFormatting>
  <conditionalFormatting sqref="F46:F47">
    <cfRule type="iconSet" priority="28">
      <iconSet iconSet="3Symbols">
        <cfvo type="percent" val="0"/>
        <cfvo type="num" val="0" gte="0"/>
        <cfvo type="num" val="10"/>
      </iconSet>
    </cfRule>
  </conditionalFormatting>
  <conditionalFormatting sqref="F37:F38">
    <cfRule type="iconSet" priority="29">
      <iconSet iconSet="3Symbols">
        <cfvo type="percent" val="0"/>
        <cfvo type="num" val="0" gte="0"/>
        <cfvo type="num" val="10"/>
      </iconSet>
    </cfRule>
  </conditionalFormatting>
  <conditionalFormatting sqref="F29:F30">
    <cfRule type="iconSet" priority="30">
      <iconSet iconSet="3Symbols">
        <cfvo type="percent" val="0"/>
        <cfvo type="num" val="0" gte="0"/>
        <cfvo type="num" val="10"/>
      </iconSet>
    </cfRule>
  </conditionalFormatting>
  <conditionalFormatting sqref="F64:F65">
    <cfRule type="iconSet" priority="32">
      <iconSet iconSet="3Symbols">
        <cfvo type="percent" val="0"/>
        <cfvo type="num" val="0"/>
        <cfvo type="num" val="10"/>
      </iconSet>
    </cfRule>
  </conditionalFormatting>
  <dataValidations count="3">
    <dataValidation type="list" allowBlank="1" showInputMessage="1" showErrorMessage="1" sqref="O35:O40 O19:O32 O12:O16">
      <formula1>$U$2:$U$4</formula1>
    </dataValidation>
    <dataValidation type="list" allowBlank="1" showInputMessage="1" showErrorMessage="1" sqref="K35:K40 K19:K32 K12:K16">
      <formula1>$R$2:$R$8</formula1>
    </dataValidation>
    <dataValidation type="list" allowBlank="1" showInputMessage="1" showErrorMessage="1" sqref="L35:L40 L12:L16 L19:L32">
      <formula1>INDIRECT(K12)</formula1>
    </dataValidation>
  </dataValidations>
  <printOptions horizontalCentered="1"/>
  <pageMargins left="0.2" right="0.2" top="0.25" bottom="0.25" header="0.3" footer="0.3"/>
  <pageSetup scale="76" orientation="landscape" r:id="rId1"/>
  <drawing r:id="rId2"/>
  <tableParts count="10">
    <tablePart r:id="rId3"/>
    <tablePart r:id="rId4"/>
    <tablePart r:id="rId5"/>
    <tablePart r:id="rId6"/>
    <tablePart r:id="rId7"/>
    <tablePart r:id="rId8"/>
    <tablePart r:id="rId9"/>
    <tablePart r:id="rId10"/>
    <tablePart r:id="rId11"/>
    <tablePart r:id="rId12"/>
  </tableParts>
  <extLst>
    <ext xmlns:x14="http://schemas.microsoft.com/office/spreadsheetml/2009/9/main" uri="{78C0D931-6437-407d-A8EE-F0AAD7539E65}">
      <x14:conditionalFormattings>
        <x14:conditionalFormatting xmlns:xm="http://schemas.microsoft.com/office/excel/2006/main">
          <x14:cfRule type="iconSet" priority="22" id="{5884C8E2-59AC-4D33-B90D-C08A4DBEAAB2}">
            <x14:iconSet iconSet="3Symbols" custom="1">
              <x14:cfvo type="percent">
                <xm:f>0</xm:f>
              </x14:cfvo>
              <x14:cfvo type="num">
                <xm:f>0</xm:f>
              </x14:cfvo>
              <x14:cfvo type="num">
                <xm:f>10</xm:f>
              </x14:cfvo>
              <x14:cfIcon iconSet="3Symbols" iconId="0"/>
              <x14:cfIcon iconSet="3Symbols" iconId="1"/>
              <x14:cfIcon iconSet="3Symbols" iconId="2"/>
            </x14:iconSet>
          </x14:cfRule>
          <xm:sqref>F12:F15</xm:sqref>
        </x14:conditionalFormatting>
        <x14:conditionalFormatting xmlns:xm="http://schemas.microsoft.com/office/excel/2006/main">
          <x14:cfRule type="iconSet" priority="31" id="{37910DDC-CCD7-47D5-B803-7A8734E0A7FE}">
            <x14:iconSet iconSet="3Symbols" custom="1">
              <x14:cfvo type="percent">
                <xm:f>0</xm:f>
              </x14:cfvo>
              <x14:cfvo type="num" gte="0">
                <xm:f>0</xm:f>
              </x14:cfvo>
              <x14:cfvo type="num">
                <xm:f>10</xm:f>
              </x14:cfvo>
              <x14:cfIcon iconSet="3Symbols" iconId="0"/>
              <x14:cfIcon iconSet="3Symbols" iconId="1"/>
              <x14:cfIcon iconSet="3Symbols" iconId="2"/>
            </x14:iconSet>
          </x14:cfRule>
          <xm:sqref>F16:F17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8"/>
  <sheetViews>
    <sheetView showGridLines="0" zoomScaleNormal="100" workbookViewId="0">
      <selection activeCell="C1" sqref="C1:F1"/>
    </sheetView>
  </sheetViews>
  <sheetFormatPr defaultColWidth="0" defaultRowHeight="12" x14ac:dyDescent="0.2"/>
  <cols>
    <col min="1" max="2" width="0.7109375" style="1" customWidth="1"/>
    <col min="3" max="3" width="15" style="1" bestFit="1" customWidth="1"/>
    <col min="4" max="6" width="12.85546875" style="1" customWidth="1"/>
    <col min="7" max="7" width="0.85546875" style="1" customWidth="1"/>
    <col min="8" max="8" width="0.28515625" style="1" customWidth="1"/>
    <col min="9" max="9" width="0.85546875" style="1" customWidth="1"/>
    <col min="10" max="10" width="24.42578125" style="1" bestFit="1" customWidth="1"/>
    <col min="11" max="11" width="12.140625" style="1" bestFit="1" customWidth="1"/>
    <col min="12" max="12" width="14.140625" style="1" bestFit="1" customWidth="1"/>
    <col min="13" max="13" width="8.5703125" style="1" bestFit="1" customWidth="1"/>
    <col min="14" max="14" width="9.7109375" style="1" bestFit="1" customWidth="1"/>
    <col min="15" max="15" width="8.28515625" style="1" bestFit="1" customWidth="1"/>
    <col min="16" max="16" width="0.85546875" style="1" customWidth="1"/>
    <col min="17" max="17" width="0.28515625" style="1" customWidth="1"/>
    <col min="18" max="18" width="0.85546875" style="1" customWidth="1"/>
    <col min="19" max="19" width="10.28515625" style="1" bestFit="1" customWidth="1"/>
    <col min="20" max="22" width="9.5703125" style="1" customWidth="1"/>
    <col min="23" max="23" width="0.7109375" style="1" customWidth="1"/>
    <col min="24" max="24" width="0.7109375" style="1" hidden="1" customWidth="1"/>
    <col min="25" max="25" width="12.140625" style="1" hidden="1" customWidth="1"/>
    <col min="26" max="27" width="4" style="1" hidden="1" customWidth="1"/>
    <col min="28" max="16384" width="9.140625" style="1" hidden="1"/>
  </cols>
  <sheetData>
    <row r="1" spans="2:23" ht="26.25" x14ac:dyDescent="0.4">
      <c r="C1" s="61">
        <f>DATE(YEAR(Mo.11!C1),MONTH(Mo.11!C1)+1,DAY(Mo.11!C1))</f>
        <v>41852</v>
      </c>
      <c r="D1" s="61"/>
      <c r="E1" s="61"/>
      <c r="F1" s="61"/>
      <c r="R1" s="45" t="s">
        <v>0</v>
      </c>
      <c r="S1" s="45" t="s">
        <v>1</v>
      </c>
      <c r="T1" s="45" t="s">
        <v>2</v>
      </c>
      <c r="U1" s="45" t="s">
        <v>16</v>
      </c>
      <c r="V1" s="45" t="s">
        <v>45</v>
      </c>
    </row>
    <row r="2" spans="2:23" x14ac:dyDescent="0.2">
      <c r="D2" s="18" t="s">
        <v>1</v>
      </c>
      <c r="E2" s="19" t="s">
        <v>2</v>
      </c>
      <c r="F2" s="19" t="s">
        <v>14</v>
      </c>
      <c r="R2" s="45" t="str">
        <f>Table136125[[#Headers],[Income]]</f>
        <v>Income</v>
      </c>
      <c r="S2" s="45">
        <f>SUM(Table136125[Budget])</f>
        <v>0</v>
      </c>
      <c r="T2" s="45">
        <f>SUM(Table136125[Actual])</f>
        <v>0</v>
      </c>
      <c r="U2" s="45" t="s">
        <v>19</v>
      </c>
      <c r="V2" s="45">
        <f>AVERAGE(V12:V42)</f>
        <v>1156.7400000000005</v>
      </c>
    </row>
    <row r="3" spans="2:23" x14ac:dyDescent="0.2">
      <c r="C3" s="17" t="s">
        <v>35</v>
      </c>
      <c r="D3" s="5">
        <f>Mo.11!D6</f>
        <v>1156.74</v>
      </c>
      <c r="E3" s="14">
        <f>Mo.11!E6</f>
        <v>1156.74</v>
      </c>
      <c r="F3" s="14">
        <f>E3-D3</f>
        <v>0</v>
      </c>
      <c r="R3" s="45" t="str">
        <f>Table1122[[#Headers],[Housing]]</f>
        <v>Housing</v>
      </c>
      <c r="S3" s="45">
        <f>SUM(Table1122[Budget])</f>
        <v>0</v>
      </c>
      <c r="T3" s="45">
        <f>SUM(Table1122[Actual])</f>
        <v>0</v>
      </c>
      <c r="U3" s="45" t="s">
        <v>17</v>
      </c>
      <c r="V3" s="45"/>
    </row>
    <row r="4" spans="2:23" x14ac:dyDescent="0.2">
      <c r="C4" s="17" t="s">
        <v>32</v>
      </c>
      <c r="D4" s="5">
        <f>Table136125[[#Totals],[Budget]]</f>
        <v>0</v>
      </c>
      <c r="E4" s="5">
        <f>Table136125[[#Totals],[Actual]]</f>
        <v>0</v>
      </c>
      <c r="F4" s="5">
        <f>E4-D4</f>
        <v>0</v>
      </c>
      <c r="R4" s="45" t="str">
        <f>Table13123[[#Headers],[Transportation]]</f>
        <v>Transportation</v>
      </c>
      <c r="S4" s="45">
        <f>SUM(Table13123[Budget])</f>
        <v>0</v>
      </c>
      <c r="T4" s="45">
        <f>SUM(Table13123[Actual])</f>
        <v>0</v>
      </c>
      <c r="U4" s="45" t="s">
        <v>18</v>
      </c>
      <c r="V4" s="45"/>
    </row>
    <row r="5" spans="2:23" x14ac:dyDescent="0.2">
      <c r="C5" s="17" t="s">
        <v>33</v>
      </c>
      <c r="D5" s="5">
        <f>Table1122[[#Totals],[Budget]]+Table13123[[#Totals],[Budget]]+Table13910129[[#Totals],[Budget]]+Table137126[[#Totals],[Budget]]+Table138127[[#Totals],[Budget]]+Table139128[[#Totals],[Budget]]</f>
        <v>0</v>
      </c>
      <c r="E5" s="5">
        <f>Table1122[[#Totals],[Actual]]+Table13123[[#Totals],[Actual]]+Table13910129[[#Totals],[Actual]]+Table137126[[#Totals],[Actual]]+Table138127[[#Totals],[Actual]]+Table139128[[#Totals],[Actual]]</f>
        <v>0</v>
      </c>
      <c r="F5" s="5">
        <f>E5-D5</f>
        <v>0</v>
      </c>
      <c r="R5" s="45" t="str">
        <f>Table13910129[[#Headers],[Bills]]</f>
        <v>Bills</v>
      </c>
      <c r="S5" s="45">
        <f>SUM(Table13910129[Budget])</f>
        <v>0</v>
      </c>
      <c r="T5" s="45">
        <f>SUM(Table13910129[Actual])</f>
        <v>0</v>
      </c>
      <c r="U5" s="45"/>
      <c r="V5" s="45"/>
    </row>
    <row r="6" spans="2:23" x14ac:dyDescent="0.2">
      <c r="C6" s="15" t="s">
        <v>34</v>
      </c>
      <c r="D6" s="16">
        <f>D3+D4-D5</f>
        <v>1156.74</v>
      </c>
      <c r="E6" s="16">
        <f>E3+E4-E5</f>
        <v>1156.74</v>
      </c>
      <c r="F6" s="16">
        <f>F3+F4-F5</f>
        <v>0</v>
      </c>
      <c r="R6" s="45" t="str">
        <f>Table137126[[#Headers],[Living]]</f>
        <v>Living</v>
      </c>
      <c r="S6" s="45">
        <f>SUM(Table137126[Budget])</f>
        <v>0</v>
      </c>
      <c r="T6" s="45">
        <f>SUM(Table137126[Actual])</f>
        <v>0</v>
      </c>
      <c r="U6" s="45"/>
      <c r="V6" s="45"/>
    </row>
    <row r="7" spans="2:23" ht="3.75" customHeight="1" x14ac:dyDescent="0.2">
      <c r="D7" s="2"/>
      <c r="R7" s="45" t="str">
        <f>Table138127[[#Headers],[Entertainment]]</f>
        <v>Entertainment</v>
      </c>
      <c r="S7" s="45">
        <f>SUM(Table138127[Budget])</f>
        <v>0</v>
      </c>
      <c r="T7" s="45">
        <f>SUM(Table138127[Actual])</f>
        <v>0</v>
      </c>
      <c r="U7" s="45"/>
      <c r="V7" s="45"/>
    </row>
    <row r="8" spans="2:23" ht="1.5" customHeight="1" x14ac:dyDescent="0.2">
      <c r="C8" s="42"/>
      <c r="D8" s="43"/>
      <c r="E8" s="42"/>
      <c r="F8" s="42"/>
      <c r="G8" s="42"/>
      <c r="H8" s="42"/>
      <c r="I8" s="42"/>
      <c r="J8" s="42"/>
      <c r="K8" s="42"/>
      <c r="L8" s="42"/>
      <c r="M8" s="42"/>
      <c r="N8" s="42"/>
      <c r="O8" s="42"/>
      <c r="P8" s="42"/>
      <c r="Q8" s="42"/>
      <c r="R8" s="44" t="str">
        <f>Table139128[[#Headers],[Misc.]]</f>
        <v>Misc.</v>
      </c>
      <c r="S8" s="44">
        <f>SUM(Table139128[Budget])</f>
        <v>0</v>
      </c>
      <c r="T8" s="44">
        <f>SUM(Table139128[Actual])</f>
        <v>0</v>
      </c>
      <c r="U8" s="44"/>
      <c r="V8" s="44"/>
    </row>
    <row r="9" spans="2:23" ht="3.75" customHeight="1" x14ac:dyDescent="0.2">
      <c r="D9" s="2"/>
      <c r="H9" s="42"/>
      <c r="Q9" s="42"/>
    </row>
    <row r="10" spans="2:23" s="25" customFormat="1" x14ac:dyDescent="0.2">
      <c r="B10" s="35"/>
      <c r="C10" s="37" t="str">
        <f>CONCATENATE(Table136125[[#Headers],[Income]]," - Budget &amp; Tracking")</f>
        <v>Income - Budget &amp; Tracking</v>
      </c>
      <c r="D10" s="38"/>
      <c r="E10" s="38"/>
      <c r="F10" s="39"/>
      <c r="G10" s="35"/>
      <c r="H10" s="41"/>
      <c r="J10" s="37" t="s">
        <v>42</v>
      </c>
      <c r="K10" s="38"/>
      <c r="L10" s="38"/>
      <c r="M10" s="38"/>
      <c r="N10" s="38"/>
      <c r="O10" s="39"/>
      <c r="Q10" s="41"/>
      <c r="S10" s="37" t="s">
        <v>40</v>
      </c>
      <c r="T10" s="38"/>
      <c r="U10" s="38"/>
      <c r="V10" s="39"/>
    </row>
    <row r="11" spans="2:23" ht="12.75" thickBot="1" x14ac:dyDescent="0.25">
      <c r="B11" s="32"/>
      <c r="C11" s="31" t="s">
        <v>15</v>
      </c>
      <c r="D11" s="31" t="s">
        <v>1</v>
      </c>
      <c r="E11" s="31" t="s">
        <v>2</v>
      </c>
      <c r="F11" s="31" t="s">
        <v>14</v>
      </c>
      <c r="G11" s="32"/>
      <c r="H11" s="42"/>
      <c r="J11" s="31" t="s">
        <v>9</v>
      </c>
      <c r="K11" s="31" t="s">
        <v>0</v>
      </c>
      <c r="L11" s="31" t="s">
        <v>13</v>
      </c>
      <c r="M11" s="31" t="s">
        <v>10</v>
      </c>
      <c r="N11" s="31" t="s">
        <v>11</v>
      </c>
      <c r="O11" s="31" t="s">
        <v>16</v>
      </c>
      <c r="Q11" s="42"/>
      <c r="S11" s="40" t="s">
        <v>10</v>
      </c>
      <c r="T11" s="40" t="s">
        <v>22</v>
      </c>
      <c r="U11" s="40" t="s">
        <v>21</v>
      </c>
      <c r="V11" s="40" t="s">
        <v>23</v>
      </c>
    </row>
    <row r="12" spans="2:23" x14ac:dyDescent="0.2">
      <c r="B12" s="32"/>
      <c r="D12" s="2"/>
      <c r="E12" s="2">
        <f>SUMIFS(Table4420131[Amount],Table4420131[Category],Table136125[[#Headers],[Income]],Table4420131[Sub-Category],Table136125[[#This Row],[Income]])+SUMIFS(Table44130[Amount],Table44130[Category],Table136125[[#Headers],[Income]],Table44130[Sub-Category],Table136125[[#This Row],[Income]])</f>
        <v>0</v>
      </c>
      <c r="F12" s="3">
        <f>Table136125[[#This Row],[Actual]]-Table136125[[#This Row],[Budget]]</f>
        <v>0</v>
      </c>
      <c r="G12" s="32"/>
      <c r="H12" s="42"/>
      <c r="M12" s="4"/>
      <c r="N12" s="2"/>
      <c r="Q12" s="42"/>
      <c r="S12" s="27">
        <f>C1</f>
        <v>41852</v>
      </c>
      <c r="T12" s="29">
        <f>SUMIFS(Table4420131[Amount],Table4420131[Date],S12,Table4420131[Category],Table136125[[#Headers],[Income]])+SUMIFS(Table44130[Amount],Table44130[Date],S12,Table44130[Category],Table136125[[#Headers],[Income]])</f>
        <v>0</v>
      </c>
      <c r="U12" s="29">
        <f>SUMIFS(Table4124[Amount],Table4124[Date],S12,Table4124[Category],"&lt;&gt;"&amp;Table136125[[#Headers],[Income]])+SUMIFS(Table44130[Amount],Table44130[Date],S12,Table44130[Category],"&lt;&gt;"&amp;Table136125[[#Headers],[Income]])</f>
        <v>0</v>
      </c>
      <c r="V12" s="29">
        <f>E3+T12-U12</f>
        <v>1156.74</v>
      </c>
      <c r="W12" s="1">
        <f>V2</f>
        <v>1156.7400000000005</v>
      </c>
    </row>
    <row r="13" spans="2:23" x14ac:dyDescent="0.2">
      <c r="B13" s="32"/>
      <c r="D13" s="2"/>
      <c r="E13" s="2">
        <f>SUMIFS(Table4420131[Amount],Table4420131[Category],Table136125[[#Headers],[Income]],Table4420131[Sub-Category],Table136125[[#This Row],[Income]])+SUMIFS(Table44130[Amount],Table44130[Category],Table136125[[#Headers],[Income]],Table44130[Sub-Category],Table136125[[#This Row],[Income]])</f>
        <v>0</v>
      </c>
      <c r="F13" s="3">
        <f>Table136125[[#This Row],[Actual]]-Table136125[[#This Row],[Budget]]</f>
        <v>0</v>
      </c>
      <c r="G13" s="32"/>
      <c r="H13" s="42"/>
      <c r="M13" s="4"/>
      <c r="N13" s="2"/>
      <c r="Q13" s="42"/>
      <c r="S13" s="30">
        <f t="shared" ref="S13:S42" si="0">S12+1</f>
        <v>41853</v>
      </c>
      <c r="T13" s="28">
        <f>SUMIFS(Table4420131[Amount],Table4420131[Date],S13,Table4420131[Category],Table136125[[#Headers],[Income]])+SUMIFS(Table44130[Amount],Table44130[Date],S13,Table44130[Category],Table136125[[#Headers],[Income]])</f>
        <v>0</v>
      </c>
      <c r="U13" s="28">
        <f>SUMIFS(Table4124[Amount],Table4124[Date],S13,Table4124[Category],"&lt;&gt;"&amp;Table136125[[#Headers],[Income]])+SUMIFS(Table44130[Amount],Table44130[Date],S13,Table44130[Category],"&lt;&gt;"&amp;Table136125[[#Headers],[Income]])</f>
        <v>0</v>
      </c>
      <c r="V13" s="28">
        <f>V12+T13-U13</f>
        <v>1156.74</v>
      </c>
      <c r="W13" s="1">
        <f>W12</f>
        <v>1156.7400000000005</v>
      </c>
    </row>
    <row r="14" spans="2:23" x14ac:dyDescent="0.2">
      <c r="B14" s="32"/>
      <c r="D14" s="12"/>
      <c r="E14" s="12">
        <f>SUMIFS(Table4420131[Amount],Table4420131[Category],Table136125[[#Headers],[Income]],Table4420131[Sub-Category],Table136125[[#This Row],[Income]])+SUMIFS(Table44130[Amount],Table44130[Category],Table136125[[#Headers],[Income]],Table44130[Sub-Category],Table136125[[#This Row],[Income]])</f>
        <v>0</v>
      </c>
      <c r="F14" s="2">
        <f>Table136125[[#This Row],[Actual]]-Table136125[[#This Row],[Budget]]</f>
        <v>0</v>
      </c>
      <c r="G14" s="32"/>
      <c r="H14" s="42"/>
      <c r="M14" s="4"/>
      <c r="N14" s="2"/>
      <c r="Q14" s="42"/>
      <c r="S14" s="27">
        <f t="shared" si="0"/>
        <v>41854</v>
      </c>
      <c r="T14" s="29">
        <f>SUMIFS(Table4420131[Amount],Table4420131[Date],S14,Table4420131[Category],Table136125[[#Headers],[Income]])+SUMIFS(Table44130[Amount],Table44130[Date],S14,Table44130[Category],Table136125[[#Headers],[Income]])</f>
        <v>0</v>
      </c>
      <c r="U14" s="29">
        <f>SUMIFS(Table4124[Amount],Table4124[Date],S14,Table4124[Category],"&lt;&gt;"&amp;Table136125[[#Headers],[Income]])+SUMIFS(Table44130[Amount],Table44130[Date],S14,Table44130[Category],"&lt;&gt;"&amp;Table136125[[#Headers],[Income]])</f>
        <v>0</v>
      </c>
      <c r="V14" s="29">
        <f t="shared" ref="V14:V42" si="1">V13+T14-U14</f>
        <v>1156.74</v>
      </c>
      <c r="W14" s="1">
        <f t="shared" ref="W14:W42" si="2">W13</f>
        <v>1156.7400000000005</v>
      </c>
    </row>
    <row r="15" spans="2:23" x14ac:dyDescent="0.2">
      <c r="B15" s="32"/>
      <c r="D15" s="2"/>
      <c r="E15" s="3">
        <f>SUMIFS(Table4420131[Amount],Table4420131[Category],Table136125[[#Headers],[Income]],Table4420131[Sub-Category],Table136125[[#This Row],[Income]])+SUMIFS(Table44130[Amount],Table44130[Category],Table136125[[#Headers],[Income]],Table44130[Sub-Category],Table136125[[#This Row],[Income]])</f>
        <v>0</v>
      </c>
      <c r="F15" s="3">
        <f>Table136125[[#This Row],[Actual]]-Table136125[[#This Row],[Budget]]</f>
        <v>0</v>
      </c>
      <c r="G15" s="32"/>
      <c r="H15" s="42"/>
      <c r="J15" s="11"/>
      <c r="K15" s="11"/>
      <c r="L15" s="11"/>
      <c r="M15" s="24"/>
      <c r="N15" s="12"/>
      <c r="O15" s="11"/>
      <c r="Q15" s="42"/>
      <c r="S15" s="30">
        <f t="shared" si="0"/>
        <v>41855</v>
      </c>
      <c r="T15" s="28">
        <f>SUMIFS(Table4420131[Amount],Table4420131[Date],S15,Table4420131[Category],Table136125[[#Headers],[Income]])+SUMIFS(Table44130[Amount],Table44130[Date],S15,Table44130[Category],Table136125[[#Headers],[Income]])</f>
        <v>0</v>
      </c>
      <c r="U15" s="28">
        <f>SUMIFS(Table4124[Amount],Table4124[Date],S15,Table4124[Category],"&lt;&gt;"&amp;Table136125[[#Headers],[Income]])+SUMIFS(Table44130[Amount],Table44130[Date],S15,Table44130[Category],"&lt;&gt;"&amp;Table136125[[#Headers],[Income]])</f>
        <v>0</v>
      </c>
      <c r="V15" s="28">
        <f t="shared" si="1"/>
        <v>1156.74</v>
      </c>
      <c r="W15" s="1">
        <f t="shared" si="2"/>
        <v>1156.7400000000005</v>
      </c>
    </row>
    <row r="16" spans="2:23" x14ac:dyDescent="0.2">
      <c r="B16" s="32"/>
      <c r="C16" s="6" t="s">
        <v>20</v>
      </c>
      <c r="D16" s="7">
        <f>SUBTOTAL(109,Table136125[Budget])</f>
        <v>0</v>
      </c>
      <c r="E16" s="7">
        <f>SUBTOTAL(109,Table136125[Actual])</f>
        <v>0</v>
      </c>
      <c r="F16" s="7">
        <f>SUBTOTAL(109,Table136125[Variance])</f>
        <v>0</v>
      </c>
      <c r="G16" s="36"/>
      <c r="H16" s="43"/>
      <c r="I16" s="2"/>
      <c r="M16" s="4"/>
      <c r="N16" s="2"/>
      <c r="Q16" s="43"/>
      <c r="S16" s="27">
        <f t="shared" si="0"/>
        <v>41856</v>
      </c>
      <c r="T16" s="29">
        <f>SUMIFS(Table4420131[Amount],Table4420131[Date],S16,Table4420131[Category],Table136125[[#Headers],[Income]])+SUMIFS(Table44130[Amount],Table44130[Date],S16,Table44130[Category],Table136125[[#Headers],[Income]])</f>
        <v>0</v>
      </c>
      <c r="U16" s="29">
        <f>SUMIFS(Table4124[Amount],Table4124[Date],S16,Table4124[Category],"&lt;&gt;"&amp;Table136125[[#Headers],[Income]])+SUMIFS(Table44130[Amount],Table44130[Date],S16,Table44130[Category],"&lt;&gt;"&amp;Table136125[[#Headers],[Income]])</f>
        <v>0</v>
      </c>
      <c r="V16" s="29">
        <f t="shared" si="1"/>
        <v>1156.74</v>
      </c>
      <c r="W16" s="1">
        <f t="shared" si="2"/>
        <v>1156.7400000000005</v>
      </c>
    </row>
    <row r="17" spans="2:23" x14ac:dyDescent="0.2">
      <c r="B17" s="32"/>
      <c r="C17" s="20"/>
      <c r="D17" s="21"/>
      <c r="E17" s="21"/>
      <c r="F17" s="21"/>
      <c r="G17" s="36"/>
      <c r="H17" s="43"/>
      <c r="I17" s="2"/>
      <c r="J17" s="37" t="s">
        <v>43</v>
      </c>
      <c r="K17" s="38"/>
      <c r="L17" s="38"/>
      <c r="M17" s="38"/>
      <c r="N17" s="38"/>
      <c r="O17" s="39"/>
      <c r="Q17" s="43"/>
      <c r="S17" s="30">
        <f t="shared" si="0"/>
        <v>41857</v>
      </c>
      <c r="T17" s="28">
        <f>SUMIFS(Table4420131[Amount],Table4420131[Date],S17,Table4420131[Category],Table136125[[#Headers],[Income]])+SUMIFS(Table44130[Amount],Table44130[Date],S17,Table44130[Category],Table136125[[#Headers],[Income]])</f>
        <v>0</v>
      </c>
      <c r="U17" s="28">
        <f>SUMIFS(Table4124[Amount],Table4124[Date],S17,Table4124[Category],"&lt;&gt;"&amp;Table136125[[#Headers],[Income]])+SUMIFS(Table44130[Amount],Table44130[Date],S17,Table44130[Category],"&lt;&gt;"&amp;Table136125[[#Headers],[Income]])</f>
        <v>0</v>
      </c>
      <c r="V17" s="28">
        <f t="shared" si="1"/>
        <v>1156.74</v>
      </c>
      <c r="W17" s="1">
        <f t="shared" si="2"/>
        <v>1156.7400000000005</v>
      </c>
    </row>
    <row r="18" spans="2:23" x14ac:dyDescent="0.2">
      <c r="B18" s="32"/>
      <c r="C18" s="37" t="str">
        <f>CONCATENATE(Table1122[[#Headers],[Housing]]," - Budget &amp; Tracking")</f>
        <v>Housing - Budget &amp; Tracking</v>
      </c>
      <c r="D18" s="38"/>
      <c r="E18" s="38"/>
      <c r="F18" s="39"/>
      <c r="G18" s="36"/>
      <c r="H18" s="43"/>
      <c r="I18" s="2"/>
      <c r="J18" s="31" t="s">
        <v>9</v>
      </c>
      <c r="K18" s="31" t="s">
        <v>0</v>
      </c>
      <c r="L18" s="31" t="s">
        <v>13</v>
      </c>
      <c r="M18" s="31" t="s">
        <v>10</v>
      </c>
      <c r="N18" s="31" t="s">
        <v>11</v>
      </c>
      <c r="O18" s="31" t="s">
        <v>16</v>
      </c>
      <c r="Q18" s="43"/>
      <c r="S18" s="27">
        <f t="shared" si="0"/>
        <v>41858</v>
      </c>
      <c r="T18" s="29">
        <f>SUMIFS(Table4420131[Amount],Table4420131[Date],S18,Table4420131[Category],Table136125[[#Headers],[Income]])+SUMIFS(Table44130[Amount],Table44130[Date],S18,Table44130[Category],Table136125[[#Headers],[Income]])</f>
        <v>0</v>
      </c>
      <c r="U18" s="29">
        <f>SUMIFS(Table4124[Amount],Table4124[Date],S18,Table4124[Category],"&lt;&gt;"&amp;Table136125[[#Headers],[Income]])+SUMIFS(Table44130[Amount],Table44130[Date],S18,Table44130[Category],"&lt;&gt;"&amp;Table136125[[#Headers],[Income]])</f>
        <v>0</v>
      </c>
      <c r="V18" s="29">
        <f t="shared" si="1"/>
        <v>1156.74</v>
      </c>
      <c r="W18" s="1">
        <f t="shared" si="2"/>
        <v>1156.7400000000005</v>
      </c>
    </row>
    <row r="19" spans="2:23" x14ac:dyDescent="0.2">
      <c r="B19" s="32"/>
      <c r="C19" s="31" t="s">
        <v>8</v>
      </c>
      <c r="D19" s="31" t="s">
        <v>1</v>
      </c>
      <c r="E19" s="31" t="s">
        <v>2</v>
      </c>
      <c r="F19" s="31" t="s">
        <v>14</v>
      </c>
      <c r="G19" s="36"/>
      <c r="H19" s="43"/>
      <c r="I19" s="2"/>
      <c r="M19" s="4"/>
      <c r="N19" s="2"/>
      <c r="Q19" s="43"/>
      <c r="S19" s="30">
        <f t="shared" si="0"/>
        <v>41859</v>
      </c>
      <c r="T19" s="28">
        <f>SUMIFS(Table4420131[Amount],Table4420131[Date],S19,Table4420131[Category],Table136125[[#Headers],[Income]])+SUMIFS(Table44130[Amount],Table44130[Date],S19,Table44130[Category],Table136125[[#Headers],[Income]])</f>
        <v>0</v>
      </c>
      <c r="U19" s="28">
        <f>SUMIFS(Table4124[Amount],Table4124[Date],S19,Table4124[Category],"&lt;&gt;"&amp;Table136125[[#Headers],[Income]])+SUMIFS(Table44130[Amount],Table44130[Date],S19,Table44130[Category],"&lt;&gt;"&amp;Table136125[[#Headers],[Income]])</f>
        <v>0</v>
      </c>
      <c r="V19" s="28">
        <f t="shared" si="1"/>
        <v>1156.74</v>
      </c>
      <c r="W19" s="1">
        <f t="shared" si="2"/>
        <v>1156.7400000000005</v>
      </c>
    </row>
    <row r="20" spans="2:23" x14ac:dyDescent="0.2">
      <c r="B20" s="32"/>
      <c r="D20" s="2"/>
      <c r="E20" s="2">
        <f>SUMIFS(Table4124[Amount],Table4124[Category],Table1122[[#Headers],[Housing]],Table4124[Sub-Category],Table1122[[#This Row],[Housing]])+SUMIFS(Table44130[Amount],Table44130[Category],Table1122[[#Headers],[Housing]],Table44130[Sub-Category],Table1122[[#This Row],[Housing]])</f>
        <v>0</v>
      </c>
      <c r="F20" s="3">
        <f>Table1122[[#This Row],[Budget]]-Table1122[[#This Row],[Actual]]</f>
        <v>0</v>
      </c>
      <c r="G20" s="36"/>
      <c r="H20" s="43"/>
      <c r="I20" s="2"/>
      <c r="J20" s="11"/>
      <c r="K20" s="11"/>
      <c r="L20" s="11"/>
      <c r="M20" s="24"/>
      <c r="N20" s="12"/>
      <c r="O20" s="11"/>
      <c r="Q20" s="43"/>
      <c r="S20" s="27">
        <f t="shared" si="0"/>
        <v>41860</v>
      </c>
      <c r="T20" s="29">
        <f>SUMIFS(Table4420131[Amount],Table4420131[Date],S20,Table4420131[Category],Table136125[[#Headers],[Income]])+SUMIFS(Table44130[Amount],Table44130[Date],S20,Table44130[Category],Table136125[[#Headers],[Income]])</f>
        <v>0</v>
      </c>
      <c r="U20" s="29">
        <f>SUMIFS(Table4124[Amount],Table4124[Date],S20,Table4124[Category],"&lt;&gt;"&amp;Table136125[[#Headers],[Income]])+SUMIFS(Table44130[Amount],Table44130[Date],S20,Table44130[Category],"&lt;&gt;"&amp;Table136125[[#Headers],[Income]])</f>
        <v>0</v>
      </c>
      <c r="V20" s="29">
        <f t="shared" si="1"/>
        <v>1156.74</v>
      </c>
      <c r="W20" s="1">
        <f t="shared" si="2"/>
        <v>1156.7400000000005</v>
      </c>
    </row>
    <row r="21" spans="2:23" x14ac:dyDescent="0.2">
      <c r="B21" s="32"/>
      <c r="D21" s="2"/>
      <c r="E21" s="2">
        <f>SUMIFS(Table4124[Amount],Table4124[Category],Table1122[[#Headers],[Housing]],Table4124[Sub-Category],Table1122[[#This Row],[Housing]])+SUMIFS(Table44130[Amount],Table44130[Category],Table1122[[#Headers],[Housing]],Table44130[Sub-Category],Table1122[[#This Row],[Housing]])</f>
        <v>0</v>
      </c>
      <c r="F21" s="3">
        <f>Table1122[[#This Row],[Budget]]-Table1122[[#This Row],[Actual]]</f>
        <v>0</v>
      </c>
      <c r="G21" s="36"/>
      <c r="H21" s="43"/>
      <c r="I21" s="2"/>
      <c r="J21" s="11"/>
      <c r="K21" s="11"/>
      <c r="L21" s="11"/>
      <c r="M21" s="24"/>
      <c r="N21" s="12"/>
      <c r="O21" s="11"/>
      <c r="Q21" s="43"/>
      <c r="S21" s="30">
        <f t="shared" si="0"/>
        <v>41861</v>
      </c>
      <c r="T21" s="28">
        <f>SUMIFS(Table4420131[Amount],Table4420131[Date],S21,Table4420131[Category],Table136125[[#Headers],[Income]])+SUMIFS(Table44130[Amount],Table44130[Date],S21,Table44130[Category],Table136125[[#Headers],[Income]])</f>
        <v>0</v>
      </c>
      <c r="U21" s="28">
        <f>SUMIFS(Table4124[Amount],Table4124[Date],S21,Table4124[Category],"&lt;&gt;"&amp;Table136125[[#Headers],[Income]])+SUMIFS(Table44130[Amount],Table44130[Date],S21,Table44130[Category],"&lt;&gt;"&amp;Table136125[[#Headers],[Income]])</f>
        <v>0</v>
      </c>
      <c r="V21" s="28">
        <f t="shared" si="1"/>
        <v>1156.74</v>
      </c>
      <c r="W21" s="1">
        <f t="shared" si="2"/>
        <v>1156.7400000000005</v>
      </c>
    </row>
    <row r="22" spans="2:23" x14ac:dyDescent="0.2">
      <c r="B22" s="32"/>
      <c r="D22" s="2"/>
      <c r="E22" s="2">
        <f>SUMIFS(Table4124[Amount],Table4124[Category],Table1122[[#Headers],[Housing]],Table4124[Sub-Category],Table1122[[#This Row],[Housing]])+SUMIFS(Table44130[Amount],Table44130[Category],Table1122[[#Headers],[Housing]],Table44130[Sub-Category],Table1122[[#This Row],[Housing]])</f>
        <v>0</v>
      </c>
      <c r="F22" s="3">
        <f>Table1122[[#This Row],[Budget]]-Table1122[[#This Row],[Actual]]</f>
        <v>0</v>
      </c>
      <c r="G22" s="36"/>
      <c r="H22" s="43"/>
      <c r="I22" s="2"/>
      <c r="J22" s="11"/>
      <c r="K22" s="11"/>
      <c r="L22" s="11"/>
      <c r="M22" s="24"/>
      <c r="N22" s="12"/>
      <c r="O22" s="11"/>
      <c r="Q22" s="43"/>
      <c r="S22" s="27">
        <f t="shared" si="0"/>
        <v>41862</v>
      </c>
      <c r="T22" s="29">
        <f>SUMIFS(Table4420131[Amount],Table4420131[Date],S22,Table4420131[Category],Table136125[[#Headers],[Income]])+SUMIFS(Table44130[Amount],Table44130[Date],S22,Table44130[Category],Table136125[[#Headers],[Income]])</f>
        <v>0</v>
      </c>
      <c r="U22" s="29">
        <f>SUMIFS(Table4124[Amount],Table4124[Date],S22,Table4124[Category],"&lt;&gt;"&amp;Table136125[[#Headers],[Income]])+SUMIFS(Table44130[Amount],Table44130[Date],S22,Table44130[Category],"&lt;&gt;"&amp;Table136125[[#Headers],[Income]])</f>
        <v>0</v>
      </c>
      <c r="V22" s="29">
        <f t="shared" si="1"/>
        <v>1156.74</v>
      </c>
      <c r="W22" s="1">
        <f t="shared" si="2"/>
        <v>1156.7400000000005</v>
      </c>
    </row>
    <row r="23" spans="2:23" x14ac:dyDescent="0.2">
      <c r="B23" s="32"/>
      <c r="D23" s="2"/>
      <c r="E23" s="2">
        <f>SUMIFS(Table4124[Amount],Table4124[Category],Table1122[[#Headers],[Housing]],Table4124[Sub-Category],Table1122[[#This Row],[Housing]])+SUMIFS(Table44130[Amount],Table44130[Category],Table1122[[#Headers],[Housing]],Table44130[Sub-Category],Table1122[[#This Row],[Housing]])</f>
        <v>0</v>
      </c>
      <c r="F23" s="3">
        <f>Table1122[[#This Row],[Budget]]-Table1122[[#This Row],[Actual]]</f>
        <v>0</v>
      </c>
      <c r="G23" s="36"/>
      <c r="H23" s="43"/>
      <c r="I23" s="2"/>
      <c r="J23" s="11"/>
      <c r="K23" s="11"/>
      <c r="L23" s="11"/>
      <c r="M23" s="24"/>
      <c r="N23" s="12"/>
      <c r="O23" s="11"/>
      <c r="Q23" s="43"/>
      <c r="S23" s="30">
        <f t="shared" si="0"/>
        <v>41863</v>
      </c>
      <c r="T23" s="28">
        <f>SUMIFS(Table4420131[Amount],Table4420131[Date],S23,Table4420131[Category],Table136125[[#Headers],[Income]])+SUMIFS(Table44130[Amount],Table44130[Date],S23,Table44130[Category],Table136125[[#Headers],[Income]])</f>
        <v>0</v>
      </c>
      <c r="U23" s="28">
        <f>SUMIFS(Table4124[Amount],Table4124[Date],S23,Table4124[Category],"&lt;&gt;"&amp;Table136125[[#Headers],[Income]])+SUMIFS(Table44130[Amount],Table44130[Date],S23,Table44130[Category],"&lt;&gt;"&amp;Table136125[[#Headers],[Income]])</f>
        <v>0</v>
      </c>
      <c r="V23" s="28">
        <f t="shared" si="1"/>
        <v>1156.74</v>
      </c>
      <c r="W23" s="1">
        <f t="shared" si="2"/>
        <v>1156.7400000000005</v>
      </c>
    </row>
    <row r="24" spans="2:23" x14ac:dyDescent="0.2">
      <c r="B24" s="32"/>
      <c r="D24" s="2"/>
      <c r="E24" s="2">
        <f>SUMIFS(Table4124[Amount],Table4124[Category],Table1122[[#Headers],[Housing]],Table4124[Sub-Category],Table1122[[#This Row],[Housing]])+SUMIFS(Table44130[Amount],Table44130[Category],Table1122[[#Headers],[Housing]],Table44130[Sub-Category],Table1122[[#This Row],[Housing]])</f>
        <v>0</v>
      </c>
      <c r="F24" s="3">
        <f>Table1122[[#This Row],[Budget]]-Table1122[[#This Row],[Actual]]</f>
        <v>0</v>
      </c>
      <c r="G24" s="36"/>
      <c r="H24" s="43"/>
      <c r="I24" s="2"/>
      <c r="J24" s="11"/>
      <c r="K24" s="11"/>
      <c r="L24" s="11"/>
      <c r="M24" s="24"/>
      <c r="N24" s="12"/>
      <c r="O24" s="11"/>
      <c r="Q24" s="43"/>
      <c r="S24" s="27">
        <f t="shared" si="0"/>
        <v>41864</v>
      </c>
      <c r="T24" s="29">
        <f>SUMIFS(Table4420131[Amount],Table4420131[Date],S24,Table4420131[Category],Table136125[[#Headers],[Income]])+SUMIFS(Table44130[Amount],Table44130[Date],S24,Table44130[Category],Table136125[[#Headers],[Income]])</f>
        <v>0</v>
      </c>
      <c r="U24" s="29">
        <f>SUMIFS(Table4124[Amount],Table4124[Date],S24,Table4124[Category],"&lt;&gt;"&amp;Table136125[[#Headers],[Income]])+SUMIFS(Table44130[Amount],Table44130[Date],S24,Table44130[Category],"&lt;&gt;"&amp;Table136125[[#Headers],[Income]])</f>
        <v>0</v>
      </c>
      <c r="V24" s="29">
        <f t="shared" si="1"/>
        <v>1156.74</v>
      </c>
      <c r="W24" s="1">
        <f t="shared" si="2"/>
        <v>1156.7400000000005</v>
      </c>
    </row>
    <row r="25" spans="2:23" x14ac:dyDescent="0.2">
      <c r="B25" s="32"/>
      <c r="D25" s="2"/>
      <c r="E25" s="2">
        <f>SUMIFS(Table4124[Amount],Table4124[Category],Table1122[[#Headers],[Housing]],Table4124[Sub-Category],Table1122[[#This Row],[Housing]])+SUMIFS(Table44130[Amount],Table44130[Category],Table1122[[#Headers],[Housing]],Table44130[Sub-Category],Table1122[[#This Row],[Housing]])</f>
        <v>0</v>
      </c>
      <c r="F25" s="3">
        <f>Table1122[[#This Row],[Budget]]-Table1122[[#This Row],[Actual]]</f>
        <v>0</v>
      </c>
      <c r="G25" s="32"/>
      <c r="H25" s="42"/>
      <c r="J25" s="11"/>
      <c r="K25" s="11"/>
      <c r="L25" s="11"/>
      <c r="M25" s="24"/>
      <c r="N25" s="12"/>
      <c r="O25" s="11"/>
      <c r="Q25" s="42"/>
      <c r="S25" s="30">
        <f t="shared" si="0"/>
        <v>41865</v>
      </c>
      <c r="T25" s="28">
        <f>SUMIFS(Table4420131[Amount],Table4420131[Date],S25,Table4420131[Category],Table136125[[#Headers],[Income]])+SUMIFS(Table44130[Amount],Table44130[Date],S25,Table44130[Category],Table136125[[#Headers],[Income]])</f>
        <v>0</v>
      </c>
      <c r="U25" s="28">
        <f>SUMIFS(Table4124[Amount],Table4124[Date],S25,Table4124[Category],"&lt;&gt;"&amp;Table136125[[#Headers],[Income]])+SUMIFS(Table44130[Amount],Table44130[Date],S25,Table44130[Category],"&lt;&gt;"&amp;Table136125[[#Headers],[Income]])</f>
        <v>0</v>
      </c>
      <c r="V25" s="28">
        <f t="shared" si="1"/>
        <v>1156.74</v>
      </c>
      <c r="W25" s="1">
        <f t="shared" si="2"/>
        <v>1156.7400000000005</v>
      </c>
    </row>
    <row r="26" spans="2:23" x14ac:dyDescent="0.2">
      <c r="B26" s="32"/>
      <c r="D26" s="2"/>
      <c r="E26" s="2">
        <f>SUMIFS(Table4124[Amount],Table4124[Category],Table1122[[#Headers],[Housing]],Table4124[Sub-Category],Table1122[[#This Row],[Housing]])+SUMIFS(Table44130[Amount],Table44130[Category],Table1122[[#Headers],[Housing]],Table44130[Sub-Category],Table1122[[#This Row],[Housing]])</f>
        <v>0</v>
      </c>
      <c r="F26" s="3">
        <f>Table1122[[#This Row],[Budget]]-Table1122[[#This Row],[Actual]]</f>
        <v>0</v>
      </c>
      <c r="G26" s="32"/>
      <c r="H26" s="42"/>
      <c r="J26" s="11"/>
      <c r="K26" s="11"/>
      <c r="L26" s="11"/>
      <c r="M26" s="24"/>
      <c r="N26" s="12"/>
      <c r="O26" s="11"/>
      <c r="Q26" s="42"/>
      <c r="S26" s="27">
        <f t="shared" si="0"/>
        <v>41866</v>
      </c>
      <c r="T26" s="29">
        <f>SUMIFS(Table4420131[Amount],Table4420131[Date],S26,Table4420131[Category],Table136125[[#Headers],[Income]])+SUMIFS(Table44130[Amount],Table44130[Date],S26,Table44130[Category],Table136125[[#Headers],[Income]])</f>
        <v>0</v>
      </c>
      <c r="U26" s="29">
        <f>SUMIFS(Table4124[Amount],Table4124[Date],S26,Table4124[Category],"&lt;&gt;"&amp;Table136125[[#Headers],[Income]])+SUMIFS(Table44130[Amount],Table44130[Date],S26,Table44130[Category],"&lt;&gt;"&amp;Table136125[[#Headers],[Income]])</f>
        <v>0</v>
      </c>
      <c r="V26" s="29">
        <f t="shared" si="1"/>
        <v>1156.74</v>
      </c>
      <c r="W26" s="1">
        <f t="shared" si="2"/>
        <v>1156.7400000000005</v>
      </c>
    </row>
    <row r="27" spans="2:23" x14ac:dyDescent="0.2">
      <c r="B27" s="32"/>
      <c r="D27" s="2"/>
      <c r="E27" s="2">
        <f>SUMIFS(Table4124[Amount],Table4124[Category],Table1122[[#Headers],[Housing]],Table4124[Sub-Category],Table1122[[#This Row],[Housing]])+SUMIFS(Table44130[Amount],Table44130[Category],Table1122[[#Headers],[Housing]],Table44130[Sub-Category],Table1122[[#This Row],[Housing]])</f>
        <v>0</v>
      </c>
      <c r="F27" s="3">
        <f>Table1122[[#This Row],[Budget]]-Table1122[[#This Row],[Actual]]</f>
        <v>0</v>
      </c>
      <c r="G27" s="36"/>
      <c r="H27" s="43"/>
      <c r="I27" s="2"/>
      <c r="J27" s="11"/>
      <c r="K27" s="11"/>
      <c r="L27" s="11"/>
      <c r="M27" s="24"/>
      <c r="N27" s="12"/>
      <c r="O27" s="11"/>
      <c r="Q27" s="43"/>
      <c r="S27" s="30">
        <f t="shared" si="0"/>
        <v>41867</v>
      </c>
      <c r="T27" s="28">
        <f>SUMIFS(Table4420131[Amount],Table4420131[Date],S27,Table4420131[Category],Table136125[[#Headers],[Income]])+SUMIFS(Table44130[Amount],Table44130[Date],S27,Table44130[Category],Table136125[[#Headers],[Income]])</f>
        <v>0</v>
      </c>
      <c r="U27" s="28">
        <f>SUMIFS(Table4124[Amount],Table4124[Date],S27,Table4124[Category],"&lt;&gt;"&amp;Table136125[[#Headers],[Income]])+SUMIFS(Table44130[Amount],Table44130[Date],S27,Table44130[Category],"&lt;&gt;"&amp;Table136125[[#Headers],[Income]])</f>
        <v>0</v>
      </c>
      <c r="V27" s="28">
        <f t="shared" si="1"/>
        <v>1156.74</v>
      </c>
      <c r="W27" s="1">
        <f t="shared" si="2"/>
        <v>1156.7400000000005</v>
      </c>
    </row>
    <row r="28" spans="2:23" x14ac:dyDescent="0.2">
      <c r="B28" s="32"/>
      <c r="C28" s="11"/>
      <c r="D28" s="12"/>
      <c r="E28" s="13">
        <f>SUMIFS(Table4124[Amount],Table4124[Category],Table1122[[#Headers],[Housing]],Table4124[Sub-Category],Table1122[[#This Row],[Housing]])+SUMIFS(Table44130[Amount],Table44130[Category],Table1122[[#Headers],[Housing]],Table44130[Sub-Category],Table1122[[#This Row],[Housing]])</f>
        <v>0</v>
      </c>
      <c r="F28" s="13">
        <f>Table1122[[#This Row],[Budget]]-Table1122[[#This Row],[Actual]]</f>
        <v>0</v>
      </c>
      <c r="G28" s="36"/>
      <c r="H28" s="43"/>
      <c r="I28" s="2"/>
      <c r="J28" s="11"/>
      <c r="K28" s="11"/>
      <c r="L28" s="11"/>
      <c r="M28" s="24"/>
      <c r="N28" s="12"/>
      <c r="O28" s="11"/>
      <c r="Q28" s="43"/>
      <c r="S28" s="27">
        <f t="shared" si="0"/>
        <v>41868</v>
      </c>
      <c r="T28" s="29">
        <f>SUMIFS(Table4420131[Amount],Table4420131[Date],S28,Table4420131[Category],Table136125[[#Headers],[Income]])+SUMIFS(Table44130[Amount],Table44130[Date],S28,Table44130[Category],Table136125[[#Headers],[Income]])</f>
        <v>0</v>
      </c>
      <c r="U28" s="29">
        <f>SUMIFS(Table4124[Amount],Table4124[Date],S28,Table4124[Category],"&lt;&gt;"&amp;Table136125[[#Headers],[Income]])+SUMIFS(Table44130[Amount],Table44130[Date],S28,Table44130[Category],"&lt;&gt;"&amp;Table136125[[#Headers],[Income]])</f>
        <v>0</v>
      </c>
      <c r="V28" s="29">
        <f t="shared" si="1"/>
        <v>1156.74</v>
      </c>
      <c r="W28" s="1">
        <f t="shared" si="2"/>
        <v>1156.7400000000005</v>
      </c>
    </row>
    <row r="29" spans="2:23" x14ac:dyDescent="0.2">
      <c r="B29" s="32"/>
      <c r="C29" s="9" t="s">
        <v>20</v>
      </c>
      <c r="D29" s="10">
        <f>SUBTOTAL(109,Table1122[Budget])</f>
        <v>0</v>
      </c>
      <c r="E29" s="10">
        <f>SUBTOTAL(109,Table1122[Actual])</f>
        <v>0</v>
      </c>
      <c r="F29" s="10">
        <f>SUBTOTAL(109,Table1122[Variance])</f>
        <v>0</v>
      </c>
      <c r="G29" s="32"/>
      <c r="H29" s="42"/>
      <c r="J29" s="11"/>
      <c r="K29" s="11"/>
      <c r="L29" s="11"/>
      <c r="M29" s="24"/>
      <c r="N29" s="12"/>
      <c r="O29" s="11"/>
      <c r="Q29" s="42"/>
      <c r="S29" s="30">
        <f t="shared" si="0"/>
        <v>41869</v>
      </c>
      <c r="T29" s="28">
        <f>SUMIFS(Table4420131[Amount],Table4420131[Date],S29,Table4420131[Category],Table136125[[#Headers],[Income]])+SUMIFS(Table44130[Amount],Table44130[Date],S29,Table44130[Category],Table136125[[#Headers],[Income]])</f>
        <v>0</v>
      </c>
      <c r="U29" s="28">
        <f>SUMIFS(Table4124[Amount],Table4124[Date],S29,Table4124[Category],"&lt;&gt;"&amp;Table136125[[#Headers],[Income]])+SUMIFS(Table44130[Amount],Table44130[Date],S29,Table44130[Category],"&lt;&gt;"&amp;Table136125[[#Headers],[Income]])</f>
        <v>0</v>
      </c>
      <c r="V29" s="28">
        <f t="shared" si="1"/>
        <v>1156.74</v>
      </c>
      <c r="W29" s="1">
        <f t="shared" si="2"/>
        <v>1156.7400000000005</v>
      </c>
    </row>
    <row r="30" spans="2:23" x14ac:dyDescent="0.2">
      <c r="B30" s="32"/>
      <c r="C30" s="26"/>
      <c r="D30" s="23"/>
      <c r="E30" s="23"/>
      <c r="F30" s="23"/>
      <c r="G30" s="32"/>
      <c r="H30" s="42"/>
      <c r="J30" s="11"/>
      <c r="K30" s="11"/>
      <c r="L30" s="11"/>
      <c r="M30" s="24"/>
      <c r="N30" s="12"/>
      <c r="O30" s="11"/>
      <c r="Q30" s="42"/>
      <c r="S30" s="27">
        <f t="shared" si="0"/>
        <v>41870</v>
      </c>
      <c r="T30" s="29">
        <f>SUMIFS(Table4420131[Amount],Table4420131[Date],S30,Table4420131[Category],Table136125[[#Headers],[Income]])+SUMIFS(Table44130[Amount],Table44130[Date],S30,Table44130[Category],Table136125[[#Headers],[Income]])</f>
        <v>0</v>
      </c>
      <c r="U30" s="29">
        <f>SUMIFS(Table4124[Amount],Table4124[Date],S30,Table4124[Category],"&lt;&gt;"&amp;Table136125[[#Headers],[Income]])+SUMIFS(Table44130[Amount],Table44130[Date],S30,Table44130[Category],"&lt;&gt;"&amp;Table136125[[#Headers],[Income]])</f>
        <v>0</v>
      </c>
      <c r="V30" s="29">
        <f t="shared" si="1"/>
        <v>1156.74</v>
      </c>
      <c r="W30" s="1">
        <f t="shared" si="2"/>
        <v>1156.7400000000005</v>
      </c>
    </row>
    <row r="31" spans="2:23" x14ac:dyDescent="0.2">
      <c r="B31" s="32"/>
      <c r="C31" s="37" t="str">
        <f>CONCATENATE(Table13123[[#Headers],[Transportation]]," - Budget &amp; Tracking")</f>
        <v>Transportation - Budget &amp; Tracking</v>
      </c>
      <c r="D31" s="38"/>
      <c r="E31" s="38"/>
      <c r="F31" s="39"/>
      <c r="G31" s="32"/>
      <c r="H31" s="42"/>
      <c r="J31" s="11"/>
      <c r="K31" s="11"/>
      <c r="L31" s="11"/>
      <c r="M31" s="24"/>
      <c r="N31" s="12"/>
      <c r="O31" s="11"/>
      <c r="Q31" s="42"/>
      <c r="S31" s="30">
        <f t="shared" si="0"/>
        <v>41871</v>
      </c>
      <c r="T31" s="28">
        <f>SUMIFS(Table4420131[Amount],Table4420131[Date],S31,Table4420131[Category],Table136125[[#Headers],[Income]])+SUMIFS(Table44130[Amount],Table44130[Date],S31,Table44130[Category],Table136125[[#Headers],[Income]])</f>
        <v>0</v>
      </c>
      <c r="U31" s="28">
        <f>SUMIFS(Table4124[Amount],Table4124[Date],S31,Table4124[Category],"&lt;&gt;"&amp;Table136125[[#Headers],[Income]])+SUMIFS(Table44130[Amount],Table44130[Date],S31,Table44130[Category],"&lt;&gt;"&amp;Table136125[[#Headers],[Income]])</f>
        <v>0</v>
      </c>
      <c r="V31" s="28">
        <f t="shared" si="1"/>
        <v>1156.74</v>
      </c>
      <c r="W31" s="1">
        <f t="shared" si="2"/>
        <v>1156.7400000000005</v>
      </c>
    </row>
    <row r="32" spans="2:23" x14ac:dyDescent="0.2">
      <c r="B32" s="32"/>
      <c r="C32" s="31" t="s">
        <v>12</v>
      </c>
      <c r="D32" s="31" t="s">
        <v>1</v>
      </c>
      <c r="E32" s="31" t="s">
        <v>2</v>
      </c>
      <c r="F32" s="31" t="s">
        <v>14</v>
      </c>
      <c r="G32" s="32"/>
      <c r="H32" s="42"/>
      <c r="J32" s="11"/>
      <c r="K32" s="11"/>
      <c r="L32" s="11"/>
      <c r="M32" s="24"/>
      <c r="N32" s="12"/>
      <c r="O32" s="11"/>
      <c r="Q32" s="42"/>
      <c r="S32" s="27">
        <f t="shared" si="0"/>
        <v>41872</v>
      </c>
      <c r="T32" s="29">
        <f>SUMIFS(Table4420131[Amount],Table4420131[Date],S32,Table4420131[Category],Table136125[[#Headers],[Income]])+SUMIFS(Table44130[Amount],Table44130[Date],S32,Table44130[Category],Table136125[[#Headers],[Income]])</f>
        <v>0</v>
      </c>
      <c r="U32" s="29">
        <f>SUMIFS(Table4124[Amount],Table4124[Date],S32,Table4124[Category],"&lt;&gt;"&amp;Table136125[[#Headers],[Income]])+SUMIFS(Table44130[Amount],Table44130[Date],S32,Table44130[Category],"&lt;&gt;"&amp;Table136125[[#Headers],[Income]])</f>
        <v>0</v>
      </c>
      <c r="V32" s="29">
        <f t="shared" si="1"/>
        <v>1156.74</v>
      </c>
      <c r="W32" s="1">
        <f t="shared" si="2"/>
        <v>1156.7400000000005</v>
      </c>
    </row>
    <row r="33" spans="2:23" x14ac:dyDescent="0.2">
      <c r="B33" s="32"/>
      <c r="D33" s="2"/>
      <c r="E33" s="2">
        <f>SUMIFS(Table4124[Amount],Table4124[Category],Table13123[[#Headers],[Transportation]],Table4124[Sub-Category],Table13123[[#This Row],[Transportation]])+SUMIFS(Table44130[Amount],Table44130[Category],Table13123[[#Headers],[Transportation]],Table44130[Sub-Category],Table13123[[#This Row],[Transportation]])</f>
        <v>0</v>
      </c>
      <c r="F33" s="3">
        <f>Table13123[[#This Row],[Budget]]-Table13123[[#This Row],[Actual]]</f>
        <v>0</v>
      </c>
      <c r="G33" s="32"/>
      <c r="H33" s="42"/>
      <c r="J33" s="37" t="s">
        <v>44</v>
      </c>
      <c r="K33" s="38"/>
      <c r="L33" s="38"/>
      <c r="M33" s="38"/>
      <c r="N33" s="38"/>
      <c r="O33" s="39"/>
      <c r="Q33" s="42"/>
      <c r="S33" s="30">
        <f t="shared" si="0"/>
        <v>41873</v>
      </c>
      <c r="T33" s="28">
        <f>SUMIFS(Table4420131[Amount],Table4420131[Date],S33,Table4420131[Category],Table136125[[#Headers],[Income]])+SUMIFS(Table44130[Amount],Table44130[Date],S33,Table44130[Category],Table136125[[#Headers],[Income]])</f>
        <v>0</v>
      </c>
      <c r="U33" s="28">
        <f>SUMIFS(Table4124[Amount],Table4124[Date],S33,Table4124[Category],"&lt;&gt;"&amp;Table136125[[#Headers],[Income]])+SUMIFS(Table44130[Amount],Table44130[Date],S33,Table44130[Category],"&lt;&gt;"&amp;Table136125[[#Headers],[Income]])</f>
        <v>0</v>
      </c>
      <c r="V33" s="28">
        <f t="shared" si="1"/>
        <v>1156.74</v>
      </c>
      <c r="W33" s="1">
        <f t="shared" si="2"/>
        <v>1156.7400000000005</v>
      </c>
    </row>
    <row r="34" spans="2:23" x14ac:dyDescent="0.2">
      <c r="B34" s="32"/>
      <c r="D34" s="2"/>
      <c r="E34" s="2">
        <f>SUMIFS(Table4124[Amount],Table4124[Category],Table13123[[#Headers],[Transportation]],Table4124[Sub-Category],Table13123[[#This Row],[Transportation]])+SUMIFS(Table44130[Amount],Table44130[Category],Table13123[[#Headers],[Transportation]],Table44130[Sub-Category],Table13123[[#This Row],[Transportation]])</f>
        <v>0</v>
      </c>
      <c r="F34" s="3">
        <f>Table13123[[#This Row],[Budget]]-Table13123[[#This Row],[Actual]]</f>
        <v>0</v>
      </c>
      <c r="G34" s="32"/>
      <c r="H34" s="42"/>
      <c r="J34" s="31" t="s">
        <v>9</v>
      </c>
      <c r="K34" s="31" t="s">
        <v>0</v>
      </c>
      <c r="L34" s="31" t="s">
        <v>13</v>
      </c>
      <c r="M34" s="31" t="s">
        <v>10</v>
      </c>
      <c r="N34" s="31" t="s">
        <v>11</v>
      </c>
      <c r="O34" s="31" t="s">
        <v>16</v>
      </c>
      <c r="Q34" s="42"/>
      <c r="S34" s="27">
        <f t="shared" si="0"/>
        <v>41874</v>
      </c>
      <c r="T34" s="29">
        <f>SUMIFS(Table4420131[Amount],Table4420131[Date],S34,Table4420131[Category],Table136125[[#Headers],[Income]])+SUMIFS(Table44130[Amount],Table44130[Date],S34,Table44130[Category],Table136125[[#Headers],[Income]])</f>
        <v>0</v>
      </c>
      <c r="U34" s="29">
        <f>SUMIFS(Table4124[Amount],Table4124[Date],S34,Table4124[Category],"&lt;&gt;"&amp;Table136125[[#Headers],[Income]])+SUMIFS(Table44130[Amount],Table44130[Date],S34,Table44130[Category],"&lt;&gt;"&amp;Table136125[[#Headers],[Income]])</f>
        <v>0</v>
      </c>
      <c r="V34" s="29">
        <f t="shared" si="1"/>
        <v>1156.74</v>
      </c>
      <c r="W34" s="1">
        <f t="shared" si="2"/>
        <v>1156.7400000000005</v>
      </c>
    </row>
    <row r="35" spans="2:23" x14ac:dyDescent="0.2">
      <c r="B35" s="32"/>
      <c r="C35" s="11"/>
      <c r="D35" s="12"/>
      <c r="E35" s="13">
        <f>SUMIFS(Table4124[Amount],Table4124[Category],Table13123[[#Headers],[Transportation]],Table4124[Sub-Category],Table13123[[#This Row],[Transportation]])+SUMIFS(Table44130[Amount],Table44130[Category],Table13123[[#Headers],[Transportation]],Table44130[Sub-Category],Table13123[[#This Row],[Transportation]])</f>
        <v>0</v>
      </c>
      <c r="F35" s="13">
        <f>Table13123[[#This Row],[Budget]]-Table13123[[#This Row],[Actual]]</f>
        <v>0</v>
      </c>
      <c r="G35" s="32"/>
      <c r="H35" s="42"/>
      <c r="M35" s="4"/>
      <c r="N35" s="2"/>
      <c r="Q35" s="42"/>
      <c r="S35" s="30">
        <f t="shared" si="0"/>
        <v>41875</v>
      </c>
      <c r="T35" s="28">
        <f>SUMIFS(Table4420131[Amount],Table4420131[Date],S35,Table4420131[Category],Table136125[[#Headers],[Income]])+SUMIFS(Table44130[Amount],Table44130[Date],S35,Table44130[Category],Table136125[[#Headers],[Income]])</f>
        <v>0</v>
      </c>
      <c r="U35" s="28">
        <f>SUMIFS(Table4124[Amount],Table4124[Date],S35,Table4124[Category],"&lt;&gt;"&amp;Table136125[[#Headers],[Income]])+SUMIFS(Table44130[Amount],Table44130[Date],S35,Table44130[Category],"&lt;&gt;"&amp;Table136125[[#Headers],[Income]])</f>
        <v>0</v>
      </c>
      <c r="V35" s="28">
        <f t="shared" si="1"/>
        <v>1156.74</v>
      </c>
      <c r="W35" s="1">
        <f t="shared" si="2"/>
        <v>1156.7400000000005</v>
      </c>
    </row>
    <row r="36" spans="2:23" x14ac:dyDescent="0.2">
      <c r="B36" s="32"/>
      <c r="C36" s="11"/>
      <c r="D36" s="12"/>
      <c r="E36" s="13">
        <f>SUMIFS(Table4124[Amount],Table4124[Category],Table13123[[#Headers],[Transportation]],Table4124[Sub-Category],Table13123[[#This Row],[Transportation]])+SUMIFS(Table44130[Amount],Table44130[Category],Table13123[[#Headers],[Transportation]],Table44130[Sub-Category],Table13123[[#This Row],[Transportation]])</f>
        <v>0</v>
      </c>
      <c r="F36" s="13">
        <f>Table13123[[#This Row],[Budget]]-Table13123[[#This Row],[Actual]]</f>
        <v>0</v>
      </c>
      <c r="G36" s="32"/>
      <c r="H36" s="42"/>
      <c r="M36" s="4"/>
      <c r="N36" s="2"/>
      <c r="Q36" s="42"/>
      <c r="S36" s="27">
        <f t="shared" si="0"/>
        <v>41876</v>
      </c>
      <c r="T36" s="29">
        <f>SUMIFS(Table4420131[Amount],Table4420131[Date],S36,Table4420131[Category],Table136125[[#Headers],[Income]])+SUMIFS(Table44130[Amount],Table44130[Date],S36,Table44130[Category],Table136125[[#Headers],[Income]])</f>
        <v>0</v>
      </c>
      <c r="U36" s="29">
        <f>SUMIFS(Table4124[Amount],Table4124[Date],S36,Table4124[Category],"&lt;&gt;"&amp;Table136125[[#Headers],[Income]])+SUMIFS(Table44130[Amount],Table44130[Date],S36,Table44130[Category],"&lt;&gt;"&amp;Table136125[[#Headers],[Income]])</f>
        <v>0</v>
      </c>
      <c r="V36" s="29">
        <f t="shared" si="1"/>
        <v>1156.74</v>
      </c>
      <c r="W36" s="1">
        <f t="shared" si="2"/>
        <v>1156.7400000000005</v>
      </c>
    </row>
    <row r="37" spans="2:23" x14ac:dyDescent="0.2">
      <c r="B37" s="32"/>
      <c r="C37" s="9" t="s">
        <v>20</v>
      </c>
      <c r="D37" s="10">
        <f>SUBTOTAL(109,Table13123[Budget])</f>
        <v>0</v>
      </c>
      <c r="E37" s="10">
        <f>SUBTOTAL(109,Table13123[Actual])</f>
        <v>0</v>
      </c>
      <c r="F37" s="10">
        <f>SUBTOTAL(109,Table13123[Variance])</f>
        <v>0</v>
      </c>
      <c r="G37" s="32"/>
      <c r="H37" s="42"/>
      <c r="M37" s="4"/>
      <c r="N37" s="2"/>
      <c r="Q37" s="42"/>
      <c r="S37" s="30">
        <f t="shared" si="0"/>
        <v>41877</v>
      </c>
      <c r="T37" s="28">
        <f>SUMIFS(Table4420131[Amount],Table4420131[Date],S37,Table4420131[Category],Table136125[[#Headers],[Income]])+SUMIFS(Table44130[Amount],Table44130[Date],S37,Table44130[Category],Table136125[[#Headers],[Income]])</f>
        <v>0</v>
      </c>
      <c r="U37" s="28">
        <f>SUMIFS(Table4124[Amount],Table4124[Date],S37,Table4124[Category],"&lt;&gt;"&amp;Table136125[[#Headers],[Income]])+SUMIFS(Table44130[Amount],Table44130[Date],S37,Table44130[Category],"&lt;&gt;"&amp;Table136125[[#Headers],[Income]])</f>
        <v>0</v>
      </c>
      <c r="V37" s="28">
        <f t="shared" si="1"/>
        <v>1156.74</v>
      </c>
      <c r="W37" s="1">
        <f t="shared" si="2"/>
        <v>1156.7400000000005</v>
      </c>
    </row>
    <row r="38" spans="2:23" x14ac:dyDescent="0.2">
      <c r="B38" s="32"/>
      <c r="C38" s="26"/>
      <c r="D38" s="23"/>
      <c r="E38" s="23"/>
      <c r="F38" s="23"/>
      <c r="G38" s="32"/>
      <c r="H38" s="42"/>
      <c r="J38" s="11"/>
      <c r="K38" s="11"/>
      <c r="L38" s="11"/>
      <c r="M38" s="24"/>
      <c r="N38" s="12"/>
      <c r="O38" s="11"/>
      <c r="Q38" s="42"/>
      <c r="S38" s="27">
        <f t="shared" si="0"/>
        <v>41878</v>
      </c>
      <c r="T38" s="29">
        <f>SUMIFS(Table4420131[Amount],Table4420131[Date],S38,Table4420131[Category],Table136125[[#Headers],[Income]])+SUMIFS(Table44130[Amount],Table44130[Date],S38,Table44130[Category],Table136125[[#Headers],[Income]])</f>
        <v>0</v>
      </c>
      <c r="U38" s="29">
        <f>SUMIFS(Table4124[Amount],Table4124[Date],S38,Table4124[Category],"&lt;&gt;"&amp;Table136125[[#Headers],[Income]])+SUMIFS(Table44130[Amount],Table44130[Date],S38,Table44130[Category],"&lt;&gt;"&amp;Table136125[[#Headers],[Income]])</f>
        <v>0</v>
      </c>
      <c r="V38" s="29">
        <f t="shared" si="1"/>
        <v>1156.74</v>
      </c>
      <c r="W38" s="1">
        <f t="shared" si="2"/>
        <v>1156.7400000000005</v>
      </c>
    </row>
    <row r="39" spans="2:23" x14ac:dyDescent="0.2">
      <c r="B39" s="32"/>
      <c r="C39" s="37" t="str">
        <f>CONCATENATE(Table13910129[[#Headers],[Bills]]," - Budget &amp; Tracking")</f>
        <v>Bills - Budget &amp; Tracking</v>
      </c>
      <c r="D39" s="38"/>
      <c r="E39" s="38"/>
      <c r="F39" s="39"/>
      <c r="G39" s="32"/>
      <c r="H39" s="42"/>
      <c r="J39" s="11"/>
      <c r="K39" s="11"/>
      <c r="L39" s="11"/>
      <c r="M39" s="24"/>
      <c r="N39" s="12"/>
      <c r="O39" s="11"/>
      <c r="Q39" s="42"/>
      <c r="S39" s="30">
        <f t="shared" si="0"/>
        <v>41879</v>
      </c>
      <c r="T39" s="28">
        <f>SUMIFS(Table4420131[Amount],Table4420131[Date],S39,Table4420131[Category],Table136125[[#Headers],[Income]])+SUMIFS(Table44130[Amount],Table44130[Date],S39,Table44130[Category],Table136125[[#Headers],[Income]])</f>
        <v>0</v>
      </c>
      <c r="U39" s="28">
        <f>SUMIFS(Table4124[Amount],Table4124[Date],S39,Table4124[Category],"&lt;&gt;"&amp;Table136125[[#Headers],[Income]])+SUMIFS(Table44130[Amount],Table44130[Date],S39,Table44130[Category],"&lt;&gt;"&amp;Table136125[[#Headers],[Income]])</f>
        <v>0</v>
      </c>
      <c r="V39" s="28">
        <f t="shared" si="1"/>
        <v>1156.74</v>
      </c>
      <c r="W39" s="1">
        <f t="shared" si="2"/>
        <v>1156.7400000000005</v>
      </c>
    </row>
    <row r="40" spans="2:23" x14ac:dyDescent="0.2">
      <c r="B40" s="32"/>
      <c r="C40" s="31" t="s">
        <v>30</v>
      </c>
      <c r="D40" s="31" t="s">
        <v>1</v>
      </c>
      <c r="E40" s="31" t="s">
        <v>2</v>
      </c>
      <c r="F40" s="31" t="s">
        <v>14</v>
      </c>
      <c r="G40" s="32"/>
      <c r="H40" s="42"/>
      <c r="J40" s="11"/>
      <c r="K40" s="11"/>
      <c r="L40" s="11"/>
      <c r="M40" s="24"/>
      <c r="N40" s="12"/>
      <c r="O40" s="11"/>
      <c r="Q40" s="42"/>
      <c r="S40" s="27">
        <f t="shared" si="0"/>
        <v>41880</v>
      </c>
      <c r="T40" s="29">
        <f>SUMIFS(Table4420131[Amount],Table4420131[Date],S40,Table4420131[Category],Table136125[[#Headers],[Income]])+SUMIFS(Table44130[Amount],Table44130[Date],S40,Table44130[Category],Table136125[[#Headers],[Income]])</f>
        <v>0</v>
      </c>
      <c r="U40" s="29">
        <f>SUMIFS(Table4124[Amount],Table4124[Date],S40,Table4124[Category],"&lt;&gt;"&amp;Table136125[[#Headers],[Income]])+SUMIFS(Table44130[Amount],Table44130[Date],S40,Table44130[Category],"&lt;&gt;"&amp;Table136125[[#Headers],[Income]])</f>
        <v>0</v>
      </c>
      <c r="V40" s="29">
        <f t="shared" si="1"/>
        <v>1156.74</v>
      </c>
      <c r="W40" s="1">
        <f t="shared" si="2"/>
        <v>1156.7400000000005</v>
      </c>
    </row>
    <row r="41" spans="2:23" x14ac:dyDescent="0.2">
      <c r="B41" s="32"/>
      <c r="D41" s="2"/>
      <c r="E41" s="2">
        <f>SUMIFS(Table4124[Amount],Table4124[Category],Table13910129[[#Headers],[Bills]],Table4124[Sub-Category],Table13910129[[#This Row],[Bills]])+SUMIFS(Table44130[Amount],Table44130[Category],Table13910129[[#Headers],[Bills]],Table44130[Sub-Category],Table13910129[[#This Row],[Bills]])</f>
        <v>0</v>
      </c>
      <c r="F41" s="3">
        <f>Table13910129[[#This Row],[Budget]]-Table13910129[[#This Row],[Actual]]</f>
        <v>0</v>
      </c>
      <c r="G41" s="32"/>
      <c r="H41" s="42"/>
      <c r="Q41" s="42"/>
      <c r="S41" s="30">
        <f t="shared" si="0"/>
        <v>41881</v>
      </c>
      <c r="T41" s="28">
        <f>SUMIFS(Table4420131[Amount],Table4420131[Date],S41,Table4420131[Category],Table136125[[#Headers],[Income]])+SUMIFS(Table44130[Amount],Table44130[Date],S41,Table44130[Category],Table136125[[#Headers],[Income]])</f>
        <v>0</v>
      </c>
      <c r="U41" s="28">
        <f>SUMIFS(Table4124[Amount],Table4124[Date],S41,Table4124[Category],"&lt;&gt;"&amp;Table136125[[#Headers],[Income]])+SUMIFS(Table44130[Amount],Table44130[Date],S41,Table44130[Category],"&lt;&gt;"&amp;Table136125[[#Headers],[Income]])</f>
        <v>0</v>
      </c>
      <c r="V41" s="28">
        <f t="shared" si="1"/>
        <v>1156.74</v>
      </c>
      <c r="W41" s="1">
        <f t="shared" si="2"/>
        <v>1156.7400000000005</v>
      </c>
    </row>
    <row r="42" spans="2:23" x14ac:dyDescent="0.2">
      <c r="B42" s="32"/>
      <c r="D42" s="2"/>
      <c r="E42" s="2">
        <f>SUMIFS(Table4124[Amount],Table4124[Category],Table13910129[[#Headers],[Bills]],Table4124[Sub-Category],Table13910129[[#This Row],[Bills]])+SUMIFS(Table44130[Amount],Table44130[Category],Table13910129[[#Headers],[Bills]],Table44130[Sub-Category],Table13910129[[#This Row],[Bills]])</f>
        <v>0</v>
      </c>
      <c r="F42" s="3">
        <f>Table13910129[[#This Row],[Budget]]-Table13910129[[#This Row],[Actual]]</f>
        <v>0</v>
      </c>
      <c r="G42" s="32"/>
      <c r="H42" s="42"/>
      <c r="Q42" s="42"/>
      <c r="S42" s="27">
        <f t="shared" si="0"/>
        <v>41882</v>
      </c>
      <c r="T42" s="29">
        <f>SUMIFS(Table4420131[Amount],Table4420131[Date],S42,Table4420131[Category],Table136125[[#Headers],[Income]])+SUMIFS(Table44130[Amount],Table44130[Date],S42,Table44130[Category],Table136125[[#Headers],[Income]])</f>
        <v>0</v>
      </c>
      <c r="U42" s="29">
        <f>SUMIFS(Table4124[Amount],Table4124[Date],S42,Table4124[Category],"&lt;&gt;"&amp;Table136125[[#Headers],[Income]])+SUMIFS(Table44130[Amount],Table44130[Date],S42,Table44130[Category],"&lt;&gt;"&amp;Table136125[[#Headers],[Income]])</f>
        <v>0</v>
      </c>
      <c r="V42" s="29">
        <f t="shared" si="1"/>
        <v>1156.74</v>
      </c>
      <c r="W42" s="1">
        <f t="shared" si="2"/>
        <v>1156.7400000000005</v>
      </c>
    </row>
    <row r="43" spans="2:23" x14ac:dyDescent="0.2">
      <c r="B43" s="32"/>
      <c r="C43" s="11"/>
      <c r="D43" s="12"/>
      <c r="E43" s="13">
        <f>SUMIFS(Table4124[Amount],Table4124[Category],Table13910129[[#Headers],[Bills]],Table4124[Sub-Category],Table13910129[[#This Row],[Bills]])+SUMIFS(Table44130[Amount],Table44130[Category],Table13910129[[#Headers],[Bills]],Table44130[Sub-Category],Table13910129[[#This Row],[Bills]])</f>
        <v>0</v>
      </c>
      <c r="F43" s="13">
        <f>Table13910129[[#This Row],[Budget]]-Table13910129[[#This Row],[Actual]]</f>
        <v>0</v>
      </c>
      <c r="G43" s="32"/>
      <c r="H43" s="42"/>
      <c r="Q43" s="42"/>
      <c r="S43" s="8"/>
    </row>
    <row r="44" spans="2:23" x14ac:dyDescent="0.2">
      <c r="B44" s="32"/>
      <c r="C44" s="11"/>
      <c r="D44" s="12"/>
      <c r="E44" s="13">
        <f>SUMIFS(Table4124[Amount],Table4124[Category],Table13910129[[#Headers],[Bills]],Table4124[Sub-Category],Table13910129[[#This Row],[Bills]])+SUMIFS(Table44130[Amount],Table44130[Category],Table13910129[[#Headers],[Bills]],Table44130[Sub-Category],Table13910129[[#This Row],[Bills]])</f>
        <v>0</v>
      </c>
      <c r="F44" s="13">
        <f>Table13910129[[#This Row],[Budget]]-Table13910129[[#This Row],[Actual]]</f>
        <v>0</v>
      </c>
      <c r="G44" s="32"/>
      <c r="H44" s="42"/>
      <c r="Q44" s="42"/>
      <c r="S44" s="8"/>
    </row>
    <row r="45" spans="2:23" x14ac:dyDescent="0.2">
      <c r="B45" s="32"/>
      <c r="C45" s="11"/>
      <c r="D45" s="12"/>
      <c r="E45" s="13">
        <f>SUMIFS(Table4124[Amount],Table4124[Category],Table13910129[[#Headers],[Bills]],Table4124[Sub-Category],Table13910129[[#This Row],[Bills]])+SUMIFS(Table44130[Amount],Table44130[Category],Table13910129[[#Headers],[Bills]],Table44130[Sub-Category],Table13910129[[#This Row],[Bills]])</f>
        <v>0</v>
      </c>
      <c r="F45" s="13">
        <f>Table13910129[[#This Row],[Budget]]-Table13910129[[#This Row],[Actual]]</f>
        <v>0</v>
      </c>
      <c r="G45" s="32"/>
      <c r="H45" s="42"/>
      <c r="Q45" s="42"/>
    </row>
    <row r="46" spans="2:23" x14ac:dyDescent="0.2">
      <c r="B46" s="32"/>
      <c r="C46" s="9" t="s">
        <v>20</v>
      </c>
      <c r="D46" s="10">
        <f>SUBTOTAL(109,Table13910129[Budget])</f>
        <v>0</v>
      </c>
      <c r="E46" s="10">
        <f>SUBTOTAL(109,Table13910129[Actual])</f>
        <v>0</v>
      </c>
      <c r="F46" s="10">
        <f>SUBTOTAL(109,Table13910129[Variance])</f>
        <v>0</v>
      </c>
      <c r="G46" s="32"/>
      <c r="H46" s="42"/>
      <c r="Q46" s="42"/>
    </row>
    <row r="47" spans="2:23" x14ac:dyDescent="0.2">
      <c r="B47" s="32"/>
      <c r="C47" s="20"/>
      <c r="D47" s="21"/>
      <c r="E47" s="21"/>
      <c r="F47" s="22"/>
      <c r="G47" s="32"/>
      <c r="H47" s="42"/>
      <c r="Q47" s="42"/>
    </row>
    <row r="48" spans="2:23" x14ac:dyDescent="0.2">
      <c r="B48" s="32"/>
      <c r="C48" s="37" t="str">
        <f>CONCATENATE(Table137126[[#Headers],[Living]]," - Budget &amp; Tracking")</f>
        <v>Living - Budget &amp; Tracking</v>
      </c>
      <c r="D48" s="38"/>
      <c r="E48" s="38"/>
      <c r="F48" s="39"/>
      <c r="G48" s="32"/>
      <c r="H48" s="42"/>
      <c r="Q48" s="42"/>
    </row>
    <row r="49" spans="2:17" x14ac:dyDescent="0.2">
      <c r="B49" s="32"/>
      <c r="C49" s="31" t="s">
        <v>25</v>
      </c>
      <c r="D49" s="31" t="s">
        <v>1</v>
      </c>
      <c r="E49" s="31" t="s">
        <v>2</v>
      </c>
      <c r="F49" s="31" t="s">
        <v>14</v>
      </c>
      <c r="G49" s="32"/>
      <c r="H49" s="42"/>
      <c r="Q49" s="42"/>
    </row>
    <row r="50" spans="2:17" x14ac:dyDescent="0.2">
      <c r="B50" s="32"/>
      <c r="D50" s="2"/>
      <c r="E50" s="2">
        <f>SUMIFS(Table4124[Amount],Table4124[Category],Table137126[[#Headers],[Living]],Table4124[Sub-Category],Table137126[[#This Row],[Living]])+SUMIFS(Table44130[Amount],Table44130[Category],Table137126[[#Headers],[Living]],Table44130[Sub-Category],Table137126[[#This Row],[Living]])</f>
        <v>0</v>
      </c>
      <c r="F50" s="3">
        <f>Table137126[[#This Row],[Budget]]-Table137126[[#This Row],[Actual]]</f>
        <v>0</v>
      </c>
      <c r="G50" s="32"/>
      <c r="H50" s="42"/>
      <c r="Q50" s="42"/>
    </row>
    <row r="51" spans="2:17" x14ac:dyDescent="0.2">
      <c r="B51" s="32"/>
      <c r="D51" s="2"/>
      <c r="E51" s="2">
        <f>SUMIFS(Table4124[Amount],Table4124[Category],Table137126[[#Headers],[Living]],Table4124[Sub-Category],Table137126[[#This Row],[Living]])+SUMIFS(Table44130[Amount],Table44130[Category],Table137126[[#Headers],[Living]],Table44130[Sub-Category],Table137126[[#This Row],[Living]])</f>
        <v>0</v>
      </c>
      <c r="F51" s="3">
        <f>Table137126[[#This Row],[Budget]]-Table137126[[#This Row],[Actual]]</f>
        <v>0</v>
      </c>
      <c r="G51" s="32"/>
      <c r="H51" s="42"/>
      <c r="Q51" s="42"/>
    </row>
    <row r="52" spans="2:17" x14ac:dyDescent="0.2">
      <c r="B52" s="32"/>
      <c r="C52" s="11"/>
      <c r="D52" s="12"/>
      <c r="E52" s="13">
        <f>SUMIFS(Table4124[Amount],Table4124[Category],Table137126[[#Headers],[Living]],Table4124[Sub-Category],Table137126[[#This Row],[Living]])+SUMIFS(Table44130[Amount],Table44130[Category],Table137126[[#Headers],[Living]],Table44130[Sub-Category],Table137126[[#This Row],[Living]])</f>
        <v>0</v>
      </c>
      <c r="F52" s="13">
        <f>Table137126[[#This Row],[Budget]]-Table137126[[#This Row],[Actual]]</f>
        <v>0</v>
      </c>
      <c r="G52" s="32"/>
      <c r="H52" s="42"/>
      <c r="Q52" s="42"/>
    </row>
    <row r="53" spans="2:17" x14ac:dyDescent="0.2">
      <c r="B53" s="32"/>
      <c r="C53" s="11"/>
      <c r="D53" s="12"/>
      <c r="E53" s="13">
        <f>SUMIFS(Table4124[Amount],Table4124[Category],Table137126[[#Headers],[Living]],Table4124[Sub-Category],Table137126[[#This Row],[Living]])+SUMIFS(Table44130[Amount],Table44130[Category],Table137126[[#Headers],[Living]],Table44130[Sub-Category],Table137126[[#This Row],[Living]])</f>
        <v>0</v>
      </c>
      <c r="F53" s="13">
        <f>Table137126[[#This Row],[Budget]]-Table137126[[#This Row],[Actual]]</f>
        <v>0</v>
      </c>
      <c r="G53" s="32"/>
      <c r="H53" s="42"/>
      <c r="Q53" s="42"/>
    </row>
    <row r="54" spans="2:17" x14ac:dyDescent="0.2">
      <c r="B54" s="32"/>
      <c r="C54" s="9" t="s">
        <v>20</v>
      </c>
      <c r="D54" s="10">
        <f>SUBTOTAL(109,Table137126[Budget])</f>
        <v>0</v>
      </c>
      <c r="E54" s="10">
        <f>SUBTOTAL(109,Table137126[Actual])</f>
        <v>0</v>
      </c>
      <c r="F54" s="10">
        <f>SUBTOTAL(109,Table137126[Variance])</f>
        <v>0</v>
      </c>
      <c r="G54" s="32"/>
      <c r="H54" s="42"/>
      <c r="Q54" s="42"/>
    </row>
    <row r="55" spans="2:17" x14ac:dyDescent="0.2">
      <c r="B55" s="32"/>
      <c r="C55" s="20"/>
      <c r="D55" s="21"/>
      <c r="E55" s="21"/>
      <c r="F55" s="22"/>
      <c r="G55" s="32"/>
      <c r="H55" s="42"/>
      <c r="Q55" s="42"/>
    </row>
    <row r="56" spans="2:17" x14ac:dyDescent="0.2">
      <c r="B56" s="32"/>
      <c r="C56" s="37" t="str">
        <f>CONCATENATE(Table138127[[#Headers],[Entertainment]]," - Budget &amp; Tracking")</f>
        <v>Entertainment - Budget &amp; Tracking</v>
      </c>
      <c r="D56" s="38"/>
      <c r="E56" s="38"/>
      <c r="F56" s="39"/>
      <c r="G56" s="32"/>
      <c r="H56" s="42"/>
      <c r="Q56" s="42"/>
    </row>
    <row r="57" spans="2:17" x14ac:dyDescent="0.2">
      <c r="B57" s="32"/>
      <c r="C57" s="31" t="s">
        <v>24</v>
      </c>
      <c r="D57" s="31" t="s">
        <v>1</v>
      </c>
      <c r="E57" s="31" t="s">
        <v>2</v>
      </c>
      <c r="F57" s="31" t="s">
        <v>14</v>
      </c>
      <c r="G57" s="32"/>
      <c r="H57" s="42"/>
      <c r="Q57" s="42"/>
    </row>
    <row r="58" spans="2:17" x14ac:dyDescent="0.2">
      <c r="B58" s="32"/>
      <c r="D58" s="2"/>
      <c r="E58" s="2">
        <f>SUMIFS(Table4124[Amount],Table4124[Category],Table138127[[#Headers],[Entertainment]],Table4124[Sub-Category],Table138127[[#This Row],[Entertainment]])+SUMIFS(Table44130[Amount],Table44130[Category],Table138127[[#Headers],[Entertainment]],Table44130[Sub-Category],Table138127[[#This Row],[Entertainment]])</f>
        <v>0</v>
      </c>
      <c r="F58" s="3">
        <f>Table138127[[#This Row],[Budget]]-Table138127[[#This Row],[Actual]]</f>
        <v>0</v>
      </c>
      <c r="G58" s="32"/>
      <c r="H58" s="42"/>
      <c r="Q58" s="42"/>
    </row>
    <row r="59" spans="2:17" x14ac:dyDescent="0.2">
      <c r="B59" s="33"/>
      <c r="D59" s="2"/>
      <c r="E59" s="2">
        <f>SUMIFS(Table4124[Amount],Table4124[Category],Table138127[[#Headers],[Entertainment]],Table4124[Sub-Category],Table138127[[#This Row],[Entertainment]])+SUMIFS(Table44130[Amount],Table44130[Category],Table138127[[#Headers],[Entertainment]],Table44130[Sub-Category],Table138127[[#This Row],[Entertainment]])</f>
        <v>0</v>
      </c>
      <c r="F59" s="3">
        <f>Table138127[[#This Row],[Budget]]-Table138127[[#This Row],[Actual]]</f>
        <v>0</v>
      </c>
      <c r="G59" s="33"/>
      <c r="H59" s="42"/>
      <c r="Q59" s="42"/>
    </row>
    <row r="60" spans="2:17" x14ac:dyDescent="0.2">
      <c r="C60" s="9" t="s">
        <v>20</v>
      </c>
      <c r="D60" s="10">
        <f>SUBTOTAL(109,Table138127[Budget])</f>
        <v>0</v>
      </c>
      <c r="E60" s="10">
        <f>SUBTOTAL(109,Table138127[Actual])</f>
        <v>0</v>
      </c>
      <c r="F60" s="10">
        <f>SUBTOTAL(109,Table138127[Variance])</f>
        <v>0</v>
      </c>
      <c r="H60" s="42"/>
      <c r="Q60" s="42"/>
    </row>
    <row r="61" spans="2:17" x14ac:dyDescent="0.2">
      <c r="C61" s="26"/>
      <c r="D61" s="23"/>
      <c r="E61" s="23"/>
      <c r="F61" s="23"/>
      <c r="H61" s="42"/>
      <c r="Q61" s="42"/>
    </row>
    <row r="62" spans="2:17" x14ac:dyDescent="0.2">
      <c r="C62" s="37" t="str">
        <f>CONCATENATE(Table139128[[#Headers],[Misc.]]," - Budget &amp; Tracking")</f>
        <v>Misc. - Budget &amp; Tracking</v>
      </c>
      <c r="D62" s="38"/>
      <c r="E62" s="38"/>
      <c r="F62" s="39"/>
      <c r="H62" s="42"/>
      <c r="Q62" s="42"/>
    </row>
    <row r="63" spans="2:17" x14ac:dyDescent="0.2">
      <c r="C63" s="31" t="s">
        <v>27</v>
      </c>
      <c r="D63" s="31" t="s">
        <v>1</v>
      </c>
      <c r="E63" s="31" t="s">
        <v>2</v>
      </c>
      <c r="F63" s="31" t="s">
        <v>14</v>
      </c>
      <c r="H63" s="42"/>
      <c r="Q63" s="42"/>
    </row>
    <row r="64" spans="2:17" x14ac:dyDescent="0.2">
      <c r="C64" s="11"/>
      <c r="D64" s="12"/>
      <c r="E64" s="13">
        <f>SUMIFS(Table4124[Amount],Table4124[Category],Table139128[[#Headers],[Misc.]],Table4124[Sub-Category],Table139128[[#This Row],[Misc.]])+SUMIFS(Table44130[Amount],Table44130[Category],Table139128[[#Headers],[Misc.]],Table44130[Sub-Category],Table139128[[#This Row],[Misc.]])</f>
        <v>0</v>
      </c>
      <c r="F64" s="13">
        <f>Table139128[[#This Row],[Budget]]-Table139128[[#This Row],[Actual]]</f>
        <v>0</v>
      </c>
      <c r="H64" s="42"/>
      <c r="Q64" s="42"/>
    </row>
    <row r="65" spans="3:17" x14ac:dyDescent="0.2">
      <c r="C65" s="11"/>
      <c r="D65" s="12"/>
      <c r="E65" s="13">
        <f>SUMIFS(Table4124[Amount],Table4124[Category],Table139128[[#Headers],[Misc.]],Table4124[Sub-Category],Table139128[[#This Row],[Misc.]])+SUMIFS(Table44130[Amount],Table44130[Category],Table139128[[#Headers],[Misc.]],Table44130[Sub-Category],Table139128[[#This Row],[Misc.]])</f>
        <v>0</v>
      </c>
      <c r="F65" s="13">
        <f>Table139128[[#This Row],[Budget]]-Table139128[[#This Row],[Actual]]</f>
        <v>0</v>
      </c>
      <c r="H65" s="42"/>
      <c r="Q65" s="42"/>
    </row>
    <row r="66" spans="3:17" x14ac:dyDescent="0.2">
      <c r="C66" s="9" t="s">
        <v>20</v>
      </c>
      <c r="D66" s="10">
        <f>SUBTOTAL(109,Table139128[Budget])</f>
        <v>0</v>
      </c>
      <c r="E66" s="10">
        <f>SUBTOTAL(109,Table139128[Actual])</f>
        <v>0</v>
      </c>
      <c r="F66" s="10">
        <f>SUBTOTAL(109,Table139128[Variance])</f>
        <v>0</v>
      </c>
      <c r="H66" s="42"/>
      <c r="Q66" s="42"/>
    </row>
    <row r="67" spans="3:17" x14ac:dyDescent="0.2">
      <c r="C67" s="26"/>
      <c r="D67" s="23"/>
      <c r="E67" s="23"/>
      <c r="F67" s="23"/>
    </row>
    <row r="68" spans="3:17" x14ac:dyDescent="0.2">
      <c r="C68" s="33"/>
      <c r="D68" s="34"/>
      <c r="E68" s="34"/>
      <c r="F68" s="34"/>
    </row>
  </sheetData>
  <mergeCells count="1">
    <mergeCell ref="C1:F1"/>
  </mergeCells>
  <conditionalFormatting sqref="F33:F36">
    <cfRule type="iconSet" priority="23">
      <iconSet iconSet="3Symbols">
        <cfvo type="percent" val="0"/>
        <cfvo type="num" val="0"/>
        <cfvo type="num" val="10"/>
      </iconSet>
    </cfRule>
  </conditionalFormatting>
  <conditionalFormatting sqref="F50:F53">
    <cfRule type="iconSet" priority="21">
      <iconSet iconSet="3Symbols">
        <cfvo type="percent" val="0"/>
        <cfvo type="num" val="0"/>
        <cfvo type="num" val="10"/>
      </iconSet>
    </cfRule>
  </conditionalFormatting>
  <conditionalFormatting sqref="F58:F59">
    <cfRule type="iconSet" priority="20">
      <iconSet iconSet="3Symbols">
        <cfvo type="percent" val="0"/>
        <cfvo type="num" val="0"/>
        <cfvo type="num" val="10"/>
      </iconSet>
    </cfRule>
  </conditionalFormatting>
  <conditionalFormatting sqref="F41:F45">
    <cfRule type="iconSet" priority="19">
      <iconSet iconSet="3Symbols">
        <cfvo type="percent" val="0"/>
        <cfvo type="num" val="0"/>
        <cfvo type="num" val="10"/>
      </iconSet>
    </cfRule>
  </conditionalFormatting>
  <conditionalFormatting sqref="D6:E6">
    <cfRule type="iconSet" priority="18">
      <iconSet iconSet="3Symbols">
        <cfvo type="percent" val="0"/>
        <cfvo type="num" val="0" gte="0"/>
        <cfvo type="num" val="10"/>
      </iconSet>
    </cfRule>
  </conditionalFormatting>
  <conditionalFormatting sqref="F3:F6">
    <cfRule type="iconSet" priority="17">
      <iconSet iconSet="3Arrows">
        <cfvo type="percent" val="0"/>
        <cfvo type="num" val="-50"/>
        <cfvo type="num" val="0" gte="0"/>
      </iconSet>
    </cfRule>
  </conditionalFormatting>
  <conditionalFormatting sqref="F20:F28">
    <cfRule type="iconSet" priority="24">
      <iconSet iconSet="3Symbols">
        <cfvo type="percent" val="0"/>
        <cfvo type="num" val="0"/>
        <cfvo type="num" val="10"/>
      </iconSet>
    </cfRule>
  </conditionalFormatting>
  <conditionalFormatting sqref="S12">
    <cfRule type="cellIs" dxfId="15" priority="16" operator="equal">
      <formula>TODAY()</formula>
    </cfRule>
  </conditionalFormatting>
  <conditionalFormatting sqref="T12 T20:U42">
    <cfRule type="expression" dxfId="14" priority="15">
      <formula>IF($S12=TODAY(),TRUE)</formula>
    </cfRule>
  </conditionalFormatting>
  <conditionalFormatting sqref="U12">
    <cfRule type="expression" dxfId="13" priority="14">
      <formula>IF($S12=TODAY(),TRUE)</formula>
    </cfRule>
  </conditionalFormatting>
  <conditionalFormatting sqref="V12 V20:V42">
    <cfRule type="expression" dxfId="12" priority="13">
      <formula>IF($S12=TODAY(),TRUE)</formula>
    </cfRule>
  </conditionalFormatting>
  <conditionalFormatting sqref="S13:S15">
    <cfRule type="cellIs" dxfId="11" priority="12" operator="equal">
      <formula>TODAY()</formula>
    </cfRule>
  </conditionalFormatting>
  <conditionalFormatting sqref="T13:T15">
    <cfRule type="expression" dxfId="10" priority="11">
      <formula>IF($S13=TODAY(),TRUE)</formula>
    </cfRule>
  </conditionalFormatting>
  <conditionalFormatting sqref="U13:U15">
    <cfRule type="expression" dxfId="9" priority="10">
      <formula>IF($S13=TODAY(),TRUE)</formula>
    </cfRule>
  </conditionalFormatting>
  <conditionalFormatting sqref="V13:V15">
    <cfRule type="expression" dxfId="8" priority="9">
      <formula>IF($S13=TODAY(),TRUE)</formula>
    </cfRule>
  </conditionalFormatting>
  <conditionalFormatting sqref="S16 S20 S24 S28 S32 S36 S40">
    <cfRule type="cellIs" dxfId="7" priority="8" operator="equal">
      <formula>TODAY()</formula>
    </cfRule>
  </conditionalFormatting>
  <conditionalFormatting sqref="T16">
    <cfRule type="expression" dxfId="6" priority="7">
      <formula>IF($S16=TODAY(),TRUE)</formula>
    </cfRule>
  </conditionalFormatting>
  <conditionalFormatting sqref="U16">
    <cfRule type="expression" dxfId="5" priority="6">
      <formula>IF($S16=TODAY(),TRUE)</formula>
    </cfRule>
  </conditionalFormatting>
  <conditionalFormatting sqref="V16">
    <cfRule type="expression" dxfId="4" priority="5">
      <formula>IF($S16=TODAY(),TRUE)</formula>
    </cfRule>
  </conditionalFormatting>
  <conditionalFormatting sqref="S17:S19 S21:S23 S25:S27 S29:S31 S33:S35 S37:S39 S41:S42">
    <cfRule type="cellIs" dxfId="3" priority="4" operator="equal">
      <formula>TODAY()</formula>
    </cfRule>
  </conditionalFormatting>
  <conditionalFormatting sqref="T17:T19">
    <cfRule type="expression" dxfId="2" priority="3">
      <formula>IF($S17=TODAY(),TRUE)</formula>
    </cfRule>
  </conditionalFormatting>
  <conditionalFormatting sqref="U17:U19">
    <cfRule type="expression" dxfId="1" priority="2">
      <formula>IF($S17=TODAY(),TRUE)</formula>
    </cfRule>
  </conditionalFormatting>
  <conditionalFormatting sqref="V17:V19">
    <cfRule type="expression" dxfId="0" priority="1">
      <formula>IF($S17=TODAY(),TRUE)</formula>
    </cfRule>
  </conditionalFormatting>
  <conditionalFormatting sqref="F66:F68">
    <cfRule type="iconSet" priority="25">
      <iconSet iconSet="3Symbols">
        <cfvo type="percent" val="0"/>
        <cfvo type="num" val="0" gte="0"/>
        <cfvo type="num" val="10"/>
      </iconSet>
    </cfRule>
  </conditionalFormatting>
  <conditionalFormatting sqref="F60:F61">
    <cfRule type="iconSet" priority="26">
      <iconSet iconSet="3Symbols">
        <cfvo type="percent" val="0"/>
        <cfvo type="num" val="0" gte="0"/>
        <cfvo type="num" val="10"/>
      </iconSet>
    </cfRule>
  </conditionalFormatting>
  <conditionalFormatting sqref="F54:F55">
    <cfRule type="iconSet" priority="27">
      <iconSet iconSet="3Symbols">
        <cfvo type="percent" val="0"/>
        <cfvo type="num" val="0" gte="0"/>
        <cfvo type="num" val="10" gte="0"/>
      </iconSet>
    </cfRule>
  </conditionalFormatting>
  <conditionalFormatting sqref="F46:F47">
    <cfRule type="iconSet" priority="28">
      <iconSet iconSet="3Symbols">
        <cfvo type="percent" val="0"/>
        <cfvo type="num" val="0" gte="0"/>
        <cfvo type="num" val="10"/>
      </iconSet>
    </cfRule>
  </conditionalFormatting>
  <conditionalFormatting sqref="F37:F38">
    <cfRule type="iconSet" priority="29">
      <iconSet iconSet="3Symbols">
        <cfvo type="percent" val="0"/>
        <cfvo type="num" val="0" gte="0"/>
        <cfvo type="num" val="10"/>
      </iconSet>
    </cfRule>
  </conditionalFormatting>
  <conditionalFormatting sqref="F29:F30">
    <cfRule type="iconSet" priority="30">
      <iconSet iconSet="3Symbols">
        <cfvo type="percent" val="0"/>
        <cfvo type="num" val="0" gte="0"/>
        <cfvo type="num" val="10"/>
      </iconSet>
    </cfRule>
  </conditionalFormatting>
  <conditionalFormatting sqref="F64:F65">
    <cfRule type="iconSet" priority="32">
      <iconSet iconSet="3Symbols">
        <cfvo type="percent" val="0"/>
        <cfvo type="num" val="0"/>
        <cfvo type="num" val="10"/>
      </iconSet>
    </cfRule>
  </conditionalFormatting>
  <dataValidations count="3">
    <dataValidation type="list" allowBlank="1" showInputMessage="1" showErrorMessage="1" sqref="O35:O40 O19:O32 O12:O16">
      <formula1>$U$2:$U$4</formula1>
    </dataValidation>
    <dataValidation type="list" allowBlank="1" showInputMessage="1" showErrorMessage="1" sqref="K35:K40 K19:K32 K12:K16">
      <formula1>$R$2:$R$8</formula1>
    </dataValidation>
    <dataValidation type="list" allowBlank="1" showInputMessage="1" showErrorMessage="1" sqref="L35:L40 L12:L16 L19:L32">
      <formula1>INDIRECT(K12)</formula1>
    </dataValidation>
  </dataValidations>
  <printOptions horizontalCentered="1"/>
  <pageMargins left="0.2" right="0.2" top="0.25" bottom="0.25" header="0.3" footer="0.3"/>
  <pageSetup scale="76" orientation="landscape" r:id="rId1"/>
  <drawing r:id="rId2"/>
  <tableParts count="10">
    <tablePart r:id="rId3"/>
    <tablePart r:id="rId4"/>
    <tablePart r:id="rId5"/>
    <tablePart r:id="rId6"/>
    <tablePart r:id="rId7"/>
    <tablePart r:id="rId8"/>
    <tablePart r:id="rId9"/>
    <tablePart r:id="rId10"/>
    <tablePart r:id="rId11"/>
    <tablePart r:id="rId12"/>
  </tableParts>
  <extLst>
    <ext xmlns:x14="http://schemas.microsoft.com/office/spreadsheetml/2009/9/main" uri="{78C0D931-6437-407d-A8EE-F0AAD7539E65}">
      <x14:conditionalFormattings>
        <x14:conditionalFormatting xmlns:xm="http://schemas.microsoft.com/office/excel/2006/main">
          <x14:cfRule type="iconSet" priority="22" id="{AD3E7518-67E9-4572-98F0-5D0DC3AFA136}">
            <x14:iconSet iconSet="3Symbols" custom="1">
              <x14:cfvo type="percent">
                <xm:f>0</xm:f>
              </x14:cfvo>
              <x14:cfvo type="num">
                <xm:f>0</xm:f>
              </x14:cfvo>
              <x14:cfvo type="num">
                <xm:f>10</xm:f>
              </x14:cfvo>
              <x14:cfIcon iconSet="3Symbols" iconId="0"/>
              <x14:cfIcon iconSet="3Symbols" iconId="1"/>
              <x14:cfIcon iconSet="3Symbols" iconId="2"/>
            </x14:iconSet>
          </x14:cfRule>
          <xm:sqref>F12:F15</xm:sqref>
        </x14:conditionalFormatting>
        <x14:conditionalFormatting xmlns:xm="http://schemas.microsoft.com/office/excel/2006/main">
          <x14:cfRule type="iconSet" priority="31" id="{240A2932-2C15-4C8F-AFB0-C75FD3AC98C4}">
            <x14:iconSet iconSet="3Symbols" custom="1">
              <x14:cfvo type="percent">
                <xm:f>0</xm:f>
              </x14:cfvo>
              <x14:cfvo type="num" gte="0">
                <xm:f>0</xm:f>
              </x14:cfvo>
              <x14:cfvo type="num">
                <xm:f>10</xm:f>
              </x14:cfvo>
              <x14:cfIcon iconSet="3Symbols" iconId="0"/>
              <x14:cfIcon iconSet="3Symbols" iconId="1"/>
              <x14:cfIcon iconSet="3Symbols" iconId="2"/>
            </x14:iconSet>
          </x14:cfRule>
          <xm:sqref>F16:F17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96</vt:i4>
      </vt:variant>
    </vt:vector>
  </HeadingPairs>
  <TitlesOfParts>
    <vt:vector size="108" baseType="lpstr">
      <vt:lpstr>Mo.1</vt:lpstr>
      <vt:lpstr>Mo.2</vt:lpstr>
      <vt:lpstr>Mo.3</vt:lpstr>
      <vt:lpstr>Mo.4</vt:lpstr>
      <vt:lpstr>Mo.5</vt:lpstr>
      <vt:lpstr>Mo.6</vt:lpstr>
      <vt:lpstr>Mo.7</vt:lpstr>
      <vt:lpstr>Mo.8</vt:lpstr>
      <vt:lpstr>Mo.9</vt:lpstr>
      <vt:lpstr>Mo.10</vt:lpstr>
      <vt:lpstr>Mo.11</vt:lpstr>
      <vt:lpstr>Mo.12</vt:lpstr>
      <vt:lpstr>Mo.10!Bills</vt:lpstr>
      <vt:lpstr>Mo.11!Bills</vt:lpstr>
      <vt:lpstr>Mo.12!Bills</vt:lpstr>
      <vt:lpstr>Mo.2!Bills</vt:lpstr>
      <vt:lpstr>Mo.3!Bills</vt:lpstr>
      <vt:lpstr>Mo.4!Bills</vt:lpstr>
      <vt:lpstr>Mo.5!Bills</vt:lpstr>
      <vt:lpstr>Mo.6!Bills</vt:lpstr>
      <vt:lpstr>Mo.7!Bills</vt:lpstr>
      <vt:lpstr>Mo.8!Bills</vt:lpstr>
      <vt:lpstr>Mo.9!Bills</vt:lpstr>
      <vt:lpstr>Bills</vt:lpstr>
      <vt:lpstr>Mo.10!Entertainment</vt:lpstr>
      <vt:lpstr>Mo.11!Entertainment</vt:lpstr>
      <vt:lpstr>Mo.12!Entertainment</vt:lpstr>
      <vt:lpstr>Mo.2!Entertainment</vt:lpstr>
      <vt:lpstr>Mo.3!Entertainment</vt:lpstr>
      <vt:lpstr>Mo.4!Entertainment</vt:lpstr>
      <vt:lpstr>Mo.5!Entertainment</vt:lpstr>
      <vt:lpstr>Mo.6!Entertainment</vt:lpstr>
      <vt:lpstr>Mo.7!Entertainment</vt:lpstr>
      <vt:lpstr>Mo.8!Entertainment</vt:lpstr>
      <vt:lpstr>Mo.9!Entertainment</vt:lpstr>
      <vt:lpstr>Entertainment</vt:lpstr>
      <vt:lpstr>Mo.10!Housing</vt:lpstr>
      <vt:lpstr>Mo.11!Housing</vt:lpstr>
      <vt:lpstr>Mo.12!Housing</vt:lpstr>
      <vt:lpstr>Mo.2!Housing</vt:lpstr>
      <vt:lpstr>Mo.3!Housing</vt:lpstr>
      <vt:lpstr>Mo.4!Housing</vt:lpstr>
      <vt:lpstr>Mo.5!Housing</vt:lpstr>
      <vt:lpstr>Mo.6!Housing</vt:lpstr>
      <vt:lpstr>Mo.7!Housing</vt:lpstr>
      <vt:lpstr>Mo.8!Housing</vt:lpstr>
      <vt:lpstr>Mo.9!Housing</vt:lpstr>
      <vt:lpstr>Housing</vt:lpstr>
      <vt:lpstr>Mo.10!Income</vt:lpstr>
      <vt:lpstr>Mo.11!Income</vt:lpstr>
      <vt:lpstr>Mo.12!Income</vt:lpstr>
      <vt:lpstr>Mo.2!Income</vt:lpstr>
      <vt:lpstr>Mo.3!Income</vt:lpstr>
      <vt:lpstr>Mo.4!Income</vt:lpstr>
      <vt:lpstr>Mo.5!Income</vt:lpstr>
      <vt:lpstr>Mo.6!Income</vt:lpstr>
      <vt:lpstr>Mo.7!Income</vt:lpstr>
      <vt:lpstr>Mo.8!Income</vt:lpstr>
      <vt:lpstr>Mo.9!Income</vt:lpstr>
      <vt:lpstr>Income</vt:lpstr>
      <vt:lpstr>Mo.10!Living</vt:lpstr>
      <vt:lpstr>Mo.11!Living</vt:lpstr>
      <vt:lpstr>Mo.12!Living</vt:lpstr>
      <vt:lpstr>Mo.2!Living</vt:lpstr>
      <vt:lpstr>Mo.3!Living</vt:lpstr>
      <vt:lpstr>Mo.4!Living</vt:lpstr>
      <vt:lpstr>Mo.5!Living</vt:lpstr>
      <vt:lpstr>Mo.6!Living</vt:lpstr>
      <vt:lpstr>Mo.7!Living</vt:lpstr>
      <vt:lpstr>Mo.8!Living</vt:lpstr>
      <vt:lpstr>Mo.9!Living</vt:lpstr>
      <vt:lpstr>Living</vt:lpstr>
      <vt:lpstr>Mo.10!Misc.</vt:lpstr>
      <vt:lpstr>Mo.11!Misc.</vt:lpstr>
      <vt:lpstr>Mo.12!Misc.</vt:lpstr>
      <vt:lpstr>Mo.2!Misc.</vt:lpstr>
      <vt:lpstr>Mo.3!Misc.</vt:lpstr>
      <vt:lpstr>Mo.4!Misc.</vt:lpstr>
      <vt:lpstr>Mo.5!Misc.</vt:lpstr>
      <vt:lpstr>Mo.6!Misc.</vt:lpstr>
      <vt:lpstr>Mo.7!Misc.</vt:lpstr>
      <vt:lpstr>Mo.8!Misc.</vt:lpstr>
      <vt:lpstr>Mo.9!Misc.</vt:lpstr>
      <vt:lpstr>Misc.</vt:lpstr>
      <vt:lpstr>Mo.1!Print_Area</vt:lpstr>
      <vt:lpstr>Mo.10!Print_Area</vt:lpstr>
      <vt:lpstr>Mo.11!Print_Area</vt:lpstr>
      <vt:lpstr>Mo.12!Print_Area</vt:lpstr>
      <vt:lpstr>Mo.2!Print_Area</vt:lpstr>
      <vt:lpstr>Mo.3!Print_Area</vt:lpstr>
      <vt:lpstr>Mo.4!Print_Area</vt:lpstr>
      <vt:lpstr>Mo.5!Print_Area</vt:lpstr>
      <vt:lpstr>Mo.6!Print_Area</vt:lpstr>
      <vt:lpstr>Mo.7!Print_Area</vt:lpstr>
      <vt:lpstr>Mo.8!Print_Area</vt:lpstr>
      <vt:lpstr>Mo.9!Print_Area</vt:lpstr>
      <vt:lpstr>Mo.10!Transportation</vt:lpstr>
      <vt:lpstr>Mo.11!Transportation</vt:lpstr>
      <vt:lpstr>Mo.12!Transportation</vt:lpstr>
      <vt:lpstr>Mo.2!Transportation</vt:lpstr>
      <vt:lpstr>Mo.3!Transportation</vt:lpstr>
      <vt:lpstr>Mo.4!Transportation</vt:lpstr>
      <vt:lpstr>Mo.5!Transportation</vt:lpstr>
      <vt:lpstr>Mo.6!Transportation</vt:lpstr>
      <vt:lpstr>Mo.7!Transportation</vt:lpstr>
      <vt:lpstr>Mo.8!Transportation</vt:lpstr>
      <vt:lpstr>Mo.9!Transportation</vt:lpstr>
      <vt:lpstr>Transportation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McQuaig</dc:creator>
  <cp:lastModifiedBy>Robert McQuaig</cp:lastModifiedBy>
  <cp:lastPrinted>2013-09-11T18:55:59Z</cp:lastPrinted>
  <dcterms:created xsi:type="dcterms:W3CDTF">2013-09-06T18:31:29Z</dcterms:created>
  <dcterms:modified xsi:type="dcterms:W3CDTF">2013-09-12T01:49:47Z</dcterms:modified>
</cp:coreProperties>
</file>